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C8281327-4D5F-D348-8FD4-DDF97035BAFD}" xr6:coauthVersionLast="47" xr6:coauthVersionMax="47" xr10:uidLastSave="{00000000-0000-0000-0000-000000000000}"/>
  <bookViews>
    <workbookView xWindow="5120" yWindow="11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 l="1"/>
  <c r="F27" i="3"/>
  <c r="F24" i="3" l="1"/>
  <c r="F23" i="3"/>
  <c r="F22" i="3"/>
  <c r="C19" i="3"/>
  <c r="C17" i="3"/>
  <c r="C15" i="3"/>
  <c r="C12" i="3"/>
  <c r="A12" i="3"/>
  <c r="C8" i="3"/>
  <c r="B8" i="3"/>
  <c r="A8" i="3"/>
  <c r="D8" i="3" l="1"/>
</calcChain>
</file>

<file path=xl/sharedStrings.xml><?xml version="1.0" encoding="utf-8"?>
<sst xmlns="http://schemas.openxmlformats.org/spreadsheetml/2006/main" count="1596" uniqueCount="623">
  <si>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</si>
  <si>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</si>
  <si>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</si>
  <si>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</si>
  <si>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</si>
  <si>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</si>
  <si>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</si>
  <si>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</si>
  <si>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</si>
  <si>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</si>
  <si>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</si>
  <si>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</si>
  <si>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</si>
  <si>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</si>
  <si>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</si>
  <si>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</si>
  <si>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</si>
  <si>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</si>
  <si>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</si>
  <si>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</si>
  <si>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</si>
  <si>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</si>
  <si>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</si>
  <si>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</si>
  <si>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</si>
  <si>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</si>
  <si>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</si>
  <si>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</si>
  <si>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</si>
  <si>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</si>
  <si>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</si>
  <si>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</si>
  <si>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</si>
  <si>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</si>
  <si>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</si>
  <si>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</si>
  <si>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</si>
  <si>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</si>
  <si>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</si>
  <si>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</si>
  <si>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</si>
  <si>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</si>
  <si>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</si>
  <si>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</si>
  <si>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</si>
  <si>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</si>
  <si>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</si>
  <si>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</si>
  <si>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</si>
  <si>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</si>
  <si>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</si>
  <si>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</si>
  <si>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</si>
  <si>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</si>
  <si>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</si>
  <si>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</si>
  <si>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</si>
  <si>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</si>
  <si>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</si>
  <si>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</si>
  <si>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</si>
  <si>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</si>
  <si>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</si>
  <si>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</si>
  <si>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</si>
  <si>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</si>
  <si>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</si>
  <si>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</si>
  <si>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</si>
  <si>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</si>
  <si>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</si>
  <si>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</si>
  <si>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</si>
  <si>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</si>
  <si>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</si>
  <si>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</si>
  <si>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</si>
  <si>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</si>
  <si>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</si>
  <si>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</si>
  <si>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</si>
  <si>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</si>
  <si>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</si>
  <si>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</si>
  <si>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</si>
  <si>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</si>
  <si>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</si>
  <si>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</si>
  <si>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</si>
  <si>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</si>
  <si>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</si>
  <si>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</si>
  <si>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</si>
  <si>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</si>
  <si>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</si>
  <si>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</si>
  <si>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</si>
  <si>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</si>
  <si>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</si>
  <si>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</si>
  <si>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</si>
  <si>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</si>
  <si>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</si>
  <si>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</si>
  <si>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</si>
  <si>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</si>
  <si>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</si>
  <si>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</si>
  <si>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</si>
  <si>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</si>
  <si>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</si>
  <si>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</si>
  <si>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</si>
  <si>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</si>
  <si>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</si>
  <si>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</si>
  <si>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</si>
  <si>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</si>
  <si>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</si>
  <si>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</si>
  <si>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</si>
  <si>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</si>
  <si>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</si>
  <si>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</si>
  <si>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</si>
  <si>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</si>
  <si>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</si>
  <si>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</si>
  <si>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</si>
  <si>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</si>
  <si>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</si>
  <si>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</si>
  <si>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</si>
  <si>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</si>
  <si>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</si>
  <si>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</si>
  <si>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</si>
  <si>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</si>
  <si>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</si>
  <si>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</si>
  <si>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</si>
  <si>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</si>
  <si>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</si>
  <si>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</si>
  <si>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</si>
  <si>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</si>
  <si>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</si>
  <si>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</si>
  <si>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</si>
  <si>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</si>
  <si>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</si>
  <si>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</si>
  <si>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</si>
  <si>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</si>
  <si>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</si>
  <si>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</si>
  <si>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</si>
  <si>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</si>
  <si>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</si>
  <si>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</si>
  <si>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</si>
  <si>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</si>
  <si>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</si>
  <si>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</si>
  <si>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</si>
  <si>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</si>
  <si>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</si>
  <si>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</si>
  <si>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</si>
  <si>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</si>
  <si>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</si>
  <si>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</si>
  <si>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</si>
  <si>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</si>
  <si>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</si>
  <si>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</si>
  <si>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</si>
  <si>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</si>
  <si>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</si>
  <si>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</si>
  <si>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</si>
  <si>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</si>
  <si>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</si>
  <si>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</si>
  <si>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</si>
  <si>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</si>
  <si>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</si>
  <si>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</si>
  <si>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</si>
  <si>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</si>
  <si>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</si>
  <si>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</si>
  <si>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</si>
  <si>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</si>
  <si>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</si>
  <si>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</si>
  <si>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</si>
  <si>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</si>
  <si>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</si>
  <si>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</si>
  <si>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</si>
  <si>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</si>
  <si>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</si>
  <si>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</si>
  <si>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</si>
  <si>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</si>
  <si>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</si>
  <si>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</si>
  <si>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</si>
  <si>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</si>
  <si>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</si>
  <si>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</si>
  <si>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</si>
  <si>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</si>
  <si>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</si>
  <si>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</si>
  <si>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</si>
  <si>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</si>
  <si>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</si>
  <si>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</si>
  <si>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</si>
  <si>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</si>
  <si>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</si>
  <si>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</si>
  <si>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</si>
  <si>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</si>
  <si>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</si>
  <si>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</si>
  <si>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</si>
  <si>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</si>
  <si>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</si>
  <si>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</si>
  <si>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</si>
  <si>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</si>
  <si>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</si>
  <si>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</si>
  <si>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</si>
  <si>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</si>
  <si>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</si>
  <si>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</si>
  <si>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</si>
  <si>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</si>
  <si>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</si>
  <si>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</si>
  <si>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</si>
  <si>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</si>
  <si>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</si>
  <si>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</si>
  <si>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</si>
  <si>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</si>
  <si>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</si>
  <si>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</si>
  <si>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</si>
  <si>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</si>
  <si>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</si>
  <si>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</si>
  <si>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</si>
  <si>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</si>
  <si>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</si>
  <si>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</si>
  <si>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</si>
  <si>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</si>
  <si>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</si>
  <si>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</si>
  <si>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</si>
  <si>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</si>
  <si>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</si>
  <si>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</si>
  <si>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</si>
  <si>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</si>
  <si>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</si>
  <si>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</si>
  <si>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</si>
  <si>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</si>
  <si>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</si>
  <si>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</si>
  <si>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</si>
  <si>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</si>
  <si>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</si>
  <si>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</si>
  <si>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</si>
  <si>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</si>
  <si>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</si>
  <si>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</si>
  <si>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</si>
  <si>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</si>
  <si>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</si>
  <si>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</si>
  <si>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</si>
  <si>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</si>
  <si>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</si>
  <si>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</si>
  <si>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</si>
  <si>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</si>
  <si>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</si>
  <si>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</si>
  <si>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</si>
  <si>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</si>
  <si>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</si>
  <si>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</si>
  <si>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</si>
  <si>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</si>
  <si>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</si>
  <si>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</si>
  <si>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</si>
  <si>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</si>
  <si>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</si>
  <si>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</si>
  <si>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</si>
  <si>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</si>
  <si>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</si>
  <si>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</si>
  <si>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</si>
  <si>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</si>
  <si>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</si>
  <si>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</si>
  <si>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</si>
  <si>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</si>
  <si>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</si>
  <si>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</si>
  <si>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</si>
  <si>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</si>
  <si>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</si>
  <si>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</si>
  <si>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</si>
  <si>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</si>
  <si>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</si>
  <si>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</si>
  <si>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</si>
  <si>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</si>
  <si>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</si>
  <si>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</si>
  <si>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</si>
  <si>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</si>
  <si>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</si>
  <si>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</si>
  <si>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</si>
  <si>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</si>
  <si>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</si>
  <si>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</si>
  <si>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</si>
  <si>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</si>
  <si>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</si>
  <si>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</si>
  <si>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</si>
  <si>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</si>
  <si>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</si>
  <si>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</si>
  <si>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</si>
  <si>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</si>
  <si>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</si>
  <si>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</si>
  <si>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</si>
  <si>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</si>
  <si>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</si>
  <si>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</si>
  <si>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</si>
  <si>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</si>
  <si>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</si>
  <si>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</si>
  <si>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</si>
  <si>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</si>
  <si>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</si>
  <si>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</si>
  <si>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</si>
  <si>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</si>
  <si>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</si>
  <si>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</si>
  <si>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</si>
  <si>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</si>
  <si>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</si>
  <si>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</si>
  <si>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</si>
  <si>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</si>
  <si>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</si>
  <si>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</si>
  <si>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</si>
  <si>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</si>
  <si>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</si>
  <si>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</si>
  <si>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</si>
  <si>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</si>
  <si>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</si>
  <si>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</si>
  <si>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</si>
  <si>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</si>
  <si>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</si>
  <si>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</si>
  <si>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</si>
  <si>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</si>
  <si>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</si>
  <si>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</si>
  <si>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</si>
  <si>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</si>
  <si>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</si>
  <si>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</si>
  <si>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</si>
  <si>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</si>
  <si>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</si>
  <si>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</si>
  <si>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</si>
  <si>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</si>
  <si>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</si>
  <si>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</si>
  <si>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</si>
  <si>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</si>
  <si>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</si>
  <si>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</si>
  <si>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</si>
  <si>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</si>
  <si>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</si>
  <si>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</si>
  <si>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</si>
  <si>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</si>
  <si>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</si>
  <si>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University of Windsor</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</si>
  <si>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</si>
  <si>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</si>
  <si>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</si>
  <si>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</si>
  <si>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</si>
  <si>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</si>
  <si>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</si>
  <si>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</si>
  <si>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</si>
  <si>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</si>
  <si>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</si>
  <si>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</si>
  <si>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</si>
  <si>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</si>
  <si>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</si>
  <si>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</si>
  <si>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</si>
  <si>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</si>
  <si>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</si>
  <si>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</si>
  <si>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</si>
  <si>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</si>
  <si>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</si>
  <si>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</si>
  <si>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</si>
  <si>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</si>
  <si>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</si>
  <si>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</si>
  <si>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</si>
  <si>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</si>
  <si>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</si>
  <si>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</si>
  <si>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</si>
  <si>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</si>
  <si>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</si>
  <si>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</si>
  <si>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</si>
  <si>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</si>
  <si>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</si>
  <si>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</si>
  <si>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</si>
  <si>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</si>
  <si>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</si>
  <si>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</si>
  <si>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</si>
  <si>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</si>
  <si>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</si>
  <si>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</si>
  <si>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</si>
  <si>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</si>
  <si>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</si>
  <si>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</si>
  <si>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</si>
  <si>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</si>
  <si>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</si>
  <si>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</si>
  <si>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</si>
  <si>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</si>
  <si>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</si>
  <si>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</si>
  <si>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</si>
  <si>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</si>
  <si>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</si>
  <si>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</si>
  <si>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</si>
  <si>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</si>
  <si>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</si>
  <si>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</si>
  <si>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</si>
  <si>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</si>
  <si>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</si>
  <si>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</si>
  <si>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</si>
  <si>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</si>
  <si>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</si>
  <si>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</si>
  <si>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</si>
  <si>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</si>
  <si>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</si>
  <si>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</si>
  <si>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</si>
  <si>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</si>
  <si>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</si>
  <si>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</si>
  <si>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</si>
  <si>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</si>
  <si>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</si>
  <si>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</si>
  <si>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</si>
  <si>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</si>
  <si>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</si>
  <si>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</si>
  <si>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</si>
  <si>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</si>
  <si>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</si>
  <si>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</si>
  <si>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</si>
  <si>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</si>
  <si>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</si>
  <si>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</si>
  <si>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</si>
  <si>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</si>
  <si>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</si>
  <si>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</si>
  <si>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</si>
  <si>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</si>
  <si>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</si>
  <si>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</si>
  <si>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</si>
  <si>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</si>
  <si>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</si>
  <si>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</si>
  <si>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</si>
  <si>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</si>
  <si>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</si>
  <si>
    <t>lakehead_2021</t>
  </si>
  <si>
    <t>lakehead_2021_2</t>
  </si>
  <si>
    <t>The global context in which we operate remains complex. The impact of COVID-19 continues to evolve. We also continue to operate in a provincial environment focused on fiscal austerity. Universities across Ontario, including Lakehead University, are facing a number of challenges that threaten achievement of long-term enrolment targets. These challenges include changes to how universities are funded within the province of Ontario with an increasing proportion of funding tied to ten performance metrics, evolving demographics in the regions we serve, in some cases a declining post-secondary age population, while the need for reskilling in the current workforce is increasing, and provincial competition continues to grow. These pressures are expected to continue into the future, while Lakehead University continues to strive towards the goal of achieving optimal enrolment over the coming years.</t>
  </si>
  <si>
    <t>lakehead_2021_3</t>
  </si>
  <si>
    <t>Lakehead University’s commitment to continued financial sustainability is evidenced by strong financial performance metrics, sound governance and strong financial management. As required by the Board of Governors, Lakehead University continues to present a balanced operating budget. The budget planning process for 2021-22 fully reflects the integrated budget development model that was launched in 2015-16 following significant consultation to inform a transparent, consultative and accountable integrated budgeting process. Despite significant financial changes and enrolment pressures, Lakehead has continued to respond to mitigate funding shortfalls.</t>
  </si>
  <si>
    <t>lakehead_2021_4</t>
  </si>
  <si>
    <t>In addition to the significant funding challenges that Lakehead has managed, the 2021-22 budget also responds to the extraordinary circumstances of the global pandemic. The 2021-22 budget continues to demonstrate budget caution to ensure that Lakehead remains financially sustainable and viable moving through and beyond the next fiscal year. The strongest strategies to offset funding challenges remain strong program delivery and recruitment efforts combined with ongoing increases in domestic and international student enrolment with further growth projected in subsequent years.</t>
  </si>
  <si>
    <t>Lakehead University</t>
  </si>
  <si>
    <t>lakehead_2022</t>
  </si>
  <si>
    <t>As required by the Board of Governors, Lakehead University presents a balanced operating budget. The budget planning process for 2022-23 fully reflects our integrated budget development model and exhibits a transparent, consultative and accountable integrated budgeting process. Despite significant financial changes and enrolment pressures, Lakehead has been able to mitigate funding shortfalls.</t>
  </si>
  <si>
    <t>lakehead_2022_5</t>
  </si>
  <si>
    <t>lakehead_2023</t>
  </si>
  <si>
    <t>The global context in which we operate continues to remain complex. As we recover from
the impacts of COVID-19 on our operations, most notably through some recovery in
enrolment, we continue to manage financial pressures including a continued freeze on
domestic tuition rates, significant inflationary pressures, and an increasingly competitive
post-secondary environment.</t>
  </si>
  <si>
    <t>On October 12, 2023, the Board of Governors approved a provisional $5.284M operating
budget deficit for 2023-24 while work continues concurrently with the development of an
action plan that mitigates the University's structural deficit and ongoing advocacy with
government.</t>
  </si>
  <si>
    <t>To ensure that Lakehead remains financially sustainable and viable moving through and
beyond the next fiscal year, the 2023-24 budget continues to demonstrate budget caution.
The 2023-24 budget offers a blueprint to manage the fiscal year so that each
faculty/department has a budget foundation to work within. Budget adjustments may
continue into the winter months, depending on enrolment and other financial pressures.
The strongest strategies to offset immediate and longer-term funding challenges remain
strong program delivery combined with proactive recruitment and retention efforts of both
domestic and international student enrolment.</t>
  </si>
  <si>
    <t>lakehead_2023_2</t>
  </si>
  <si>
    <t>lakehead_2023_3</t>
  </si>
  <si>
    <t>lakehead_2023_4</t>
  </si>
  <si>
    <t>lakehead_2024_1</t>
  </si>
  <si>
    <t>lakehead_2024</t>
  </si>
  <si>
    <t>As we plan for the upcoming 2024-25 fiscal year, the global context in which we operate continues to remain complex. Most notable is the significant disruption to international enrolment resulting from changes to federal immigration policy, capping of international undergraduate student visa approvals, and changes to the post-graduate work permit requirements. Lakehead also remains impacted by financial pressures including a continued freeze on domestic tuition rates, and a competitive post-secondary environment.</t>
  </si>
  <si>
    <t>lakehead_2024_2</t>
  </si>
  <si>
    <t>In 2023, in response to the sector-wide financial sustainability challenges, the province struck a Blue Ribbon Panel. While the panel acknowledged the structural challenges facing the sector and made recommendations for significant increases to tuition and grant funding, the government’s response has focused more on operational efficiencies.</t>
  </si>
  <si>
    <t>In February 2024, the government announced $1.3 billion in new funding over the next 3 years. This announcement was welcome news; however, analysts have indicated it represents about 20% of what was needed to stabilize the sector, well short of the Panel’s recommendations.</t>
  </si>
  <si>
    <t>Lakehead University's commitment to financial sustainability continues to be evidenced by strong financial performance metrics, sound governance, and strong financial management. Advocacy efforts with the provincial government have and will continue as we stress the unique position of Lakehead as the only comprehensive university in the north.</t>
  </si>
  <si>
    <t>The budget planning process for 2024-25 fully reflects our integrated budget development model and exhibits a transparent, consultative, and accountable integrated budgeting process. While a structural deficit still exists, the addition of one-time targeted sustainability funding, resulting from the $1.3 billion funding announcement, has contributed to a balanced budget.</t>
  </si>
  <si>
    <t>lakehead_2024_3</t>
  </si>
  <si>
    <t>lakehead_2024_4</t>
  </si>
  <si>
    <t>lakehead_2024_5</t>
  </si>
  <si>
    <t>lakehead_2025_1</t>
  </si>
  <si>
    <t>lakehead_2025</t>
  </si>
  <si>
    <t>Similar to the prior fiscal year, the external environment for the post-secondary education sector remains complex. Last year’s disruption to international enrolment resulting from changes to federal immigration policy continues to be a factor.</t>
  </si>
  <si>
    <t>lakehead_2025_2</t>
  </si>
  <si>
    <t>Development of the 2025/26 budget has been impacted significantly by these changes, most notably the capping of international student visa approvals, which have expanded to include graduate students. Lakehead is experiencing declines in applications due to the reputational damage these policy changes have caused combined with the perceived hostility of the Canadian government towards international students. Lakehead also remains impacted by a continued freeze on domestic tuition rates, and a highly competitive post-secondary environment. As a northern university, Lakehead is disproportionately affected by these external forces.</t>
  </si>
  <si>
    <t>In February 2024, the government announced $1.3 billion in new funding for a 3-year period. This announcement was welcome news; however, analysts have indicated it represents about 20% of what was needed to stabilize the sector, well short of the Blue Ribbon Panel’s recommendations. The Blue Ribbon Panel was struck in 2023 by the province in response to the sector-wide financial sustainability challenges.</t>
  </si>
  <si>
    <t>The addition of one-time targeted sustainability funding, resulting from the $1.3 billion funding announcement in 2024, contributed to a balanced budget for Lakehead in 202425; however, for 2025/26, Lakehead’s portion of the Post Secondary Education Sustainability Fund (PSESF) Top-up funding, which is a component of the $1.3 billion, was reduced to nearly half for 2025/26.</t>
  </si>
  <si>
    <t>The reduction to the PSESF Top-up funding in combination with the decline in international student enrolment has been unexpected and has placed exceptional pressure on budget development.</t>
  </si>
  <si>
    <t>Lakehead University's commitment to financial sustainability continues to be evidenced by strong financial performance metrics, sound governance and strong financial management. Advocacy efforts with the provincial government have continued and will continue as we stress the unique position of Lakehead as the only comprehensive university in the north.</t>
  </si>
  <si>
    <t>lakehead_2025_3</t>
  </si>
  <si>
    <t>lakehead_2025_4</t>
  </si>
  <si>
    <t>lakehead_2025_5</t>
  </si>
  <si>
    <t>lakehead_2025_6</t>
  </si>
  <si>
    <t>laurier_2025</t>
  </si>
  <si>
    <t>laurier_2025_1</t>
  </si>
  <si>
    <r>
      <t>The assumptions and estimates included in the 2025/26 Operating, Ancillary and Capital budgets are based on the information available to management at the time of preparation</t>
    </r>
    <r>
      <rPr>
        <sz val="11"/>
        <color rgb="FFFF0000"/>
        <rFont val="Calibri"/>
        <family val="2"/>
      </rPr>
      <t xml:space="preserve">. </t>
    </r>
    <r>
      <rPr>
        <sz val="11"/>
        <color theme="1"/>
        <rFont val="Calibri"/>
        <family val="2"/>
      </rPr>
      <t>Post-secondary institutions in Canada are facing sector-wide challenges, with continued revenue constraints and significant inflationary pressures contributing to growing financial risks. Universities across Ontario are facing increased scrutiny on fiscal performance through the Ministry of Colleges, Universities, Research Excellence and Security (MCURES) Financial Accountability Framework. </t>
    </r>
  </si>
  <si>
    <t>laurier_2025_2</t>
  </si>
  <si>
    <t>Successfully navigating this difficult environment will require highly disciplined and effective financial management as the university considers both the short-term horizon as articulated in the fiscal year budget and long-term sustainability as depicted in the multi-year budget projections.</t>
  </si>
  <si>
    <t>laurier_2025_4</t>
  </si>
  <si>
    <t>Notwithstanding this recent infusion of government grant funding, Laurier remain in a structural deficit position, with a modest deficit slated to increase rapidly over the next five years even if tuition is permitted to increase in 2027/28 and beyond. Significant constraints on revenue continue in the short term, including an ongoing general freeze in domestic tuition rates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required to succeed in a highly competitive sector.</t>
  </si>
  <si>
    <t>laurier_2025_5</t>
  </si>
  <si>
    <t>Alongside a challenging revenue outlook, increased scrutiny of universities’ financial performance continues through the MCURES University Financial Accountability Framework. The Framework consists of the five financial health indicators previously reported by Ontario Universities and incorporates debt ratios and the institution’s credit rating into an overall risk assessment. While Laurier’s 2023/24 financial performance resulted in a “low” risk assessment, a significant contributing factor to this assessment was the occurrence of one-time financial impacts such as real estate transactions (reinvested in capital) and the 23/24 one-time-only STEM funding. Without these transactions, Laurier’s performance would have yielded a less favourable risk assessment rating. 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</si>
  <si>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Wilfrid Laurier University</t>
  </si>
  <si>
    <t>laurier_2024_1</t>
  </si>
  <si>
    <t>laurier_2024</t>
  </si>
  <si>
    <t>The assumptions and estimates included in the 2024/25 Operating, Ancillary and Capital budgets are based on the information available to management at the time of preparation. Post-secondary institutions in Canada are facing sector-wide challenges, with continued revenue constraints and significant inflationary pressures contributing to growing financial risks. Universities across Ontario are facing increased scrutiny on fiscal performance through a recently announced MCU Financial Accountability Framework and a series of value-for-money audits by the Auditor General.</t>
  </si>
  <si>
    <t>Laurier is now in a structural deficit position, as the university faces significant constraints on revenue including an ongoing general freeze in domestic tuition rates, modest temporary increases to government grant,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to succeed in a highly competitive sector.</t>
  </si>
  <si>
    <t>Alongside a challenging revenue outlook, increased scrutiny of Universities’ financial performance was confirmed as the Ministry of Colleges and Universities introduced the University Financial Accountability Framework. The Framework consists of the five financial health indicators previously reported by Ontario Universities and incorporates debt ratios and the institution’s credit rating into an overall risk assessment. Laurier’s 2022/23 financial performance resulted in a “low” risk assessment, however, a significant contributing factor to this assessment was the occurrence of one-time real estate transactions – without these transactions, Laurier’s performance would have yielded a less favourable risk assessment rating.</t>
  </si>
  <si>
    <t>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</si>
  <si>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In February 2024, Laurier received $11.6 million of funding for the 2023/24 fiscal year as part of the province’s funding approach to stabilize colleges and universities while maintaining a tuition freeze for Ontario students. This funding was provided specifically for STEM program costs for enrolments above currently funded levels. This one-time funding enables Laurier to offset $11.6 million in budgeted expenditures incurred during the 2023/24 year and contribute to a stabilization fund to mitigate future deficits. While this provides some limited, short-term deficit mitigation, without sustained and predictable funding Laurier will continue to be challenged with a growing structural deficit.</t>
  </si>
  <si>
    <t>laurier_2024_2</t>
  </si>
  <si>
    <t>laurier_2024_3</t>
  </si>
  <si>
    <t>laurier_2024_4</t>
  </si>
  <si>
    <t>laurier_2024_5</t>
  </si>
  <si>
    <t>laurier_2024_6</t>
  </si>
  <si>
    <t>laurier_2023_1</t>
  </si>
  <si>
    <t>laurier_2023</t>
  </si>
  <si>
    <t>The 2023/24 budget anticipates a full return to on-campus operations following multiple years of pandemic-driven budget assumptions. In recent years, the organization has been successful in mitigating the cumulative fiscal impacts of tuition cuts, grant and tuition freezes, pandemic-related public health restrictions, and challenges affecting sector efforts in internationalization. The provincial government has recently announced a blue-ribbon panel, composed of business and academic leaders, that will provide advice and recommendations related to sector financial stability beyond 2023/24. For 2023/24, funding constraints are continuing, with a continued tuition freeze for most Ontario students and fixed operating grant funding.</t>
  </si>
  <si>
    <t>With financial challenges escalating, the sector is also subject to increased scrutiny resulting from recent auditor general value-for-money audits. While annual operating budget plans are critical to financial sustainability, the assessment of comprehensive fiscal health inclusive of capital planning, reserve considerations, and debt capacity, will be needed to support Laurier’s significant upcoming growth initiatives. Laurier is poised to embark upon a number of exciting initiatives which will contribute to its strategic mandate and success in a highly competitive sector. The prioritization and focus on key investments with consideration for revenue generation, cost containment and spending to increase priority services and programs, will be critical in optimizing limited resources and safeguarding Laurier’s financial health – key principles in the development of the 2023/24 Budget.</t>
  </si>
  <si>
    <t>laurier_2023_2</t>
  </si>
  <si>
    <t>The assumptions and estimates included in the 2023/24 Operating and Ancillary budgets are based on the information available to management at the time of preparation. Post-secondary institutions in Canada are facing sector-wide challenges; the cumulative impact of tuition cuts, grant and tuition freezes, COVID-19 pandemic impacts and significant inflationary pressures have contributed to growing financial risks. Universities across Ontario are facing increased scrutiny on fiscal performance and a greater focus on financial health indicators is expected as part of the province’s overall performance management framework. This will require demonstration of effective financial planning which considers the short-term needs articulated in a fiscal year budget, as well as longer term strategies that tie into strategic priorities and capital planning. Throughout our history, the strength of the Wilfrid Laurier University community has allowed us to capitalize on opportunities and prevail over challenges to become a comprehensive, multi-campus institution focused on excellence in academics, a student experience second to none, and growing research enterprise. The 2023/24 budget builds upon those strengths as the university embarks on a number of efforts which will contribute to its continued success.</t>
  </si>
  <si>
    <t>Beyond pandemic recovery, Laurier is faced with frozen Ontario tuition and grant values, increasing building renewal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</si>
  <si>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priority services and programs will be critical to optimize limited resources and safeguard Laurier’s fiscal health.</t>
  </si>
  <si>
    <t>Financial sustainability is a critical enabler that will equip Laurier with the financial strength and capacity to achieve its strategic objectives. Financial sustainability refers to the balance between the revenues available to institutions to support their academic activities and the expenses they incur in delivering their mission.</t>
  </si>
  <si>
    <t>laurier_2023_5</t>
  </si>
  <si>
    <t>laurier_2023_6</t>
  </si>
  <si>
    <t>laurier_2023_8</t>
  </si>
  <si>
    <t>laurier_2023_9</t>
  </si>
  <si>
    <t>laurier_2022</t>
  </si>
  <si>
    <t>Laurier is poised to embark upon a number of exciting initiatives which will contribute to its success in a highly competitive sector. Consideration of financial decisions must be made in the context of the organization’s strategic mandate, as well as the full financial picture inclusive of capital, reserves, debt, and operating and ancillary services budgets. The Financial Sustainability Project, initiated in fall 2021, will strengthen capabilities in maintaining an up-to-date understanding of this full financial picture. The prioritization and focus on key investments with consideration for revenue generation, cost containment and spending to increase priority services or programs will be critical in optimizing limited resources and safeguarding Laurier’s financial health and has served as key principles in the development of the 2022/23 Budget.</t>
  </si>
  <si>
    <t>laurier_2022_2</t>
  </si>
  <si>
    <t>In this multi-year approach, continued efforts to address a structural deficit are needed to lay the groundwork for Laurier to succeed in a post-pandemic world. Beyond pandemic recovery, Laurier is faced with frozen tuition and grant values, increasing capital infrastructure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</si>
  <si>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key services and programs will be critical to optimize limited resources and safeguard the organization’s fiscal health. </t>
  </si>
  <si>
    <t>laurier_2021_4</t>
  </si>
  <si>
    <t>laurier_2021_6</t>
  </si>
  <si>
    <t>laurier_2021</t>
  </si>
  <si>
    <t>laurier_2019</t>
  </si>
  <si>
    <t>The Operating Budget is developed with a focus on ensuring resources are devoted to high impact strategic priorities and are aligned with the institutional mission. In light of policy changes governing tuition fees, it is increasingly important to ensure that resource allocation reflects the strategic direction of the institution, while exercising spending constraint.</t>
  </si>
  <si>
    <t>Discussions regarding future Strategic Mandate Agreements are ongoing and may affect funding levels.</t>
  </si>
  <si>
    <t>The Provincial Government announced the withdrawal of capital funding for the Milton campus. Laurier’s capital allocation had been slated at $90 million. Despite this, Laurier remains committed to expanding into Milton and enhancing its multi-campus presence.</t>
  </si>
  <si>
    <t>laurier_2019_8</t>
  </si>
  <si>
    <t>laurier_2019_14</t>
  </si>
  <si>
    <t>laurier_2019_15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</si>
</sst>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
      <sz val="11"/>
      <color rgb="FFFF0000"/>
      <name val="Calibri"/>
      <family val="2"/>
    </font>
    <font>
      <sz val="14"/>
      <color rgb="FF000000"/>
      <name val="-webkit-standard"/>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0" fillId="8" borderId="0" xfId="0" applyFill="1" applyAlignment="1">
      <alignment horizontal="left"/>
    </xf>
    <xf numFmtId="0" fontId="1" fillId="2" borderId="0" xfId="0" applyFont="1" applyFill="1" applyAlignment="1">
      <alignment horizontal="right"/>
    </xf>
    <xf numFmtId="0" fontId="0" fillId="8" borderId="0" xfId="0" applyFill="1" applyAlignment="1">
      <alignment horizontal="right"/>
    </xf>
    <xf numFmtId="0" fontId="0" fillId="2" borderId="0" xfId="0" applyFill="1" applyAlignment="1">
      <alignment horizontal="right"/>
    </xf>
    <xf numFmtId="0" fontId="0" fillId="0" borderId="0" xfId="0" applyAlignment="1"/>
    <xf numFmtId="0" fontId="4" fillId="0" borderId="0" xfId="0" applyFont="1"/>
    <xf numFmtId="0" fontId="14" fillId="0" borderId="0" xfId="0" applyFont="1"/>
    <xf numFmtId="0" fontId="14" fillId="0" borderId="0" xfId="0" applyFont="1" applyAlignment="1">
      <alignment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277"/>
  <sheetViews>
    <sheetView tabSelected="1" topLeftCell="A241" zoomScaleNormal="100" workbookViewId="0">
      <selection activeCell="G19" sqref="G19"/>
    </sheetView>
  </sheetViews>
  <sheetFormatPr baseColWidth="10" defaultRowHeight="16"/>
  <cols>
    <col min="1" max="1" width="12.33203125" customWidth="1"/>
    <col min="2" max="2" width="16.33203125" customWidth="1"/>
    <col min="3" max="3" width="14.6640625" customWidth="1"/>
    <col min="4" max="5" width="15" style="13" hidden="1" customWidth="1"/>
    <col min="6" max="6" width="15" style="13" customWidth="1"/>
    <col min="7" max="7" width="15" style="23" customWidth="1"/>
    <col min="8"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21"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2">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2">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2">
        <v>0</v>
      </c>
      <c r="H4" s="20">
        <v>2</v>
      </c>
      <c r="I4" s="4">
        <v>3</v>
      </c>
      <c r="J4" s="4">
        <v>9</v>
      </c>
      <c r="K4" s="4" t="s">
        <v>11</v>
      </c>
      <c r="L4" s="4" t="s">
        <v>13</v>
      </c>
      <c r="M4" s="4">
        <v>2017</v>
      </c>
      <c r="N4" s="4">
        <v>1</v>
      </c>
      <c r="O4" s="4">
        <v>0</v>
      </c>
    </row>
    <row r="5" spans="1:21">
      <c r="A5" s="4" t="s">
        <v>9</v>
      </c>
      <c r="B5" s="4" t="s">
        <v>24</v>
      </c>
      <c r="C5" s="6" t="s">
        <v>19</v>
      </c>
      <c r="D5" s="13">
        <v>1</v>
      </c>
      <c r="E5" s="13" t="s">
        <v>399</v>
      </c>
      <c r="F5" s="13">
        <v>1</v>
      </c>
      <c r="G5" s="22">
        <v>0</v>
      </c>
      <c r="H5" s="13">
        <v>1</v>
      </c>
      <c r="I5" s="4">
        <v>6</v>
      </c>
      <c r="J5" s="4">
        <v>9</v>
      </c>
      <c r="K5" s="4" t="s">
        <v>11</v>
      </c>
      <c r="L5" s="4" t="s">
        <v>13</v>
      </c>
      <c r="M5" s="4">
        <v>2017</v>
      </c>
      <c r="N5" s="4">
        <v>1</v>
      </c>
      <c r="O5" s="4">
        <v>0</v>
      </c>
    </row>
    <row r="6" spans="1:21">
      <c r="A6" s="4" t="s">
        <v>9</v>
      </c>
      <c r="B6" s="4" t="s">
        <v>25</v>
      </c>
      <c r="C6" s="6" t="s">
        <v>20</v>
      </c>
      <c r="D6" s="13">
        <v>1</v>
      </c>
      <c r="E6" s="13" t="s">
        <v>399</v>
      </c>
      <c r="F6" s="13">
        <v>1</v>
      </c>
      <c r="G6" s="22">
        <v>1</v>
      </c>
      <c r="H6" s="13">
        <v>2</v>
      </c>
      <c r="I6" s="4">
        <v>8</v>
      </c>
      <c r="J6" s="4">
        <v>9</v>
      </c>
      <c r="K6" s="4" t="s">
        <v>11</v>
      </c>
      <c r="L6" s="4" t="s">
        <v>13</v>
      </c>
      <c r="M6" s="4">
        <v>2017</v>
      </c>
      <c r="N6" s="4">
        <v>1</v>
      </c>
      <c r="O6" s="4">
        <v>0</v>
      </c>
    </row>
    <row r="7" spans="1:21">
      <c r="A7" s="4" t="s">
        <v>9</v>
      </c>
      <c r="B7" s="4" t="s">
        <v>26</v>
      </c>
      <c r="C7" s="6" t="s">
        <v>21</v>
      </c>
      <c r="D7" s="13">
        <v>0</v>
      </c>
      <c r="F7" s="13">
        <v>1</v>
      </c>
      <c r="G7" s="22">
        <v>0</v>
      </c>
      <c r="H7" s="13">
        <v>1</v>
      </c>
      <c r="I7" s="4">
        <v>9</v>
      </c>
      <c r="J7" s="4">
        <v>9</v>
      </c>
      <c r="K7" s="4" t="s">
        <v>11</v>
      </c>
      <c r="L7" s="4" t="s">
        <v>13</v>
      </c>
      <c r="M7" s="4">
        <v>2017</v>
      </c>
      <c r="N7" s="4">
        <v>1</v>
      </c>
      <c r="O7" s="4">
        <v>0</v>
      </c>
    </row>
    <row r="8" spans="1:21">
      <c r="A8" s="4" t="s">
        <v>8</v>
      </c>
      <c r="B8" s="4" t="s">
        <v>27</v>
      </c>
      <c r="C8" s="6" t="s">
        <v>28</v>
      </c>
      <c r="D8" s="13">
        <v>1</v>
      </c>
      <c r="E8" s="13" t="s">
        <v>395</v>
      </c>
      <c r="F8" s="13">
        <v>1</v>
      </c>
      <c r="G8" s="22">
        <v>1</v>
      </c>
      <c r="H8" s="13">
        <v>2</v>
      </c>
      <c r="I8" s="4">
        <v>1</v>
      </c>
      <c r="J8" s="4">
        <v>9</v>
      </c>
      <c r="K8" s="4" t="s">
        <v>11</v>
      </c>
      <c r="L8" s="4" t="s">
        <v>13</v>
      </c>
      <c r="M8" s="4">
        <v>2018</v>
      </c>
      <c r="N8" s="4">
        <v>1</v>
      </c>
      <c r="O8" s="4">
        <v>0</v>
      </c>
    </row>
    <row r="9" spans="1:21">
      <c r="A9" s="4" t="s">
        <v>8</v>
      </c>
      <c r="B9" s="4" t="s">
        <v>33</v>
      </c>
      <c r="C9" s="6" t="s">
        <v>29</v>
      </c>
      <c r="D9" s="13">
        <v>1</v>
      </c>
      <c r="E9" s="13" t="s">
        <v>399</v>
      </c>
      <c r="F9" s="13">
        <v>1</v>
      </c>
      <c r="G9" s="22">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22">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22">
        <v>1</v>
      </c>
      <c r="H11" s="13">
        <v>2</v>
      </c>
      <c r="I11" s="4">
        <v>7</v>
      </c>
      <c r="J11" s="4">
        <v>9</v>
      </c>
      <c r="K11" s="4" t="s">
        <v>11</v>
      </c>
      <c r="L11" s="4" t="s">
        <v>13</v>
      </c>
      <c r="M11" s="4">
        <v>2018</v>
      </c>
      <c r="N11" s="4">
        <v>1</v>
      </c>
      <c r="O11" s="4">
        <v>0</v>
      </c>
    </row>
    <row r="12" spans="1:21">
      <c r="A12" s="4" t="s">
        <v>8</v>
      </c>
      <c r="B12" s="4" t="s">
        <v>36</v>
      </c>
      <c r="C12" s="6" t="s">
        <v>32</v>
      </c>
      <c r="D12" s="13">
        <v>0</v>
      </c>
      <c r="F12" s="13">
        <v>1</v>
      </c>
      <c r="G12" s="22">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22">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22">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22">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22">
        <v>0</v>
      </c>
      <c r="H16" s="20">
        <v>2</v>
      </c>
      <c r="I16" s="4">
        <v>6</v>
      </c>
      <c r="J16" s="4">
        <v>7</v>
      </c>
      <c r="K16" s="4" t="s">
        <v>11</v>
      </c>
      <c r="L16" s="4" t="s">
        <v>13</v>
      </c>
      <c r="M16" s="4">
        <v>2019</v>
      </c>
      <c r="N16" s="4">
        <v>1</v>
      </c>
      <c r="O16" s="4">
        <v>1</v>
      </c>
    </row>
    <row r="17" spans="1:15">
      <c r="A17" s="4" t="s">
        <v>7</v>
      </c>
      <c r="B17" s="4" t="s">
        <v>47</v>
      </c>
      <c r="C17" s="8" t="s">
        <v>43</v>
      </c>
      <c r="D17" s="13">
        <v>0</v>
      </c>
      <c r="F17" s="13">
        <v>1</v>
      </c>
      <c r="G17" s="22">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22">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22">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22">
        <v>0</v>
      </c>
      <c r="H20" s="20">
        <v>2</v>
      </c>
      <c r="I20" s="4">
        <v>8</v>
      </c>
      <c r="J20" s="4">
        <v>10</v>
      </c>
      <c r="K20" s="4" t="s">
        <v>11</v>
      </c>
      <c r="L20" s="4" t="s">
        <v>13</v>
      </c>
      <c r="M20" s="4">
        <v>2020</v>
      </c>
      <c r="N20" s="4">
        <v>1</v>
      </c>
      <c r="O20" s="4">
        <v>1</v>
      </c>
    </row>
    <row r="21" spans="1:15">
      <c r="A21" s="4" t="s">
        <v>38</v>
      </c>
      <c r="B21" s="4" t="s">
        <v>55</v>
      </c>
      <c r="C21" s="8" t="s">
        <v>50</v>
      </c>
      <c r="D21" s="13">
        <v>1</v>
      </c>
      <c r="E21" s="13" t="s">
        <v>399</v>
      </c>
      <c r="F21" s="13">
        <v>1</v>
      </c>
      <c r="G21" s="22">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22">
        <v>0</v>
      </c>
      <c r="H22" s="20">
        <v>2</v>
      </c>
      <c r="I22" s="4">
        <v>10</v>
      </c>
      <c r="J22" s="4">
        <v>10</v>
      </c>
      <c r="K22" s="4" t="s">
        <v>11</v>
      </c>
      <c r="L22" s="4" t="s">
        <v>13</v>
      </c>
      <c r="M22" s="4">
        <v>2020</v>
      </c>
      <c r="N22" s="4">
        <v>1</v>
      </c>
      <c r="O22" s="4">
        <v>1</v>
      </c>
    </row>
    <row r="23" spans="1:15">
      <c r="A23" s="4" t="s">
        <v>56</v>
      </c>
      <c r="B23" s="4" t="s">
        <v>57</v>
      </c>
      <c r="C23" s="8" t="s">
        <v>58</v>
      </c>
      <c r="D23" s="13">
        <v>1</v>
      </c>
      <c r="E23" s="13" t="s">
        <v>395</v>
      </c>
      <c r="F23" s="13">
        <v>1</v>
      </c>
      <c r="G23" s="22">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22">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22">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22">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22">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22">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22">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22">
        <v>0</v>
      </c>
      <c r="H30" s="20">
        <v>2</v>
      </c>
      <c r="I30" s="4">
        <v>4</v>
      </c>
      <c r="J30" s="4">
        <v>7</v>
      </c>
      <c r="K30" s="4" t="s">
        <v>11</v>
      </c>
      <c r="L30" s="4" t="s">
        <v>13</v>
      </c>
      <c r="M30" s="4">
        <v>2022</v>
      </c>
      <c r="N30" s="4">
        <v>1</v>
      </c>
      <c r="O30" s="4">
        <v>1</v>
      </c>
    </row>
    <row r="31" spans="1:15">
      <c r="A31" s="4" t="s">
        <v>64</v>
      </c>
      <c r="B31" s="4" t="s">
        <v>74</v>
      </c>
      <c r="C31" s="9" t="s">
        <v>68</v>
      </c>
      <c r="D31" s="13">
        <v>1</v>
      </c>
      <c r="E31" s="13" t="s">
        <v>397</v>
      </c>
      <c r="F31" s="13">
        <v>1</v>
      </c>
      <c r="G31" s="22">
        <v>0</v>
      </c>
      <c r="H31" s="20">
        <v>2</v>
      </c>
      <c r="I31" s="4">
        <v>5</v>
      </c>
      <c r="J31" s="4">
        <v>7</v>
      </c>
      <c r="K31" s="4" t="s">
        <v>11</v>
      </c>
      <c r="L31" s="4" t="s">
        <v>13</v>
      </c>
      <c r="M31" s="4">
        <v>2022</v>
      </c>
      <c r="N31" s="4">
        <v>1</v>
      </c>
      <c r="O31" s="4">
        <v>1</v>
      </c>
    </row>
    <row r="32" spans="1:15">
      <c r="A32" s="4" t="s">
        <v>64</v>
      </c>
      <c r="B32" s="4" t="s">
        <v>75</v>
      </c>
      <c r="C32" s="9" t="s">
        <v>69</v>
      </c>
      <c r="D32" s="13">
        <v>1</v>
      </c>
      <c r="E32" s="13" t="s">
        <v>399</v>
      </c>
      <c r="F32" s="13">
        <v>1</v>
      </c>
      <c r="G32" s="22">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22">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22">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22">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22">
        <v>0</v>
      </c>
      <c r="H36" s="20">
        <v>2</v>
      </c>
      <c r="I36" s="4">
        <v>3</v>
      </c>
      <c r="J36" s="4">
        <v>8</v>
      </c>
      <c r="K36" s="4" t="s">
        <v>11</v>
      </c>
      <c r="L36" s="4" t="s">
        <v>13</v>
      </c>
      <c r="M36" s="4">
        <v>2023</v>
      </c>
      <c r="N36" s="4">
        <v>1</v>
      </c>
      <c r="O36" s="4">
        <v>1</v>
      </c>
    </row>
    <row r="37" spans="1:15">
      <c r="A37" s="4" t="s">
        <v>77</v>
      </c>
      <c r="B37" s="4" t="s">
        <v>88</v>
      </c>
      <c r="C37" s="9" t="s">
        <v>82</v>
      </c>
      <c r="D37" s="13">
        <v>1</v>
      </c>
      <c r="E37" s="13" t="s">
        <v>399</v>
      </c>
      <c r="F37" s="13">
        <v>1</v>
      </c>
      <c r="G37" s="22">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22">
        <v>0</v>
      </c>
      <c r="H38" s="20">
        <v>2</v>
      </c>
      <c r="I38" s="4">
        <v>5</v>
      </c>
      <c r="J38" s="4">
        <v>8</v>
      </c>
      <c r="K38" s="4" t="s">
        <v>11</v>
      </c>
      <c r="L38" s="4" t="s">
        <v>13</v>
      </c>
      <c r="M38" s="4">
        <v>2023</v>
      </c>
      <c r="N38" s="4">
        <v>1</v>
      </c>
      <c r="O38" s="4">
        <v>1</v>
      </c>
    </row>
    <row r="39" spans="1:15">
      <c r="A39" s="4" t="s">
        <v>77</v>
      </c>
      <c r="B39" s="4" t="s">
        <v>90</v>
      </c>
      <c r="C39" s="9" t="s">
        <v>84</v>
      </c>
      <c r="D39" s="13">
        <v>1</v>
      </c>
      <c r="E39" s="13" t="s">
        <v>399</v>
      </c>
      <c r="F39" s="13">
        <v>1</v>
      </c>
      <c r="G39" s="22">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22">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22">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22">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22">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22">
        <v>0</v>
      </c>
      <c r="H44" s="20">
        <v>2</v>
      </c>
      <c r="I44" s="4">
        <v>4</v>
      </c>
      <c r="J44" s="4">
        <v>8</v>
      </c>
      <c r="K44" s="4" t="s">
        <v>11</v>
      </c>
      <c r="L44" s="4" t="s">
        <v>13</v>
      </c>
      <c r="M44" s="4">
        <v>2024</v>
      </c>
      <c r="N44" s="4">
        <v>1</v>
      </c>
      <c r="O44" s="4">
        <v>1</v>
      </c>
    </row>
    <row r="45" spans="1:15">
      <c r="A45" s="4" t="s">
        <v>92</v>
      </c>
      <c r="B45" s="4" t="s">
        <v>104</v>
      </c>
      <c r="C45" s="9" t="s">
        <v>97</v>
      </c>
      <c r="D45" s="13">
        <v>1</v>
      </c>
      <c r="E45" s="13" t="s">
        <v>397</v>
      </c>
      <c r="F45" s="13">
        <v>1</v>
      </c>
      <c r="G45" s="22">
        <v>0</v>
      </c>
      <c r="H45" s="20">
        <v>2</v>
      </c>
      <c r="I45" s="4">
        <v>5</v>
      </c>
      <c r="J45" s="4">
        <v>8</v>
      </c>
      <c r="K45" s="4" t="s">
        <v>11</v>
      </c>
      <c r="L45" s="4" t="s">
        <v>13</v>
      </c>
      <c r="M45" s="4">
        <v>2024</v>
      </c>
      <c r="N45" s="4">
        <v>1</v>
      </c>
      <c r="O45" s="4">
        <v>1</v>
      </c>
    </row>
    <row r="46" spans="1:15">
      <c r="A46" s="4" t="s">
        <v>92</v>
      </c>
      <c r="B46" s="4" t="s">
        <v>105</v>
      </c>
      <c r="C46" s="9" t="s">
        <v>98</v>
      </c>
      <c r="D46" s="13">
        <v>1</v>
      </c>
      <c r="E46" s="13" t="s">
        <v>399</v>
      </c>
      <c r="F46" s="13">
        <v>1</v>
      </c>
      <c r="G46" s="22">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22">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22">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22">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22">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22">
        <v>0</v>
      </c>
      <c r="H51" s="20">
        <v>2</v>
      </c>
      <c r="I51" s="4">
        <v>3</v>
      </c>
      <c r="J51" s="4">
        <v>8</v>
      </c>
      <c r="K51" s="4" t="s">
        <v>11</v>
      </c>
      <c r="L51" s="4" t="s">
        <v>13</v>
      </c>
      <c r="M51" s="4">
        <v>2025</v>
      </c>
      <c r="N51" s="4">
        <v>1</v>
      </c>
      <c r="O51" s="4">
        <v>1</v>
      </c>
    </row>
    <row r="52" spans="1:15">
      <c r="A52" s="4" t="s">
        <v>108</v>
      </c>
      <c r="B52" s="4" t="s">
        <v>119</v>
      </c>
      <c r="C52" s="9" t="s">
        <v>113</v>
      </c>
      <c r="D52" s="13">
        <v>1</v>
      </c>
      <c r="E52" s="13" t="s">
        <v>397</v>
      </c>
      <c r="F52" s="13">
        <v>1</v>
      </c>
      <c r="G52" s="22">
        <v>0</v>
      </c>
      <c r="H52" s="20">
        <v>2</v>
      </c>
      <c r="I52" s="4">
        <v>4</v>
      </c>
      <c r="J52" s="4">
        <v>8</v>
      </c>
      <c r="K52" s="4" t="s">
        <v>11</v>
      </c>
      <c r="L52" s="4" t="s">
        <v>13</v>
      </c>
      <c r="M52" s="4">
        <v>2025</v>
      </c>
      <c r="N52" s="4">
        <v>1</v>
      </c>
      <c r="O52" s="4">
        <v>1</v>
      </c>
    </row>
    <row r="53" spans="1:15">
      <c r="A53" s="4" t="s">
        <v>108</v>
      </c>
      <c r="B53" s="4" t="s">
        <v>120</v>
      </c>
      <c r="C53" s="9" t="s">
        <v>114</v>
      </c>
      <c r="D53" s="13">
        <v>1</v>
      </c>
      <c r="E53" s="13" t="s">
        <v>399</v>
      </c>
      <c r="F53" s="13">
        <v>1</v>
      </c>
      <c r="G53" s="22">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22">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22">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22">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22">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22">
        <v>0</v>
      </c>
      <c r="H58" s="13">
        <v>1</v>
      </c>
      <c r="I58" s="4">
        <v>8</v>
      </c>
      <c r="J58" s="4">
        <v>21</v>
      </c>
      <c r="K58" s="4" t="s">
        <v>124</v>
      </c>
      <c r="L58" s="4" t="s">
        <v>13</v>
      </c>
      <c r="M58" s="4">
        <v>2017</v>
      </c>
      <c r="N58" s="4">
        <v>1</v>
      </c>
      <c r="O58" s="4">
        <v>0</v>
      </c>
    </row>
    <row r="59" spans="1:15">
      <c r="A59" s="4" t="s">
        <v>123</v>
      </c>
      <c r="B59" s="4" t="s">
        <v>139</v>
      </c>
      <c r="C59" s="9" t="s">
        <v>128</v>
      </c>
      <c r="D59" s="13">
        <v>0</v>
      </c>
      <c r="F59" s="13">
        <v>1</v>
      </c>
      <c r="G59" s="22">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22">
        <v>0</v>
      </c>
      <c r="H60" s="13">
        <v>1</v>
      </c>
      <c r="I60" s="4">
        <v>11</v>
      </c>
      <c r="J60" s="4">
        <v>21</v>
      </c>
      <c r="K60" s="4" t="s">
        <v>124</v>
      </c>
      <c r="L60" s="4" t="s">
        <v>13</v>
      </c>
      <c r="M60" s="4">
        <v>2017</v>
      </c>
      <c r="N60" s="4">
        <v>1</v>
      </c>
      <c r="O60" s="4">
        <v>0</v>
      </c>
    </row>
    <row r="61" spans="1:15">
      <c r="A61" s="4" t="s">
        <v>123</v>
      </c>
      <c r="B61" s="4" t="s">
        <v>141</v>
      </c>
      <c r="C61" s="9" t="s">
        <v>130</v>
      </c>
      <c r="D61" s="13">
        <v>0</v>
      </c>
      <c r="F61" s="13">
        <v>1</v>
      </c>
      <c r="G61" s="22">
        <v>0</v>
      </c>
      <c r="H61" s="20">
        <v>1</v>
      </c>
      <c r="I61" s="4">
        <v>14</v>
      </c>
      <c r="J61" s="4">
        <v>21</v>
      </c>
      <c r="K61" s="4" t="s">
        <v>124</v>
      </c>
      <c r="L61" s="4" t="s">
        <v>13</v>
      </c>
      <c r="M61" s="4">
        <v>2017</v>
      </c>
      <c r="N61" s="4">
        <v>1</v>
      </c>
      <c r="O61" s="4">
        <v>0</v>
      </c>
    </row>
    <row r="62" spans="1:15">
      <c r="A62" s="4" t="s">
        <v>123</v>
      </c>
      <c r="B62" s="4" t="s">
        <v>142</v>
      </c>
      <c r="C62" s="9" t="s">
        <v>131</v>
      </c>
      <c r="D62" s="13">
        <v>0</v>
      </c>
      <c r="F62" s="13">
        <v>1</v>
      </c>
      <c r="G62" s="22">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22">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22">
        <v>0</v>
      </c>
      <c r="H64" s="20">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22">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22">
        <v>0</v>
      </c>
      <c r="H66" s="20">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22">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22">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22">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22">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22">
        <v>0</v>
      </c>
      <c r="H71" s="13">
        <v>1</v>
      </c>
      <c r="I71" s="4">
        <v>8</v>
      </c>
      <c r="J71" s="4">
        <v>25</v>
      </c>
      <c r="K71" s="4" t="s">
        <v>124</v>
      </c>
      <c r="L71" s="4" t="s">
        <v>13</v>
      </c>
      <c r="M71" s="4">
        <v>2018</v>
      </c>
      <c r="N71" s="4">
        <v>1</v>
      </c>
      <c r="O71" s="4">
        <v>0</v>
      </c>
    </row>
    <row r="72" spans="1:15">
      <c r="A72" s="4" t="s">
        <v>147</v>
      </c>
      <c r="B72" s="4" t="s">
        <v>164</v>
      </c>
      <c r="C72" s="9" t="s">
        <v>153</v>
      </c>
      <c r="D72" s="13">
        <v>0</v>
      </c>
      <c r="F72" s="13">
        <v>1</v>
      </c>
      <c r="G72" s="22">
        <v>0</v>
      </c>
      <c r="H72" s="13">
        <v>1</v>
      </c>
      <c r="I72" s="4">
        <v>14</v>
      </c>
      <c r="J72" s="4">
        <v>25</v>
      </c>
      <c r="K72" s="4" t="s">
        <v>124</v>
      </c>
      <c r="L72" s="4" t="s">
        <v>13</v>
      </c>
      <c r="M72" s="4">
        <v>2018</v>
      </c>
      <c r="N72" s="4">
        <v>1</v>
      </c>
      <c r="O72" s="4">
        <v>0</v>
      </c>
    </row>
    <row r="73" spans="1:15">
      <c r="A73" s="4" t="s">
        <v>147</v>
      </c>
      <c r="B73" s="4" t="s">
        <v>165</v>
      </c>
      <c r="C73" s="9" t="s">
        <v>154</v>
      </c>
      <c r="D73" s="13">
        <v>0</v>
      </c>
      <c r="F73" s="13">
        <v>1</v>
      </c>
      <c r="G73" s="22">
        <v>0</v>
      </c>
      <c r="H73" s="20">
        <v>1</v>
      </c>
      <c r="I73" s="4">
        <v>17</v>
      </c>
      <c r="J73" s="4">
        <v>25</v>
      </c>
      <c r="K73" s="4" t="s">
        <v>124</v>
      </c>
      <c r="L73" s="4" t="s">
        <v>13</v>
      </c>
      <c r="M73" s="4">
        <v>2018</v>
      </c>
      <c r="N73" s="4">
        <v>1</v>
      </c>
      <c r="O73" s="4">
        <v>0</v>
      </c>
    </row>
    <row r="74" spans="1:15">
      <c r="A74" s="4" t="s">
        <v>147</v>
      </c>
      <c r="B74" s="4" t="s">
        <v>166</v>
      </c>
      <c r="C74" s="9" t="s">
        <v>155</v>
      </c>
      <c r="D74" s="13">
        <v>0</v>
      </c>
      <c r="F74" s="13">
        <v>1</v>
      </c>
      <c r="G74" s="22">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22">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22">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22">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22">
        <v>0</v>
      </c>
      <c r="H78" s="20">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22">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22">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22">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22">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22">
        <v>1</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22">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22">
        <v>0</v>
      </c>
      <c r="H85" s="20">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22">
        <v>1</v>
      </c>
      <c r="H86" s="13">
        <v>1</v>
      </c>
      <c r="I86" s="4">
        <v>14</v>
      </c>
      <c r="J86" s="4">
        <v>16</v>
      </c>
      <c r="K86" s="4" t="s">
        <v>124</v>
      </c>
      <c r="L86" s="4" t="s">
        <v>13</v>
      </c>
      <c r="M86" s="4">
        <v>2019</v>
      </c>
      <c r="N86" s="4">
        <v>1</v>
      </c>
      <c r="O86" s="4">
        <v>1</v>
      </c>
    </row>
    <row r="87" spans="1:15">
      <c r="A87" s="4" t="s">
        <v>171</v>
      </c>
      <c r="B87" s="4" t="s">
        <v>189</v>
      </c>
      <c r="C87" s="9" t="s">
        <v>179</v>
      </c>
      <c r="D87" s="13">
        <v>0</v>
      </c>
      <c r="F87" s="13">
        <v>1</v>
      </c>
      <c r="G87" s="22">
        <v>1</v>
      </c>
      <c r="H87" s="13">
        <v>1</v>
      </c>
      <c r="I87" s="4">
        <v>15</v>
      </c>
      <c r="J87" s="4">
        <v>16</v>
      </c>
      <c r="K87" s="4" t="s">
        <v>124</v>
      </c>
      <c r="L87" s="4" t="s">
        <v>13</v>
      </c>
      <c r="M87" s="4">
        <v>2019</v>
      </c>
      <c r="N87" s="4">
        <v>1</v>
      </c>
      <c r="O87" s="4">
        <v>1</v>
      </c>
    </row>
    <row r="88" spans="1:15">
      <c r="A88" s="4" t="s">
        <v>171</v>
      </c>
      <c r="B88" s="4" t="s">
        <v>190</v>
      </c>
      <c r="C88" s="9" t="s">
        <v>180</v>
      </c>
      <c r="D88" s="13">
        <v>0</v>
      </c>
      <c r="F88" s="13">
        <v>1</v>
      </c>
      <c r="G88" s="22">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22">
        <v>1</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22">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22">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22">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22">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22">
        <v>1</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22">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22">
        <v>0</v>
      </c>
      <c r="H96" s="20">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22">
        <v>1</v>
      </c>
      <c r="H97" s="13">
        <v>1</v>
      </c>
      <c r="I97" s="4">
        <v>15</v>
      </c>
      <c r="J97" s="4">
        <v>17</v>
      </c>
      <c r="K97" s="4" t="s">
        <v>124</v>
      </c>
      <c r="L97" s="4" t="s">
        <v>13</v>
      </c>
      <c r="M97" s="4">
        <v>2020</v>
      </c>
      <c r="N97" s="4">
        <v>1</v>
      </c>
      <c r="O97" s="4">
        <v>1</v>
      </c>
    </row>
    <row r="98" spans="1:15">
      <c r="A98" s="4" t="s">
        <v>191</v>
      </c>
      <c r="B98" s="4" t="s">
        <v>213</v>
      </c>
      <c r="C98" s="11" t="s">
        <v>202</v>
      </c>
      <c r="D98" s="13">
        <v>0</v>
      </c>
      <c r="F98" s="13">
        <v>1</v>
      </c>
      <c r="G98" s="22">
        <v>0</v>
      </c>
      <c r="H98" s="13">
        <v>1</v>
      </c>
      <c r="I98" s="4">
        <v>16</v>
      </c>
      <c r="J98" s="4">
        <v>17</v>
      </c>
      <c r="K98" s="4" t="s">
        <v>124</v>
      </c>
      <c r="L98" s="4" t="s">
        <v>13</v>
      </c>
      <c r="M98" s="4">
        <v>2020</v>
      </c>
      <c r="N98" s="4">
        <v>1</v>
      </c>
      <c r="O98" s="4">
        <v>1</v>
      </c>
    </row>
    <row r="99" spans="1:15">
      <c r="A99" s="4" t="s">
        <v>191</v>
      </c>
      <c r="B99" s="4" t="s">
        <v>214</v>
      </c>
      <c r="C99" s="11" t="s">
        <v>203</v>
      </c>
      <c r="D99" s="13">
        <v>0</v>
      </c>
      <c r="F99" s="13">
        <v>1</v>
      </c>
      <c r="G99" s="22">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22">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22">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22">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22">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22">
        <v>0</v>
      </c>
      <c r="H104" s="20">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22">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22">
        <v>0</v>
      </c>
      <c r="H106" s="20">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22">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22">
        <v>0</v>
      </c>
      <c r="H108" s="20">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22">
        <v>1</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22">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22">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22">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22">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22">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22">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22">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22">
        <v>0</v>
      </c>
      <c r="H117" s="20">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22">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22">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22">
        <v>0</v>
      </c>
      <c r="H120" s="20">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22">
        <v>0</v>
      </c>
      <c r="H121" s="20">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22">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22">
        <v>0</v>
      </c>
      <c r="H123" s="20">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22">
        <v>1</v>
      </c>
      <c r="H124" s="20">
        <v>1</v>
      </c>
      <c r="I124" s="4">
        <v>27</v>
      </c>
      <c r="J124" s="4">
        <v>29</v>
      </c>
      <c r="K124" s="4" t="s">
        <v>124</v>
      </c>
      <c r="L124" s="4" t="s">
        <v>13</v>
      </c>
      <c r="M124" s="4">
        <v>2022</v>
      </c>
      <c r="N124" s="4">
        <v>1</v>
      </c>
      <c r="O124" s="4">
        <v>1</v>
      </c>
    </row>
    <row r="125" spans="1:16">
      <c r="A125" s="4" t="s">
        <v>241</v>
      </c>
      <c r="B125" s="4" t="s">
        <v>266</v>
      </c>
      <c r="C125" s="9" t="s">
        <v>404</v>
      </c>
      <c r="D125" s="13">
        <v>0</v>
      </c>
      <c r="F125" s="13">
        <v>1</v>
      </c>
      <c r="G125" s="22">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22">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22">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22">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22">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22">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22">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22">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22">
        <v>0</v>
      </c>
      <c r="H133" s="20">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22">
        <v>0</v>
      </c>
      <c r="H134" s="20">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22">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22">
        <v>1</v>
      </c>
      <c r="H136" s="20">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22">
        <v>1</v>
      </c>
      <c r="H137" s="20">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22">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22">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22">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22">
        <v>0</v>
      </c>
      <c r="H141" s="20">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22">
        <v>1</v>
      </c>
      <c r="H142" s="20">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22">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22">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22">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22">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22">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22">
        <v>0</v>
      </c>
      <c r="H148" s="20">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22">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22">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22">
        <v>0</v>
      </c>
      <c r="H151" s="20">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22">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22">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22">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22">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22">
        <v>0</v>
      </c>
      <c r="H156" s="20">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22">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22">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22">
        <v>0</v>
      </c>
      <c r="H159" s="20">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22">
        <v>0</v>
      </c>
      <c r="H160" s="20">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22">
        <v>1</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22">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22">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22">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22">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22">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22">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22">
        <v>1</v>
      </c>
      <c r="H168" s="20">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22">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22">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22">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22">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22">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22">
        <v>0</v>
      </c>
      <c r="H174" s="20">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22">
        <v>1</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22">
        <v>0</v>
      </c>
      <c r="H176" s="20">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22">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22">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22">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22">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22">
        <v>0</v>
      </c>
      <c r="H181" s="13">
        <v>1</v>
      </c>
      <c r="I181" s="4">
        <v>38</v>
      </c>
      <c r="J181" s="4">
        <v>46</v>
      </c>
      <c r="K181" s="4" t="s">
        <v>124</v>
      </c>
      <c r="L181" s="4" t="s">
        <v>13</v>
      </c>
      <c r="M181" s="4">
        <v>2025</v>
      </c>
      <c r="N181" s="4">
        <v>1</v>
      </c>
      <c r="O181" s="4">
        <v>1</v>
      </c>
      <c r="P181" s="4"/>
    </row>
    <row r="182" spans="1:16" ht="30" customHeight="1">
      <c r="A182" s="4" t="s">
        <v>347</v>
      </c>
      <c r="B182" s="4" t="s">
        <v>385</v>
      </c>
      <c r="C182" s="9" t="s">
        <v>382</v>
      </c>
      <c r="D182" s="13">
        <v>1</v>
      </c>
      <c r="E182" s="13" t="s">
        <v>397</v>
      </c>
      <c r="F182" s="13">
        <v>1</v>
      </c>
      <c r="G182" s="22">
        <v>1</v>
      </c>
      <c r="H182" s="20">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22">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22">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22">
        <v>0</v>
      </c>
      <c r="H185" s="13">
        <v>1</v>
      </c>
      <c r="I185" s="4">
        <v>46</v>
      </c>
      <c r="J185" s="4">
        <v>46</v>
      </c>
      <c r="K185" s="4" t="s">
        <v>124</v>
      </c>
      <c r="L185" s="4" t="s">
        <v>13</v>
      </c>
      <c r="M185" s="4">
        <v>2025</v>
      </c>
      <c r="N185" s="4">
        <v>1</v>
      </c>
      <c r="O185" s="4">
        <v>1</v>
      </c>
      <c r="P185" s="4"/>
    </row>
    <row r="186" spans="1:16">
      <c r="A186" s="4" t="s">
        <v>414</v>
      </c>
      <c r="B186" s="4" t="s">
        <v>416</v>
      </c>
      <c r="C186" s="9" t="s">
        <v>417</v>
      </c>
      <c r="D186" s="13">
        <v>0</v>
      </c>
      <c r="F186" s="13">
        <v>1</v>
      </c>
      <c r="G186" s="23">
        <v>0</v>
      </c>
      <c r="H186" s="13">
        <v>1</v>
      </c>
      <c r="I186" s="4">
        <v>5</v>
      </c>
      <c r="J186" s="4">
        <v>11</v>
      </c>
      <c r="K186" s="4" t="s">
        <v>415</v>
      </c>
      <c r="L186" s="4" t="s">
        <v>13</v>
      </c>
      <c r="M186" s="4">
        <v>2019</v>
      </c>
      <c r="N186" s="4">
        <v>1</v>
      </c>
      <c r="O186" s="4">
        <v>1</v>
      </c>
    </row>
    <row r="187" spans="1:16">
      <c r="A187" s="4" t="s">
        <v>414</v>
      </c>
      <c r="B187" s="4" t="s">
        <v>418</v>
      </c>
      <c r="C187" s="9" t="s">
        <v>419</v>
      </c>
      <c r="D187" s="13">
        <v>0</v>
      </c>
      <c r="F187" s="13">
        <v>1</v>
      </c>
      <c r="G187" s="23">
        <v>0</v>
      </c>
      <c r="I187" s="4">
        <v>6</v>
      </c>
      <c r="J187" s="4">
        <v>11</v>
      </c>
      <c r="K187" s="4" t="s">
        <v>415</v>
      </c>
      <c r="L187" s="4" t="s">
        <v>13</v>
      </c>
      <c r="M187" s="4">
        <v>2019</v>
      </c>
      <c r="N187" s="4">
        <v>1</v>
      </c>
      <c r="O187" s="4">
        <v>1</v>
      </c>
    </row>
    <row r="188" spans="1:16" ht="17" customHeight="1">
      <c r="A188" s="4" t="s">
        <v>414</v>
      </c>
      <c r="B188" s="4" t="s">
        <v>472</v>
      </c>
      <c r="C188" s="9" t="s">
        <v>475</v>
      </c>
      <c r="F188" s="13">
        <v>1</v>
      </c>
      <c r="G188" s="23">
        <v>1</v>
      </c>
      <c r="I188" s="4">
        <v>8</v>
      </c>
      <c r="J188" s="4">
        <v>11</v>
      </c>
      <c r="K188" s="4" t="s">
        <v>415</v>
      </c>
      <c r="L188" s="4" t="s">
        <v>13</v>
      </c>
      <c r="M188" s="4">
        <v>2019</v>
      </c>
      <c r="N188" s="4">
        <v>1</v>
      </c>
      <c r="O188" s="4">
        <v>1</v>
      </c>
    </row>
    <row r="189" spans="1:16" ht="17" customHeight="1">
      <c r="A189" s="4" t="s">
        <v>414</v>
      </c>
      <c r="B189" s="4" t="s">
        <v>473</v>
      </c>
      <c r="C189" s="9" t="s">
        <v>474</v>
      </c>
      <c r="F189" s="13">
        <v>1</v>
      </c>
      <c r="G189" s="23">
        <v>1</v>
      </c>
      <c r="I189" s="4">
        <v>9</v>
      </c>
      <c r="J189" s="4">
        <v>11</v>
      </c>
      <c r="K189" s="4" t="s">
        <v>415</v>
      </c>
      <c r="L189" s="4" t="s">
        <v>13</v>
      </c>
      <c r="M189" s="4">
        <v>2019</v>
      </c>
      <c r="N189" s="4">
        <v>1</v>
      </c>
      <c r="O189" s="4">
        <v>1</v>
      </c>
    </row>
    <row r="190" spans="1:16">
      <c r="A190" s="4" t="s">
        <v>414</v>
      </c>
      <c r="B190" s="4" t="s">
        <v>476</v>
      </c>
      <c r="C190" s="9" t="s">
        <v>477</v>
      </c>
      <c r="F190" s="13">
        <v>1</v>
      </c>
      <c r="G190" s="23">
        <v>0</v>
      </c>
      <c r="I190" s="4">
        <v>10</v>
      </c>
      <c r="J190" s="4">
        <v>11</v>
      </c>
      <c r="K190" s="4" t="s">
        <v>415</v>
      </c>
      <c r="L190" s="4" t="s">
        <v>13</v>
      </c>
      <c r="M190" s="4">
        <v>2019</v>
      </c>
      <c r="N190" s="4">
        <v>1</v>
      </c>
      <c r="O190" s="4">
        <v>1</v>
      </c>
    </row>
    <row r="191" spans="1:16">
      <c r="A191" s="4" t="s">
        <v>420</v>
      </c>
      <c r="B191" s="4" t="s">
        <v>421</v>
      </c>
      <c r="C191" s="9" t="s">
        <v>422</v>
      </c>
      <c r="D191" s="13">
        <v>0</v>
      </c>
      <c r="F191" s="13">
        <v>1</v>
      </c>
      <c r="G191" s="23">
        <v>1</v>
      </c>
      <c r="I191" s="4">
        <v>1</v>
      </c>
      <c r="J191" s="4">
        <v>15</v>
      </c>
      <c r="K191" s="4" t="s">
        <v>415</v>
      </c>
      <c r="L191" s="4" t="s">
        <v>13</v>
      </c>
      <c r="M191" s="4">
        <v>2025</v>
      </c>
      <c r="N191" s="4">
        <v>1</v>
      </c>
      <c r="O191" s="4">
        <v>1</v>
      </c>
    </row>
    <row r="192" spans="1:16">
      <c r="A192" s="4" t="s">
        <v>420</v>
      </c>
      <c r="B192" s="4" t="s">
        <v>423</v>
      </c>
      <c r="C192" s="9" t="s">
        <v>424</v>
      </c>
      <c r="D192" s="13">
        <v>0</v>
      </c>
      <c r="F192" s="13">
        <v>1</v>
      </c>
      <c r="G192" s="23">
        <v>0</v>
      </c>
      <c r="I192" s="4">
        <v>2</v>
      </c>
      <c r="J192" s="4">
        <v>15</v>
      </c>
      <c r="K192" s="4" t="s">
        <v>415</v>
      </c>
      <c r="L192" s="4" t="s">
        <v>13</v>
      </c>
      <c r="M192" s="4">
        <v>2025</v>
      </c>
      <c r="N192" s="4">
        <v>1</v>
      </c>
      <c r="O192" s="4">
        <v>1</v>
      </c>
    </row>
    <row r="193" spans="1:15">
      <c r="A193" s="4" t="s">
        <v>420</v>
      </c>
      <c r="B193" s="4" t="s">
        <v>425</v>
      </c>
      <c r="C193" s="9" t="s">
        <v>426</v>
      </c>
      <c r="D193" s="13">
        <v>1</v>
      </c>
      <c r="E193" s="13" t="s">
        <v>399</v>
      </c>
      <c r="F193" s="13">
        <v>1</v>
      </c>
      <c r="G193" s="23">
        <v>1</v>
      </c>
      <c r="I193" s="4">
        <v>4</v>
      </c>
      <c r="J193" s="4">
        <v>15</v>
      </c>
      <c r="K193" s="4" t="s">
        <v>415</v>
      </c>
      <c r="L193" s="4" t="s">
        <v>13</v>
      </c>
      <c r="M193" s="4">
        <v>2025</v>
      </c>
      <c r="N193" s="4">
        <v>1</v>
      </c>
      <c r="O193" s="4">
        <v>1</v>
      </c>
    </row>
    <row r="194" spans="1:15">
      <c r="A194" s="4" t="s">
        <v>420</v>
      </c>
      <c r="B194" s="4" t="s">
        <v>427</v>
      </c>
      <c r="C194" s="9" t="s">
        <v>428</v>
      </c>
      <c r="D194" s="13">
        <v>1</v>
      </c>
      <c r="E194" s="13" t="s">
        <v>395</v>
      </c>
      <c r="F194" s="13">
        <v>1</v>
      </c>
      <c r="G194" s="23">
        <v>1</v>
      </c>
      <c r="I194" s="4">
        <v>5</v>
      </c>
      <c r="J194" s="4">
        <v>15</v>
      </c>
      <c r="K194" s="4" t="s">
        <v>415</v>
      </c>
      <c r="L194" s="4" t="s">
        <v>13</v>
      </c>
      <c r="M194" s="4">
        <v>2025</v>
      </c>
      <c r="N194" s="4">
        <v>1</v>
      </c>
      <c r="O194" s="4">
        <v>1</v>
      </c>
    </row>
    <row r="195" spans="1:15">
      <c r="A195" s="4" t="s">
        <v>420</v>
      </c>
      <c r="B195" s="4" t="s">
        <v>429</v>
      </c>
      <c r="C195" s="9" t="s">
        <v>430</v>
      </c>
      <c r="D195" s="13">
        <v>1</v>
      </c>
      <c r="E195" s="13" t="s">
        <v>399</v>
      </c>
      <c r="F195" s="13">
        <v>1</v>
      </c>
      <c r="G195" s="23">
        <v>1</v>
      </c>
      <c r="I195" s="4">
        <v>6</v>
      </c>
      <c r="J195" s="4">
        <v>15</v>
      </c>
      <c r="K195" s="4" t="s">
        <v>415</v>
      </c>
      <c r="L195" s="4" t="s">
        <v>13</v>
      </c>
      <c r="M195" s="4">
        <v>2025</v>
      </c>
      <c r="N195" s="4">
        <v>1</v>
      </c>
      <c r="O195" s="4">
        <v>1</v>
      </c>
    </row>
    <row r="196" spans="1:15">
      <c r="A196" s="4" t="s">
        <v>420</v>
      </c>
      <c r="B196" s="4" t="s">
        <v>431</v>
      </c>
      <c r="C196" s="9" t="s">
        <v>432</v>
      </c>
      <c r="D196" s="13">
        <v>1</v>
      </c>
      <c r="E196" s="13" t="s">
        <v>395</v>
      </c>
      <c r="F196" s="13">
        <v>1</v>
      </c>
      <c r="G196" s="23">
        <v>1</v>
      </c>
      <c r="I196" s="4">
        <v>7</v>
      </c>
      <c r="J196" s="4">
        <v>15</v>
      </c>
      <c r="K196" s="4" t="s">
        <v>415</v>
      </c>
      <c r="L196" s="4" t="s">
        <v>13</v>
      </c>
      <c r="M196" s="4">
        <v>2025</v>
      </c>
      <c r="N196" s="4">
        <v>1</v>
      </c>
      <c r="O196" s="4">
        <v>1</v>
      </c>
    </row>
    <row r="197" spans="1:15">
      <c r="A197" s="4" t="s">
        <v>420</v>
      </c>
      <c r="B197" s="4" t="s">
        <v>433</v>
      </c>
      <c r="C197" s="9" t="s">
        <v>434</v>
      </c>
      <c r="D197" s="13">
        <v>1</v>
      </c>
      <c r="E197" s="13" t="s">
        <v>395</v>
      </c>
      <c r="F197" s="13">
        <v>1</v>
      </c>
      <c r="G197" s="23">
        <v>1</v>
      </c>
      <c r="I197" s="4">
        <v>8</v>
      </c>
      <c r="J197" s="4">
        <v>15</v>
      </c>
      <c r="K197" s="4" t="s">
        <v>415</v>
      </c>
      <c r="L197" s="4" t="s">
        <v>13</v>
      </c>
      <c r="M197" s="4">
        <v>2025</v>
      </c>
      <c r="N197" s="4">
        <v>1</v>
      </c>
      <c r="O197" s="4">
        <v>1</v>
      </c>
    </row>
    <row r="198" spans="1:15">
      <c r="A198" s="4" t="s">
        <v>420</v>
      </c>
      <c r="B198" s="4" t="s">
        <v>435</v>
      </c>
      <c r="C198" s="9" t="s">
        <v>436</v>
      </c>
      <c r="D198" s="13">
        <v>1</v>
      </c>
      <c r="E198" s="13" t="s">
        <v>395</v>
      </c>
      <c r="F198" s="13">
        <v>1</v>
      </c>
      <c r="G198" s="23">
        <v>1</v>
      </c>
      <c r="I198" s="4">
        <v>9</v>
      </c>
      <c r="J198" s="4">
        <v>15</v>
      </c>
      <c r="K198" s="4" t="s">
        <v>415</v>
      </c>
      <c r="L198" s="4" t="s">
        <v>13</v>
      </c>
      <c r="M198" s="4">
        <v>2025</v>
      </c>
      <c r="N198" s="4">
        <v>1</v>
      </c>
      <c r="O198" s="4">
        <v>1</v>
      </c>
    </row>
    <row r="199" spans="1:15">
      <c r="A199" s="4" t="s">
        <v>420</v>
      </c>
      <c r="B199" s="4" t="s">
        <v>437</v>
      </c>
      <c r="C199" s="9" t="s">
        <v>438</v>
      </c>
      <c r="D199" s="13">
        <v>1</v>
      </c>
      <c r="E199" s="13" t="s">
        <v>399</v>
      </c>
      <c r="F199" s="13">
        <v>1</v>
      </c>
      <c r="G199" s="23">
        <v>1</v>
      </c>
      <c r="I199" s="4">
        <v>10</v>
      </c>
      <c r="J199" s="4">
        <v>15</v>
      </c>
      <c r="K199" s="4" t="s">
        <v>415</v>
      </c>
      <c r="L199" s="4" t="s">
        <v>13</v>
      </c>
      <c r="M199" s="4">
        <v>2025</v>
      </c>
      <c r="N199" s="4">
        <v>1</v>
      </c>
      <c r="O199" s="4">
        <v>1</v>
      </c>
    </row>
    <row r="200" spans="1:15">
      <c r="A200" s="4" t="s">
        <v>420</v>
      </c>
      <c r="B200" s="4" t="s">
        <v>439</v>
      </c>
      <c r="C200" s="9" t="s">
        <v>440</v>
      </c>
      <c r="D200" s="13">
        <v>1</v>
      </c>
      <c r="E200" s="13" t="s">
        <v>395</v>
      </c>
      <c r="F200" s="13">
        <v>1</v>
      </c>
      <c r="G200" s="23">
        <v>1</v>
      </c>
      <c r="I200" s="4">
        <v>11</v>
      </c>
      <c r="J200" s="4">
        <v>15</v>
      </c>
      <c r="K200" s="4" t="s">
        <v>415</v>
      </c>
      <c r="L200" s="4" t="s">
        <v>13</v>
      </c>
      <c r="M200" s="4">
        <v>2025</v>
      </c>
      <c r="N200" s="4">
        <v>1</v>
      </c>
      <c r="O200" s="4">
        <v>1</v>
      </c>
    </row>
    <row r="201" spans="1:15">
      <c r="A201" s="4" t="s">
        <v>420</v>
      </c>
      <c r="B201" s="4" t="s">
        <v>441</v>
      </c>
      <c r="C201" s="9" t="s">
        <v>442</v>
      </c>
      <c r="D201" s="13">
        <v>1</v>
      </c>
      <c r="E201" s="13" t="s">
        <v>443</v>
      </c>
      <c r="F201" s="13">
        <v>1</v>
      </c>
      <c r="G201" s="23">
        <v>1</v>
      </c>
      <c r="I201" s="4">
        <v>12</v>
      </c>
      <c r="J201" s="4">
        <v>15</v>
      </c>
      <c r="K201" s="4" t="s">
        <v>415</v>
      </c>
      <c r="L201" s="4" t="s">
        <v>13</v>
      </c>
      <c r="M201" s="4">
        <v>2025</v>
      </c>
      <c r="N201" s="4">
        <v>1</v>
      </c>
      <c r="O201" s="4">
        <v>1</v>
      </c>
    </row>
    <row r="202" spans="1:15">
      <c r="A202" s="4" t="s">
        <v>420</v>
      </c>
      <c r="B202" s="4" t="s">
        <v>444</v>
      </c>
      <c r="C202" s="9" t="s">
        <v>445</v>
      </c>
      <c r="D202" s="13">
        <v>1</v>
      </c>
      <c r="E202" s="13" t="s">
        <v>395</v>
      </c>
      <c r="F202" s="13">
        <v>1</v>
      </c>
      <c r="G202" s="23">
        <v>1</v>
      </c>
      <c r="I202" s="4">
        <v>13</v>
      </c>
      <c r="J202" s="4">
        <v>15</v>
      </c>
      <c r="K202" s="4" t="s">
        <v>415</v>
      </c>
      <c r="L202" s="4" t="s">
        <v>13</v>
      </c>
      <c r="M202" s="4">
        <v>2025</v>
      </c>
      <c r="N202" s="4">
        <v>1</v>
      </c>
      <c r="O202" s="4">
        <v>1</v>
      </c>
    </row>
    <row r="203" spans="1:15">
      <c r="A203" s="4" t="s">
        <v>420</v>
      </c>
      <c r="B203" s="4" t="s">
        <v>446</v>
      </c>
      <c r="C203" s="9" t="s">
        <v>447</v>
      </c>
      <c r="D203" s="13">
        <v>1</v>
      </c>
      <c r="E203" s="13" t="s">
        <v>399</v>
      </c>
      <c r="F203" s="13">
        <v>1</v>
      </c>
      <c r="G203" s="23">
        <v>1</v>
      </c>
      <c r="I203" s="4">
        <v>14</v>
      </c>
      <c r="J203" s="4">
        <v>15</v>
      </c>
      <c r="K203" s="4" t="s">
        <v>415</v>
      </c>
      <c r="L203" s="4" t="s">
        <v>13</v>
      </c>
      <c r="M203" s="4">
        <v>2025</v>
      </c>
      <c r="N203" s="4">
        <v>1</v>
      </c>
      <c r="O203" s="4">
        <v>1</v>
      </c>
    </row>
    <row r="204" spans="1:15">
      <c r="A204" s="4" t="s">
        <v>420</v>
      </c>
      <c r="B204" s="4" t="s">
        <v>448</v>
      </c>
      <c r="C204" s="9" t="s">
        <v>449</v>
      </c>
      <c r="D204" s="13">
        <v>1</v>
      </c>
      <c r="E204" s="13" t="s">
        <v>395</v>
      </c>
      <c r="F204" s="13">
        <v>1</v>
      </c>
      <c r="G204" s="23">
        <v>1</v>
      </c>
      <c r="I204" s="4">
        <v>15</v>
      </c>
      <c r="J204" s="4">
        <v>15</v>
      </c>
      <c r="K204" s="4" t="s">
        <v>415</v>
      </c>
      <c r="L204" s="4" t="s">
        <v>13</v>
      </c>
      <c r="M204" s="4">
        <v>2025</v>
      </c>
      <c r="N204" s="4">
        <v>1</v>
      </c>
      <c r="O204" s="4">
        <v>1</v>
      </c>
    </row>
    <row r="205" spans="1:15">
      <c r="A205" s="4" t="s">
        <v>450</v>
      </c>
      <c r="B205" s="4" t="s">
        <v>452</v>
      </c>
      <c r="C205" s="9" t="s">
        <v>453</v>
      </c>
      <c r="D205" s="13">
        <v>0</v>
      </c>
      <c r="F205" s="13">
        <v>1</v>
      </c>
      <c r="G205" s="23">
        <v>1</v>
      </c>
      <c r="I205" s="4">
        <v>2</v>
      </c>
      <c r="J205" s="4">
        <v>7</v>
      </c>
      <c r="K205" s="4" t="s">
        <v>451</v>
      </c>
      <c r="L205" s="4" t="s">
        <v>13</v>
      </c>
      <c r="M205" s="4">
        <v>2019</v>
      </c>
      <c r="N205" s="4">
        <v>1</v>
      </c>
      <c r="O205" s="4">
        <v>1</v>
      </c>
    </row>
    <row r="206" spans="1:15">
      <c r="A206" s="4" t="s">
        <v>450</v>
      </c>
      <c r="B206" s="4" t="s">
        <v>454</v>
      </c>
      <c r="C206" s="9" t="s">
        <v>455</v>
      </c>
      <c r="D206" s="13">
        <v>1</v>
      </c>
      <c r="E206" s="13" t="s">
        <v>397</v>
      </c>
      <c r="F206" s="13">
        <v>1</v>
      </c>
      <c r="G206" s="23">
        <v>1</v>
      </c>
      <c r="I206" s="4">
        <v>5</v>
      </c>
      <c r="J206" s="4">
        <v>7</v>
      </c>
      <c r="K206" s="4" t="s">
        <v>451</v>
      </c>
      <c r="L206" s="4" t="s">
        <v>13</v>
      </c>
      <c r="M206" s="4">
        <v>2019</v>
      </c>
      <c r="N206" s="4">
        <v>1</v>
      </c>
      <c r="O206" s="4">
        <v>1</v>
      </c>
    </row>
    <row r="207" spans="1:15">
      <c r="A207" s="4" t="s">
        <v>450</v>
      </c>
      <c r="B207" s="4" t="s">
        <v>456</v>
      </c>
      <c r="C207" s="9" t="s">
        <v>457</v>
      </c>
      <c r="D207" s="13">
        <v>1</v>
      </c>
      <c r="E207" s="13" t="s">
        <v>399</v>
      </c>
      <c r="F207" s="13">
        <v>1</v>
      </c>
      <c r="G207" s="23">
        <v>0</v>
      </c>
      <c r="I207" s="4">
        <v>7</v>
      </c>
      <c r="J207" s="4">
        <v>7</v>
      </c>
      <c r="K207" s="4" t="s">
        <v>451</v>
      </c>
      <c r="L207" s="4" t="s">
        <v>13</v>
      </c>
      <c r="M207" s="4">
        <v>2019</v>
      </c>
      <c r="N207" s="4">
        <v>1</v>
      </c>
      <c r="O207" s="4">
        <v>1</v>
      </c>
    </row>
    <row r="208" spans="1:15">
      <c r="A208" s="4" t="s">
        <v>458</v>
      </c>
      <c r="B208" s="4" t="s">
        <v>459</v>
      </c>
      <c r="C208" s="9" t="s">
        <v>460</v>
      </c>
      <c r="D208" s="13">
        <v>1</v>
      </c>
      <c r="E208" s="13" t="s">
        <v>399</v>
      </c>
      <c r="F208" s="13">
        <v>1</v>
      </c>
      <c r="G208" s="23">
        <v>0</v>
      </c>
      <c r="I208" s="4">
        <v>4</v>
      </c>
      <c r="J208" s="4">
        <v>5</v>
      </c>
      <c r="K208" s="4" t="s">
        <v>451</v>
      </c>
      <c r="L208" s="4" t="s">
        <v>13</v>
      </c>
      <c r="M208" s="4">
        <v>2020</v>
      </c>
      <c r="N208" s="4">
        <v>1</v>
      </c>
      <c r="O208" s="4">
        <v>1</v>
      </c>
    </row>
    <row r="209" spans="1:15">
      <c r="A209" s="4" t="s">
        <v>458</v>
      </c>
      <c r="B209" s="4" t="s">
        <v>461</v>
      </c>
      <c r="C209" s="9" t="s">
        <v>462</v>
      </c>
      <c r="D209" s="13">
        <v>1</v>
      </c>
      <c r="E209" s="13" t="s">
        <v>399</v>
      </c>
      <c r="F209" s="13">
        <v>1</v>
      </c>
      <c r="G209" s="23">
        <v>0</v>
      </c>
      <c r="I209" s="4">
        <v>5</v>
      </c>
      <c r="J209" s="4">
        <v>5</v>
      </c>
      <c r="K209" s="4" t="s">
        <v>451</v>
      </c>
      <c r="L209" s="4" t="s">
        <v>13</v>
      </c>
      <c r="M209" s="4">
        <v>2020</v>
      </c>
      <c r="N209" s="4">
        <v>1</v>
      </c>
      <c r="O209" s="4">
        <v>1</v>
      </c>
    </row>
    <row r="210" spans="1:15">
      <c r="A210" s="4" t="s">
        <v>463</v>
      </c>
      <c r="B210" s="4" t="s">
        <v>464</v>
      </c>
      <c r="C210" s="9" t="s">
        <v>465</v>
      </c>
      <c r="D210" s="13">
        <v>1</v>
      </c>
      <c r="E210" s="13" t="s">
        <v>399</v>
      </c>
      <c r="F210" s="13">
        <v>1</v>
      </c>
      <c r="G210" s="23">
        <v>1</v>
      </c>
      <c r="I210" s="4">
        <v>2</v>
      </c>
      <c r="J210" s="4">
        <v>8</v>
      </c>
      <c r="K210" s="4" t="s">
        <v>451</v>
      </c>
      <c r="L210" s="4" t="s">
        <v>13</v>
      </c>
      <c r="M210" s="4">
        <v>2021</v>
      </c>
      <c r="N210" s="4">
        <v>1</v>
      </c>
      <c r="O210" s="4">
        <v>1</v>
      </c>
    </row>
    <row r="211" spans="1:15">
      <c r="A211" s="4" t="s">
        <v>463</v>
      </c>
      <c r="B211" s="4" t="s">
        <v>466</v>
      </c>
      <c r="C211" s="9" t="s">
        <v>467</v>
      </c>
      <c r="D211" s="13">
        <v>1</v>
      </c>
      <c r="E211" s="13" t="s">
        <v>399</v>
      </c>
      <c r="F211" s="13">
        <v>1</v>
      </c>
      <c r="G211" s="23">
        <v>0</v>
      </c>
      <c r="I211" s="4">
        <v>4</v>
      </c>
      <c r="J211" s="4">
        <v>8</v>
      </c>
      <c r="K211" s="4" t="s">
        <v>451</v>
      </c>
      <c r="L211" s="4" t="s">
        <v>13</v>
      </c>
      <c r="M211" s="4">
        <v>2021</v>
      </c>
      <c r="N211" s="4">
        <v>1</v>
      </c>
      <c r="O211" s="4">
        <v>1</v>
      </c>
    </row>
    <row r="212" spans="1:15">
      <c r="A212" s="4" t="s">
        <v>463</v>
      </c>
      <c r="B212" s="4" t="s">
        <v>468</v>
      </c>
      <c r="C212" s="9" t="s">
        <v>469</v>
      </c>
      <c r="D212" s="13">
        <v>0</v>
      </c>
      <c r="F212" s="13">
        <v>1</v>
      </c>
      <c r="G212" s="23">
        <v>0</v>
      </c>
      <c r="I212" s="4">
        <v>6</v>
      </c>
      <c r="J212" s="4">
        <v>8</v>
      </c>
      <c r="K212" s="4" t="s">
        <v>451</v>
      </c>
      <c r="L212" s="4" t="s">
        <v>13</v>
      </c>
      <c r="M212" s="4">
        <v>2021</v>
      </c>
      <c r="N212" s="4">
        <v>1</v>
      </c>
      <c r="O212" s="4">
        <v>1</v>
      </c>
    </row>
    <row r="213" spans="1:15">
      <c r="A213" s="4" t="s">
        <v>463</v>
      </c>
      <c r="B213" s="4" t="s">
        <v>470</v>
      </c>
      <c r="C213" s="9" t="s">
        <v>471</v>
      </c>
      <c r="D213" s="13">
        <v>1</v>
      </c>
      <c r="E213" s="13" t="s">
        <v>397</v>
      </c>
      <c r="F213" s="13">
        <v>1</v>
      </c>
      <c r="G213" s="23">
        <v>0</v>
      </c>
      <c r="I213" s="4">
        <v>7</v>
      </c>
      <c r="J213" s="4">
        <v>8</v>
      </c>
      <c r="K213" s="4" t="s">
        <v>451</v>
      </c>
      <c r="L213" s="4" t="s">
        <v>13</v>
      </c>
      <c r="M213" s="4">
        <v>2021</v>
      </c>
      <c r="N213" s="4">
        <v>1</v>
      </c>
      <c r="O213" s="4">
        <v>1</v>
      </c>
    </row>
    <row r="214" spans="1:15">
      <c r="A214" s="4" t="s">
        <v>478</v>
      </c>
      <c r="B214" s="4" t="s">
        <v>479</v>
      </c>
      <c r="C214" t="s">
        <v>480</v>
      </c>
      <c r="F214" s="13">
        <v>1</v>
      </c>
      <c r="G214" s="23">
        <v>0</v>
      </c>
      <c r="I214" s="4">
        <v>1</v>
      </c>
      <c r="J214" s="4">
        <v>8</v>
      </c>
      <c r="K214" s="4" t="s">
        <v>451</v>
      </c>
      <c r="L214" s="4" t="s">
        <v>13</v>
      </c>
      <c r="M214" s="4">
        <v>2022</v>
      </c>
      <c r="N214" s="4">
        <v>1</v>
      </c>
      <c r="O214" s="4">
        <v>1</v>
      </c>
    </row>
    <row r="215" spans="1:15">
      <c r="A215" s="4" t="s">
        <v>478</v>
      </c>
      <c r="B215" s="4" t="s">
        <v>481</v>
      </c>
      <c r="C215" s="9" t="s">
        <v>482</v>
      </c>
      <c r="F215" s="13">
        <v>1</v>
      </c>
      <c r="G215" s="23">
        <v>1</v>
      </c>
      <c r="I215" s="4">
        <v>2</v>
      </c>
      <c r="J215" s="4">
        <v>8</v>
      </c>
      <c r="K215" s="4" t="s">
        <v>451</v>
      </c>
      <c r="L215" s="4" t="s">
        <v>13</v>
      </c>
      <c r="M215" s="4">
        <v>2022</v>
      </c>
      <c r="N215" s="4">
        <v>1</v>
      </c>
      <c r="O215" s="4">
        <v>1</v>
      </c>
    </row>
    <row r="216" spans="1:15">
      <c r="A216" s="4" t="s">
        <v>478</v>
      </c>
      <c r="B216" s="4" t="s">
        <v>485</v>
      </c>
      <c r="C216" s="9" t="s">
        <v>483</v>
      </c>
      <c r="F216" s="13">
        <v>1</v>
      </c>
      <c r="G216" s="23">
        <v>0</v>
      </c>
      <c r="I216" s="4">
        <v>5</v>
      </c>
      <c r="J216" s="4">
        <v>8</v>
      </c>
      <c r="K216" s="4" t="s">
        <v>451</v>
      </c>
      <c r="L216" s="4" t="s">
        <v>13</v>
      </c>
      <c r="M216" s="4">
        <v>2022</v>
      </c>
      <c r="N216" s="4">
        <v>1</v>
      </c>
      <c r="O216" s="4">
        <v>1</v>
      </c>
    </row>
    <row r="217" spans="1:15">
      <c r="A217" s="4" t="s">
        <v>478</v>
      </c>
      <c r="B217" s="4" t="s">
        <v>486</v>
      </c>
      <c r="C217" s="9" t="s">
        <v>484</v>
      </c>
      <c r="F217" s="13">
        <v>1</v>
      </c>
      <c r="G217" s="23">
        <v>0</v>
      </c>
      <c r="I217" s="4">
        <v>7</v>
      </c>
      <c r="J217" s="4">
        <v>8</v>
      </c>
      <c r="K217" s="4" t="s">
        <v>451</v>
      </c>
      <c r="L217" s="4" t="s">
        <v>13</v>
      </c>
      <c r="M217" s="4">
        <v>2022</v>
      </c>
      <c r="N217" s="4">
        <v>1</v>
      </c>
      <c r="O217" s="4">
        <v>1</v>
      </c>
    </row>
    <row r="218" spans="1:15">
      <c r="A218" s="4" t="s">
        <v>487</v>
      </c>
      <c r="B218" s="4" t="s">
        <v>492</v>
      </c>
      <c r="C218" s="9" t="s">
        <v>488</v>
      </c>
      <c r="F218" s="13">
        <v>1</v>
      </c>
      <c r="G218" s="23">
        <v>0</v>
      </c>
      <c r="I218" s="4">
        <v>3</v>
      </c>
      <c r="J218" s="4">
        <v>10</v>
      </c>
      <c r="K218" s="4" t="s">
        <v>451</v>
      </c>
      <c r="L218" s="4" t="s">
        <v>13</v>
      </c>
      <c r="M218" s="4">
        <v>2023</v>
      </c>
      <c r="N218" s="4">
        <v>1</v>
      </c>
      <c r="O218" s="4">
        <v>1</v>
      </c>
    </row>
    <row r="219" spans="1:15">
      <c r="A219" s="4" t="s">
        <v>487</v>
      </c>
      <c r="B219" s="4" t="s">
        <v>493</v>
      </c>
      <c r="C219" s="9" t="s">
        <v>489</v>
      </c>
      <c r="F219" s="13">
        <v>1</v>
      </c>
      <c r="G219" s="23">
        <v>0</v>
      </c>
      <c r="I219" s="4">
        <v>4</v>
      </c>
      <c r="J219" s="4">
        <v>10</v>
      </c>
      <c r="K219" s="4" t="s">
        <v>451</v>
      </c>
      <c r="L219" s="4" t="s">
        <v>13</v>
      </c>
      <c r="M219" s="4">
        <v>2023</v>
      </c>
      <c r="N219" s="4">
        <v>1</v>
      </c>
      <c r="O219" s="4">
        <v>1</v>
      </c>
    </row>
    <row r="220" spans="1:15">
      <c r="A220" s="4" t="s">
        <v>487</v>
      </c>
      <c r="B220" s="4" t="s">
        <v>494</v>
      </c>
      <c r="C220" s="9" t="s">
        <v>490</v>
      </c>
      <c r="F220" s="13">
        <v>1</v>
      </c>
      <c r="G220" s="23">
        <v>1</v>
      </c>
      <c r="I220" s="4">
        <v>5</v>
      </c>
      <c r="J220" s="4">
        <v>10</v>
      </c>
      <c r="K220" s="4" t="s">
        <v>451</v>
      </c>
      <c r="L220" s="4" t="s">
        <v>13</v>
      </c>
      <c r="M220" s="4">
        <v>2023</v>
      </c>
      <c r="N220" s="4">
        <v>1</v>
      </c>
      <c r="O220" s="4">
        <v>1</v>
      </c>
    </row>
    <row r="221" spans="1:15">
      <c r="A221" s="4" t="s">
        <v>487</v>
      </c>
      <c r="B221" s="4" t="s">
        <v>495</v>
      </c>
      <c r="C221" s="9" t="s">
        <v>491</v>
      </c>
      <c r="F221" s="13">
        <v>1</v>
      </c>
      <c r="G221" s="23">
        <v>0</v>
      </c>
      <c r="I221" s="4">
        <v>10</v>
      </c>
      <c r="J221" s="4">
        <v>10</v>
      </c>
      <c r="K221" s="4" t="s">
        <v>451</v>
      </c>
      <c r="L221" s="4" t="s">
        <v>13</v>
      </c>
      <c r="M221" s="4">
        <v>2023</v>
      </c>
      <c r="N221" s="4">
        <v>1</v>
      </c>
      <c r="O221" s="4">
        <v>1</v>
      </c>
    </row>
    <row r="222" spans="1:15">
      <c r="A222" s="4" t="s">
        <v>496</v>
      </c>
      <c r="B222" s="4" t="s">
        <v>506</v>
      </c>
      <c r="C222" s="9" t="s">
        <v>497</v>
      </c>
      <c r="F222" s="13">
        <v>1</v>
      </c>
      <c r="G222" s="23">
        <v>1</v>
      </c>
      <c r="I222" s="4">
        <v>2</v>
      </c>
      <c r="J222" s="4">
        <v>11</v>
      </c>
      <c r="K222" s="4" t="s">
        <v>451</v>
      </c>
      <c r="L222" s="4" t="s">
        <v>13</v>
      </c>
      <c r="M222" s="4">
        <v>2024</v>
      </c>
      <c r="N222" s="4">
        <v>1</v>
      </c>
      <c r="O222" s="4">
        <v>1</v>
      </c>
    </row>
    <row r="223" spans="1:15">
      <c r="A223" s="4" t="s">
        <v>496</v>
      </c>
      <c r="B223" s="4" t="s">
        <v>507</v>
      </c>
      <c r="C223" s="9" t="s">
        <v>498</v>
      </c>
      <c r="F223" s="13">
        <v>1</v>
      </c>
      <c r="G223" s="23">
        <v>1</v>
      </c>
      <c r="I223" s="4">
        <v>3</v>
      </c>
      <c r="J223" s="4">
        <v>11</v>
      </c>
      <c r="K223" s="4" t="s">
        <v>451</v>
      </c>
      <c r="L223" s="4" t="s">
        <v>13</v>
      </c>
      <c r="M223" s="4">
        <v>2024</v>
      </c>
      <c r="N223" s="4">
        <v>1</v>
      </c>
      <c r="O223" s="4">
        <v>1</v>
      </c>
    </row>
    <row r="224" spans="1:15">
      <c r="A224" s="4" t="s">
        <v>496</v>
      </c>
      <c r="B224" s="4" t="s">
        <v>508</v>
      </c>
      <c r="C224" s="9" t="s">
        <v>499</v>
      </c>
      <c r="F224" s="13">
        <v>1</v>
      </c>
      <c r="G224" s="23">
        <v>0</v>
      </c>
      <c r="I224" s="4">
        <v>4</v>
      </c>
      <c r="J224" s="4">
        <v>11</v>
      </c>
      <c r="K224" s="4" t="s">
        <v>451</v>
      </c>
      <c r="L224" s="4" t="s">
        <v>13</v>
      </c>
      <c r="M224" s="4">
        <v>2024</v>
      </c>
      <c r="N224" s="4">
        <v>1</v>
      </c>
      <c r="O224" s="4">
        <v>1</v>
      </c>
    </row>
    <row r="225" spans="1:15">
      <c r="A225" s="4" t="s">
        <v>496</v>
      </c>
      <c r="B225" s="4" t="s">
        <v>509</v>
      </c>
      <c r="C225" s="9" t="s">
        <v>500</v>
      </c>
      <c r="F225" s="13">
        <v>1</v>
      </c>
      <c r="G225" s="23">
        <v>0</v>
      </c>
      <c r="I225" s="4">
        <v>5</v>
      </c>
      <c r="J225" s="4">
        <v>11</v>
      </c>
      <c r="K225" s="4" t="s">
        <v>451</v>
      </c>
      <c r="L225" s="4" t="s">
        <v>13</v>
      </c>
      <c r="M225" s="4">
        <v>2024</v>
      </c>
      <c r="N225" s="4">
        <v>1</v>
      </c>
      <c r="O225" s="4">
        <v>1</v>
      </c>
    </row>
    <row r="226" spans="1:15">
      <c r="A226" s="4" t="s">
        <v>496</v>
      </c>
      <c r="B226" s="4" t="s">
        <v>510</v>
      </c>
      <c r="C226" s="9" t="s">
        <v>501</v>
      </c>
      <c r="F226" s="13">
        <v>1</v>
      </c>
      <c r="G226" s="23">
        <v>1</v>
      </c>
      <c r="I226" s="4">
        <v>6</v>
      </c>
      <c r="J226" s="4">
        <v>11</v>
      </c>
      <c r="K226" s="4" t="s">
        <v>451</v>
      </c>
      <c r="L226" s="4" t="s">
        <v>13</v>
      </c>
      <c r="M226" s="4">
        <v>2024</v>
      </c>
      <c r="N226" s="4">
        <v>1</v>
      </c>
      <c r="O226" s="4">
        <v>1</v>
      </c>
    </row>
    <row r="227" spans="1:15">
      <c r="A227" s="4" t="s">
        <v>496</v>
      </c>
      <c r="B227" s="4" t="s">
        <v>511</v>
      </c>
      <c r="C227" s="9" t="s">
        <v>502</v>
      </c>
      <c r="F227" s="13">
        <v>1</v>
      </c>
      <c r="G227" s="23">
        <v>1</v>
      </c>
      <c r="I227" s="4">
        <v>7</v>
      </c>
      <c r="J227" s="4">
        <v>11</v>
      </c>
      <c r="K227" s="4" t="s">
        <v>451</v>
      </c>
      <c r="L227" s="4" t="s">
        <v>13</v>
      </c>
      <c r="M227" s="4">
        <v>2024</v>
      </c>
      <c r="N227" s="4">
        <v>1</v>
      </c>
      <c r="O227" s="4">
        <v>1</v>
      </c>
    </row>
    <row r="228" spans="1:15">
      <c r="A228" s="4" t="s">
        <v>496</v>
      </c>
      <c r="B228" s="4" t="s">
        <v>512</v>
      </c>
      <c r="C228" s="9" t="s">
        <v>503</v>
      </c>
      <c r="F228" s="13">
        <v>1</v>
      </c>
      <c r="G228" s="23">
        <v>1</v>
      </c>
      <c r="I228" s="4">
        <v>9</v>
      </c>
      <c r="J228" s="4">
        <v>11</v>
      </c>
      <c r="K228" s="4" t="s">
        <v>451</v>
      </c>
      <c r="L228" s="4" t="s">
        <v>13</v>
      </c>
      <c r="M228" s="4">
        <v>2024</v>
      </c>
      <c r="N228" s="4">
        <v>1</v>
      </c>
      <c r="O228" s="4">
        <v>1</v>
      </c>
    </row>
    <row r="229" spans="1:15">
      <c r="A229" s="4" t="s">
        <v>496</v>
      </c>
      <c r="B229" s="4" t="s">
        <v>513</v>
      </c>
      <c r="C229" s="9" t="s">
        <v>504</v>
      </c>
      <c r="F229" s="13">
        <v>1</v>
      </c>
      <c r="G229" s="23">
        <v>1</v>
      </c>
      <c r="I229" s="4">
        <v>10</v>
      </c>
      <c r="J229" s="4">
        <v>11</v>
      </c>
      <c r="K229" s="4" t="s">
        <v>451</v>
      </c>
      <c r="L229" s="4" t="s">
        <v>13</v>
      </c>
      <c r="M229" s="4">
        <v>2024</v>
      </c>
      <c r="N229" s="4">
        <v>1</v>
      </c>
      <c r="O229" s="4">
        <v>1</v>
      </c>
    </row>
    <row r="230" spans="1:15">
      <c r="A230" s="4" t="s">
        <v>496</v>
      </c>
      <c r="B230" s="4" t="s">
        <v>514</v>
      </c>
      <c r="C230" s="9" t="s">
        <v>505</v>
      </c>
      <c r="F230" s="13">
        <v>1</v>
      </c>
      <c r="G230" s="23">
        <v>0</v>
      </c>
      <c r="I230" s="4">
        <v>11</v>
      </c>
      <c r="J230" s="4">
        <v>11</v>
      </c>
      <c r="K230" s="4" t="s">
        <v>451</v>
      </c>
      <c r="L230" s="4" t="s">
        <v>13</v>
      </c>
      <c r="M230" s="4">
        <v>2024</v>
      </c>
      <c r="N230" s="4">
        <v>1</v>
      </c>
      <c r="O230" s="4">
        <v>1</v>
      </c>
    </row>
    <row r="231" spans="1:15">
      <c r="A231" s="4" t="s">
        <v>516</v>
      </c>
      <c r="B231" s="4" t="s">
        <v>515</v>
      </c>
      <c r="C231" s="9" t="s">
        <v>517</v>
      </c>
      <c r="F231" s="13">
        <v>1</v>
      </c>
      <c r="G231" s="23">
        <v>1</v>
      </c>
      <c r="I231" s="4">
        <v>1</v>
      </c>
      <c r="J231" s="4">
        <v>10</v>
      </c>
      <c r="K231" s="4" t="s">
        <v>451</v>
      </c>
      <c r="L231" s="4" t="s">
        <v>13</v>
      </c>
      <c r="M231" s="4">
        <v>2025</v>
      </c>
      <c r="N231" s="4">
        <v>1</v>
      </c>
      <c r="O231" s="4">
        <v>1</v>
      </c>
    </row>
    <row r="232" spans="1:15">
      <c r="A232" s="4" t="s">
        <v>516</v>
      </c>
      <c r="B232" s="4" t="s">
        <v>518</v>
      </c>
      <c r="C232" s="9" t="s">
        <v>519</v>
      </c>
      <c r="F232" s="13">
        <v>1</v>
      </c>
      <c r="G232" s="23">
        <v>1</v>
      </c>
      <c r="I232" s="4">
        <v>2</v>
      </c>
      <c r="J232" s="4">
        <v>10</v>
      </c>
      <c r="K232" s="4" t="s">
        <v>451</v>
      </c>
      <c r="L232" s="4" t="s">
        <v>13</v>
      </c>
      <c r="M232" s="4">
        <v>2025</v>
      </c>
      <c r="N232" s="4">
        <v>1</v>
      </c>
      <c r="O232" s="4">
        <v>1</v>
      </c>
    </row>
    <row r="233" spans="1:15">
      <c r="A233" s="4" t="s">
        <v>516</v>
      </c>
      <c r="B233" s="4" t="s">
        <v>525</v>
      </c>
      <c r="C233" s="9" t="s">
        <v>520</v>
      </c>
      <c r="F233" s="13">
        <v>1</v>
      </c>
      <c r="G233" s="23">
        <v>1</v>
      </c>
      <c r="I233" s="4">
        <v>3</v>
      </c>
      <c r="J233" s="4">
        <v>10</v>
      </c>
      <c r="K233" s="4" t="s">
        <v>451</v>
      </c>
      <c r="L233" s="4" t="s">
        <v>13</v>
      </c>
      <c r="M233" s="4">
        <v>2025</v>
      </c>
      <c r="N233" s="4">
        <v>1</v>
      </c>
      <c r="O233" s="4">
        <v>1</v>
      </c>
    </row>
    <row r="234" spans="1:15">
      <c r="A234" s="4" t="s">
        <v>516</v>
      </c>
      <c r="B234" s="4" t="s">
        <v>526</v>
      </c>
      <c r="C234" s="9" t="s">
        <v>521</v>
      </c>
      <c r="F234" s="13">
        <v>1</v>
      </c>
      <c r="G234" s="23">
        <v>1</v>
      </c>
      <c r="I234" s="4">
        <v>4</v>
      </c>
      <c r="J234" s="4">
        <v>10</v>
      </c>
      <c r="K234" s="4" t="s">
        <v>451</v>
      </c>
      <c r="L234" s="4" t="s">
        <v>13</v>
      </c>
      <c r="M234" s="4">
        <v>2025</v>
      </c>
      <c r="N234" s="4">
        <v>1</v>
      </c>
      <c r="O234" s="4">
        <v>1</v>
      </c>
    </row>
    <row r="235" spans="1:15">
      <c r="A235" s="4" t="s">
        <v>516</v>
      </c>
      <c r="B235" s="4" t="s">
        <v>527</v>
      </c>
      <c r="C235" s="9" t="s">
        <v>522</v>
      </c>
      <c r="F235" s="13">
        <v>1</v>
      </c>
      <c r="G235" s="23">
        <v>0</v>
      </c>
      <c r="I235" s="4">
        <v>5</v>
      </c>
      <c r="J235" s="4">
        <v>10</v>
      </c>
      <c r="K235" s="4" t="s">
        <v>451</v>
      </c>
      <c r="L235" s="4" t="s">
        <v>13</v>
      </c>
      <c r="M235" s="4">
        <v>2025</v>
      </c>
      <c r="N235" s="4">
        <v>1</v>
      </c>
      <c r="O235" s="4">
        <v>1</v>
      </c>
    </row>
    <row r="236" spans="1:15">
      <c r="A236" s="4" t="s">
        <v>516</v>
      </c>
      <c r="B236" s="4" t="s">
        <v>528</v>
      </c>
      <c r="C236" s="9" t="s">
        <v>523</v>
      </c>
      <c r="F236" s="13">
        <v>1</v>
      </c>
      <c r="G236" s="23">
        <v>1</v>
      </c>
      <c r="I236" s="4">
        <v>6</v>
      </c>
      <c r="J236" s="4">
        <v>10</v>
      </c>
      <c r="K236" s="4" t="s">
        <v>451</v>
      </c>
      <c r="L236" s="4" t="s">
        <v>13</v>
      </c>
      <c r="M236" s="4">
        <v>2025</v>
      </c>
      <c r="N236" s="4">
        <v>1</v>
      </c>
      <c r="O236" s="4">
        <v>1</v>
      </c>
    </row>
    <row r="237" spans="1:15">
      <c r="A237" s="4" t="s">
        <v>516</v>
      </c>
      <c r="B237" s="4" t="s">
        <v>529</v>
      </c>
      <c r="C237" s="9" t="s">
        <v>524</v>
      </c>
      <c r="F237" s="13">
        <v>1</v>
      </c>
      <c r="G237" s="23">
        <v>1</v>
      </c>
      <c r="I237" s="4">
        <v>9</v>
      </c>
      <c r="J237" s="4">
        <v>10</v>
      </c>
      <c r="K237" s="4" t="s">
        <v>451</v>
      </c>
      <c r="L237" s="4" t="s">
        <v>13</v>
      </c>
      <c r="M237" s="4">
        <v>2025</v>
      </c>
      <c r="N237" s="4">
        <v>1</v>
      </c>
      <c r="O237" s="4">
        <v>1</v>
      </c>
    </row>
    <row r="238" spans="1:15">
      <c r="A238" s="4" t="s">
        <v>531</v>
      </c>
      <c r="B238" s="4" t="s">
        <v>532</v>
      </c>
      <c r="C238" s="9" t="s">
        <v>533</v>
      </c>
      <c r="F238" s="13">
        <v>1</v>
      </c>
      <c r="G238" s="23">
        <v>1</v>
      </c>
      <c r="I238" s="4">
        <v>2</v>
      </c>
      <c r="J238" s="4">
        <v>4</v>
      </c>
      <c r="K238" s="4" t="s">
        <v>538</v>
      </c>
      <c r="L238" s="4" t="s">
        <v>13</v>
      </c>
      <c r="M238" s="4">
        <v>2021</v>
      </c>
      <c r="N238" s="4">
        <v>1</v>
      </c>
      <c r="O238" s="4">
        <v>1</v>
      </c>
    </row>
    <row r="239" spans="1:15">
      <c r="A239" s="4" t="s">
        <v>531</v>
      </c>
      <c r="B239" s="4" t="s">
        <v>534</v>
      </c>
      <c r="C239" s="9" t="s">
        <v>535</v>
      </c>
      <c r="F239" s="13">
        <v>1</v>
      </c>
      <c r="G239" s="23">
        <v>0</v>
      </c>
      <c r="I239" s="4">
        <v>3</v>
      </c>
      <c r="J239" s="4">
        <v>4</v>
      </c>
      <c r="K239" s="4" t="s">
        <v>538</v>
      </c>
      <c r="L239" s="4" t="s">
        <v>13</v>
      </c>
      <c r="M239" s="4">
        <v>2021</v>
      </c>
      <c r="N239" s="4">
        <v>1</v>
      </c>
      <c r="O239" s="4">
        <v>1</v>
      </c>
    </row>
    <row r="240" spans="1:15">
      <c r="A240" s="4" t="s">
        <v>531</v>
      </c>
      <c r="B240" s="4" t="s">
        <v>536</v>
      </c>
      <c r="C240" s="9" t="s">
        <v>537</v>
      </c>
      <c r="F240" s="13">
        <v>1</v>
      </c>
      <c r="G240" s="23">
        <v>0</v>
      </c>
      <c r="I240" s="4">
        <v>4</v>
      </c>
      <c r="J240" s="4">
        <v>4</v>
      </c>
      <c r="K240" s="4" t="s">
        <v>538</v>
      </c>
      <c r="L240" s="4" t="s">
        <v>13</v>
      </c>
      <c r="M240" s="4">
        <v>2021</v>
      </c>
      <c r="N240" s="4">
        <v>1</v>
      </c>
      <c r="O240" s="4">
        <v>1</v>
      </c>
    </row>
    <row r="241" spans="1:15">
      <c r="A241" s="4" t="s">
        <v>539</v>
      </c>
      <c r="B241" s="4" t="s">
        <v>541</v>
      </c>
      <c r="C241" s="9" t="s">
        <v>540</v>
      </c>
      <c r="F241" s="13">
        <v>1</v>
      </c>
      <c r="G241" s="23">
        <v>0</v>
      </c>
      <c r="I241" s="4">
        <v>5</v>
      </c>
      <c r="J241" s="4">
        <v>7</v>
      </c>
      <c r="K241" s="4" t="s">
        <v>538</v>
      </c>
      <c r="L241" s="4" t="s">
        <v>13</v>
      </c>
      <c r="M241" s="4">
        <v>2022</v>
      </c>
      <c r="N241" s="4">
        <v>1</v>
      </c>
      <c r="O241" s="4">
        <v>1</v>
      </c>
    </row>
    <row r="242" spans="1:15">
      <c r="A242" s="4" t="s">
        <v>542</v>
      </c>
      <c r="B242" s="4" t="s">
        <v>546</v>
      </c>
      <c r="C242" s="24" t="s">
        <v>543</v>
      </c>
      <c r="F242" s="13">
        <v>1</v>
      </c>
      <c r="G242" s="23">
        <v>1</v>
      </c>
      <c r="I242" s="4">
        <v>2</v>
      </c>
      <c r="J242" s="4">
        <v>5</v>
      </c>
      <c r="K242" s="4" t="s">
        <v>538</v>
      </c>
      <c r="L242" s="4" t="s">
        <v>13</v>
      </c>
      <c r="M242" s="4">
        <v>2023</v>
      </c>
      <c r="N242" s="4">
        <v>1</v>
      </c>
      <c r="O242" s="4">
        <v>1</v>
      </c>
    </row>
    <row r="243" spans="1:15">
      <c r="A243" s="4" t="s">
        <v>542</v>
      </c>
      <c r="B243" s="4" t="s">
        <v>547</v>
      </c>
      <c r="C243" s="9" t="s">
        <v>544</v>
      </c>
      <c r="F243" s="13">
        <v>1</v>
      </c>
      <c r="G243" s="23">
        <v>0</v>
      </c>
      <c r="I243" s="4">
        <v>3</v>
      </c>
      <c r="J243" s="4">
        <v>5</v>
      </c>
      <c r="K243" s="4" t="s">
        <v>538</v>
      </c>
      <c r="L243" s="4" t="s">
        <v>13</v>
      </c>
      <c r="M243" s="4">
        <v>2023</v>
      </c>
      <c r="N243" s="4">
        <v>1</v>
      </c>
      <c r="O243" s="4">
        <v>1</v>
      </c>
    </row>
    <row r="244" spans="1:15">
      <c r="A244" s="4" t="s">
        <v>542</v>
      </c>
      <c r="B244" s="4" t="s">
        <v>548</v>
      </c>
      <c r="C244" s="9" t="s">
        <v>545</v>
      </c>
      <c r="F244" s="13">
        <v>1</v>
      </c>
      <c r="G244" s="23">
        <v>0</v>
      </c>
      <c r="I244" s="4">
        <v>4</v>
      </c>
      <c r="J244" s="4">
        <v>5</v>
      </c>
      <c r="K244" s="4" t="s">
        <v>538</v>
      </c>
      <c r="L244" s="4" t="s">
        <v>13</v>
      </c>
      <c r="M244" s="4">
        <v>2023</v>
      </c>
      <c r="N244" s="4">
        <v>1</v>
      </c>
      <c r="O244" s="4">
        <v>1</v>
      </c>
    </row>
    <row r="245" spans="1:15">
      <c r="A245" s="4" t="s">
        <v>550</v>
      </c>
      <c r="B245" s="4" t="s">
        <v>549</v>
      </c>
      <c r="C245" s="9" t="s">
        <v>551</v>
      </c>
      <c r="F245" s="13">
        <v>1</v>
      </c>
      <c r="G245" s="23">
        <v>1</v>
      </c>
      <c r="I245" s="4">
        <v>1</v>
      </c>
      <c r="J245" s="4">
        <v>5</v>
      </c>
      <c r="K245" s="4" t="s">
        <v>538</v>
      </c>
      <c r="L245" s="4" t="s">
        <v>13</v>
      </c>
      <c r="M245" s="4">
        <v>2024</v>
      </c>
      <c r="N245" s="4">
        <v>1</v>
      </c>
      <c r="O245" s="4">
        <v>1</v>
      </c>
    </row>
    <row r="246" spans="1:15">
      <c r="A246" s="4" t="s">
        <v>550</v>
      </c>
      <c r="B246" s="4" t="s">
        <v>552</v>
      </c>
      <c r="C246" s="9" t="s">
        <v>553</v>
      </c>
      <c r="F246" s="13">
        <v>1</v>
      </c>
      <c r="G246" s="23">
        <v>1</v>
      </c>
      <c r="I246" s="4">
        <v>2</v>
      </c>
      <c r="J246" s="4">
        <v>5</v>
      </c>
      <c r="K246" s="4" t="s">
        <v>538</v>
      </c>
      <c r="L246" s="4" t="s">
        <v>13</v>
      </c>
      <c r="M246" s="4">
        <v>2024</v>
      </c>
      <c r="N246" s="4">
        <v>1</v>
      </c>
      <c r="O246" s="4">
        <v>1</v>
      </c>
    </row>
    <row r="247" spans="1:15">
      <c r="A247" s="4" t="s">
        <v>550</v>
      </c>
      <c r="B247" s="4" t="s">
        <v>557</v>
      </c>
      <c r="C247" s="9" t="s">
        <v>554</v>
      </c>
      <c r="F247" s="13">
        <v>1</v>
      </c>
      <c r="G247" s="23">
        <v>1</v>
      </c>
      <c r="I247" s="4">
        <v>3</v>
      </c>
      <c r="J247" s="4">
        <v>5</v>
      </c>
      <c r="K247" s="4" t="s">
        <v>538</v>
      </c>
      <c r="L247" s="4" t="s">
        <v>13</v>
      </c>
      <c r="M247" s="4">
        <v>2024</v>
      </c>
      <c r="N247" s="4">
        <v>1</v>
      </c>
      <c r="O247" s="4">
        <v>1</v>
      </c>
    </row>
    <row r="248" spans="1:15">
      <c r="A248" s="4" t="s">
        <v>550</v>
      </c>
      <c r="B248" s="4" t="s">
        <v>558</v>
      </c>
      <c r="C248" s="9" t="s">
        <v>555</v>
      </c>
      <c r="F248" s="13">
        <v>1</v>
      </c>
      <c r="G248" s="23">
        <v>0</v>
      </c>
      <c r="I248" s="4">
        <v>4</v>
      </c>
      <c r="J248" s="4">
        <v>5</v>
      </c>
      <c r="K248" s="4" t="s">
        <v>538</v>
      </c>
      <c r="L248" s="4" t="s">
        <v>13</v>
      </c>
      <c r="M248" s="4">
        <v>2024</v>
      </c>
      <c r="N248" s="4">
        <v>1</v>
      </c>
      <c r="O248" s="4">
        <v>1</v>
      </c>
    </row>
    <row r="249" spans="1:15">
      <c r="A249" s="4" t="s">
        <v>550</v>
      </c>
      <c r="B249" s="4" t="s">
        <v>559</v>
      </c>
      <c r="C249" s="9" t="s">
        <v>556</v>
      </c>
      <c r="F249" s="13">
        <v>1</v>
      </c>
      <c r="G249" s="23">
        <v>0</v>
      </c>
      <c r="I249" s="4">
        <v>5</v>
      </c>
      <c r="J249" s="4">
        <v>5</v>
      </c>
      <c r="K249" s="4" t="s">
        <v>538</v>
      </c>
      <c r="L249" s="4" t="s">
        <v>13</v>
      </c>
      <c r="M249" s="4">
        <v>2024</v>
      </c>
      <c r="N249" s="4">
        <v>1</v>
      </c>
      <c r="O249" s="4">
        <v>1</v>
      </c>
    </row>
    <row r="250" spans="1:15">
      <c r="A250" s="4" t="s">
        <v>561</v>
      </c>
      <c r="B250" s="4" t="s">
        <v>560</v>
      </c>
      <c r="C250" s="9" t="s">
        <v>562</v>
      </c>
      <c r="F250" s="13">
        <v>1</v>
      </c>
      <c r="G250" s="23">
        <v>1</v>
      </c>
      <c r="I250" s="4">
        <v>1</v>
      </c>
      <c r="J250" s="4">
        <v>8</v>
      </c>
      <c r="K250" s="4" t="s">
        <v>538</v>
      </c>
      <c r="L250" s="4" t="s">
        <v>13</v>
      </c>
      <c r="M250" s="4">
        <v>2025</v>
      </c>
      <c r="N250" s="4">
        <v>1</v>
      </c>
      <c r="O250" s="4">
        <v>1</v>
      </c>
    </row>
    <row r="251" spans="1:15">
      <c r="A251" s="4" t="s">
        <v>561</v>
      </c>
      <c r="B251" s="4" t="s">
        <v>563</v>
      </c>
      <c r="C251" s="9" t="s">
        <v>564</v>
      </c>
      <c r="F251" s="13">
        <v>1</v>
      </c>
      <c r="G251" s="23">
        <v>1</v>
      </c>
      <c r="I251" s="4">
        <v>2</v>
      </c>
      <c r="J251" s="4">
        <v>8</v>
      </c>
      <c r="K251" s="4" t="s">
        <v>538</v>
      </c>
      <c r="L251" s="4" t="s">
        <v>13</v>
      </c>
      <c r="M251" s="4">
        <v>2025</v>
      </c>
      <c r="N251" s="4">
        <v>1</v>
      </c>
      <c r="O251" s="4">
        <v>1</v>
      </c>
    </row>
    <row r="252" spans="1:15">
      <c r="A252" s="4" t="s">
        <v>561</v>
      </c>
      <c r="B252" s="4" t="s">
        <v>569</v>
      </c>
      <c r="C252" s="9" t="s">
        <v>565</v>
      </c>
      <c r="F252" s="13">
        <v>1</v>
      </c>
      <c r="G252" s="23">
        <v>1</v>
      </c>
      <c r="I252" s="4">
        <v>3</v>
      </c>
      <c r="J252" s="4">
        <v>8</v>
      </c>
      <c r="K252" s="4" t="s">
        <v>538</v>
      </c>
      <c r="L252" s="4" t="s">
        <v>13</v>
      </c>
      <c r="M252" s="4">
        <v>2025</v>
      </c>
      <c r="N252" s="4">
        <v>1</v>
      </c>
      <c r="O252" s="4">
        <v>1</v>
      </c>
    </row>
    <row r="253" spans="1:15">
      <c r="A253" s="4" t="s">
        <v>561</v>
      </c>
      <c r="B253" s="4" t="s">
        <v>570</v>
      </c>
      <c r="C253" s="9" t="s">
        <v>566</v>
      </c>
      <c r="F253" s="13">
        <v>1</v>
      </c>
      <c r="G253" s="23">
        <v>1</v>
      </c>
      <c r="I253" s="4">
        <v>4</v>
      </c>
      <c r="J253" s="4">
        <v>8</v>
      </c>
      <c r="K253" s="4" t="s">
        <v>538</v>
      </c>
      <c r="L253" s="4" t="s">
        <v>13</v>
      </c>
      <c r="M253" s="4">
        <v>2025</v>
      </c>
      <c r="N253" s="4">
        <v>1</v>
      </c>
      <c r="O253" s="4">
        <v>1</v>
      </c>
    </row>
    <row r="254" spans="1:15">
      <c r="A254" s="4" t="s">
        <v>561</v>
      </c>
      <c r="B254" s="4" t="s">
        <v>571</v>
      </c>
      <c r="C254" s="9" t="s">
        <v>567</v>
      </c>
      <c r="F254" s="13">
        <v>1</v>
      </c>
      <c r="G254" s="23">
        <v>1</v>
      </c>
      <c r="I254" s="4">
        <v>5</v>
      </c>
      <c r="J254" s="4">
        <v>8</v>
      </c>
      <c r="K254" s="4" t="s">
        <v>538</v>
      </c>
      <c r="L254" s="4" t="s">
        <v>13</v>
      </c>
      <c r="M254" s="4">
        <v>2025</v>
      </c>
      <c r="N254" s="4">
        <v>1</v>
      </c>
      <c r="O254" s="4">
        <v>1</v>
      </c>
    </row>
    <row r="255" spans="1:15">
      <c r="A255" s="4" t="s">
        <v>561</v>
      </c>
      <c r="B255" s="4" t="s">
        <v>572</v>
      </c>
      <c r="C255" s="9" t="s">
        <v>568</v>
      </c>
      <c r="F255" s="13">
        <v>1</v>
      </c>
      <c r="G255" s="23">
        <v>0</v>
      </c>
      <c r="I255" s="4">
        <v>6</v>
      </c>
      <c r="J255" s="4">
        <v>8</v>
      </c>
      <c r="K255" s="4" t="s">
        <v>538</v>
      </c>
      <c r="L255" s="4" t="s">
        <v>13</v>
      </c>
      <c r="M255" s="4">
        <v>2025</v>
      </c>
      <c r="N255" s="4">
        <v>1</v>
      </c>
      <c r="O255" s="4">
        <v>1</v>
      </c>
    </row>
    <row r="256" spans="1:15">
      <c r="A256" s="4" t="s">
        <v>573</v>
      </c>
      <c r="B256" s="4" t="s">
        <v>574</v>
      </c>
      <c r="C256" s="10" t="s">
        <v>575</v>
      </c>
      <c r="F256" s="13">
        <v>1</v>
      </c>
      <c r="G256" s="23">
        <v>1</v>
      </c>
      <c r="I256" s="4">
        <v>1</v>
      </c>
      <c r="J256" s="4">
        <v>10</v>
      </c>
      <c r="K256" s="4" t="s">
        <v>582</v>
      </c>
      <c r="L256" s="4" t="s">
        <v>13</v>
      </c>
      <c r="M256" s="4">
        <v>2025</v>
      </c>
      <c r="N256" s="4">
        <v>1</v>
      </c>
      <c r="O256" s="4">
        <v>1</v>
      </c>
    </row>
    <row r="257" spans="1:15">
      <c r="A257" s="4" t="s">
        <v>573</v>
      </c>
      <c r="B257" s="4" t="s">
        <v>576</v>
      </c>
      <c r="C257" s="9" t="s">
        <v>577</v>
      </c>
      <c r="F257" s="13">
        <v>1</v>
      </c>
      <c r="G257" s="23">
        <v>0</v>
      </c>
      <c r="I257" s="4">
        <v>2</v>
      </c>
      <c r="J257" s="4">
        <v>10</v>
      </c>
      <c r="K257" s="4" t="s">
        <v>582</v>
      </c>
      <c r="L257" s="4" t="s">
        <v>13</v>
      </c>
      <c r="M257" s="4">
        <v>2025</v>
      </c>
      <c r="N257" s="4">
        <v>1</v>
      </c>
      <c r="O257" s="4">
        <v>1</v>
      </c>
    </row>
    <row r="258" spans="1:15">
      <c r="A258" s="4" t="s">
        <v>573</v>
      </c>
      <c r="B258" s="4" t="s">
        <v>578</v>
      </c>
      <c r="C258" s="9" t="s">
        <v>579</v>
      </c>
      <c r="F258" s="13">
        <v>1</v>
      </c>
      <c r="G258" s="23">
        <v>1</v>
      </c>
      <c r="I258" s="4">
        <v>4</v>
      </c>
      <c r="J258" s="4">
        <v>10</v>
      </c>
      <c r="K258" s="4" t="s">
        <v>582</v>
      </c>
      <c r="L258" s="4" t="s">
        <v>13</v>
      </c>
      <c r="M258" s="4">
        <v>2025</v>
      </c>
      <c r="N258" s="4">
        <v>1</v>
      </c>
      <c r="O258" s="4">
        <v>1</v>
      </c>
    </row>
    <row r="259" spans="1:15">
      <c r="A259" s="4" t="s">
        <v>573</v>
      </c>
      <c r="B259" s="4" t="s">
        <v>580</v>
      </c>
      <c r="C259" s="9" t="s">
        <v>581</v>
      </c>
      <c r="F259" s="13">
        <v>1</v>
      </c>
      <c r="G259" s="23">
        <v>1</v>
      </c>
      <c r="I259" s="4">
        <v>5</v>
      </c>
      <c r="J259" s="4">
        <v>10</v>
      </c>
      <c r="K259" s="4" t="s">
        <v>582</v>
      </c>
      <c r="L259" s="4" t="s">
        <v>13</v>
      </c>
      <c r="M259" s="4">
        <v>2025</v>
      </c>
      <c r="N259" s="4">
        <v>1</v>
      </c>
      <c r="O259" s="4">
        <v>1</v>
      </c>
    </row>
    <row r="260" spans="1:15">
      <c r="A260" s="4" t="s">
        <v>584</v>
      </c>
      <c r="B260" s="4" t="s">
        <v>583</v>
      </c>
      <c r="C260" s="9" t="s">
        <v>585</v>
      </c>
      <c r="F260" s="13">
        <v>1</v>
      </c>
      <c r="G260" s="23">
        <v>1</v>
      </c>
      <c r="I260" s="4">
        <v>1</v>
      </c>
      <c r="J260" s="4">
        <v>11</v>
      </c>
      <c r="K260" s="4" t="s">
        <v>582</v>
      </c>
      <c r="L260" s="4" t="s">
        <v>13</v>
      </c>
      <c r="M260" s="4">
        <v>2024</v>
      </c>
      <c r="N260" s="4">
        <v>1</v>
      </c>
      <c r="O260" s="4">
        <v>1</v>
      </c>
    </row>
    <row r="261" spans="1:15">
      <c r="A261" s="4" t="s">
        <v>584</v>
      </c>
      <c r="B261" s="4" t="s">
        <v>590</v>
      </c>
      <c r="C261" s="9" t="s">
        <v>577</v>
      </c>
      <c r="F261" s="13">
        <v>1</v>
      </c>
      <c r="G261" s="23">
        <v>0</v>
      </c>
      <c r="I261" s="4">
        <v>2</v>
      </c>
      <c r="J261" s="4">
        <v>11</v>
      </c>
      <c r="K261" s="4" t="s">
        <v>582</v>
      </c>
      <c r="L261" s="4" t="s">
        <v>13</v>
      </c>
      <c r="M261" s="4">
        <v>2024</v>
      </c>
      <c r="N261" s="4">
        <v>1</v>
      </c>
      <c r="O261" s="4">
        <v>1</v>
      </c>
    </row>
    <row r="262" spans="1:15" ht="18">
      <c r="A262" s="4" t="s">
        <v>584</v>
      </c>
      <c r="B262" s="4" t="s">
        <v>591</v>
      </c>
      <c r="C262" s="27" t="s">
        <v>586</v>
      </c>
      <c r="F262" s="13">
        <v>1</v>
      </c>
      <c r="G262" s="23">
        <v>1</v>
      </c>
      <c r="I262" s="4">
        <v>3</v>
      </c>
      <c r="J262" s="4">
        <v>11</v>
      </c>
      <c r="K262" s="4" t="s">
        <v>582</v>
      </c>
      <c r="L262" s="4" t="s">
        <v>13</v>
      </c>
      <c r="M262" s="4">
        <v>2024</v>
      </c>
      <c r="N262" s="4">
        <v>1</v>
      </c>
      <c r="O262" s="4">
        <v>1</v>
      </c>
    </row>
    <row r="263" spans="1:15">
      <c r="A263" s="4" t="s">
        <v>584</v>
      </c>
      <c r="B263" s="4" t="s">
        <v>592</v>
      </c>
      <c r="C263" s="9" t="s">
        <v>587</v>
      </c>
      <c r="F263" s="13">
        <v>1</v>
      </c>
      <c r="G263" s="23">
        <v>1</v>
      </c>
      <c r="I263" s="4">
        <v>4</v>
      </c>
      <c r="J263" s="4">
        <v>11</v>
      </c>
      <c r="K263" s="4" t="s">
        <v>582</v>
      </c>
      <c r="L263" s="4" t="s">
        <v>13</v>
      </c>
      <c r="M263" s="4">
        <v>2024</v>
      </c>
      <c r="N263" s="4">
        <v>1</v>
      </c>
      <c r="O263" s="4">
        <v>1</v>
      </c>
    </row>
    <row r="264" spans="1:15">
      <c r="A264" s="4" t="s">
        <v>584</v>
      </c>
      <c r="B264" s="4" t="s">
        <v>593</v>
      </c>
      <c r="C264" s="9" t="s">
        <v>588</v>
      </c>
      <c r="F264" s="13">
        <v>1</v>
      </c>
      <c r="G264" s="23">
        <v>0</v>
      </c>
      <c r="I264" s="4">
        <v>5</v>
      </c>
      <c r="J264" s="4">
        <v>11</v>
      </c>
      <c r="K264" s="4" t="s">
        <v>582</v>
      </c>
      <c r="L264" s="4" t="s">
        <v>13</v>
      </c>
      <c r="M264" s="4">
        <v>2024</v>
      </c>
      <c r="N264" s="4">
        <v>1</v>
      </c>
      <c r="O264" s="4">
        <v>1</v>
      </c>
    </row>
    <row r="265" spans="1:15">
      <c r="A265" s="4" t="s">
        <v>584</v>
      </c>
      <c r="B265" s="4" t="s">
        <v>594</v>
      </c>
      <c r="C265" s="9" t="s">
        <v>589</v>
      </c>
      <c r="F265" s="13">
        <v>1</v>
      </c>
      <c r="G265" s="23">
        <v>1</v>
      </c>
      <c r="I265" s="4">
        <v>6</v>
      </c>
      <c r="J265" s="4">
        <v>11</v>
      </c>
      <c r="K265" s="4" t="s">
        <v>582</v>
      </c>
      <c r="L265" s="4" t="s">
        <v>13</v>
      </c>
      <c r="M265" s="4">
        <v>2024</v>
      </c>
      <c r="N265" s="4">
        <v>1</v>
      </c>
      <c r="O265" s="4">
        <v>1</v>
      </c>
    </row>
    <row r="266" spans="1:15">
      <c r="A266" s="4" t="s">
        <v>596</v>
      </c>
      <c r="B266" s="4" t="s">
        <v>595</v>
      </c>
      <c r="C266" s="9" t="s">
        <v>597</v>
      </c>
      <c r="F266" s="13">
        <v>1</v>
      </c>
      <c r="G266" s="23">
        <v>0</v>
      </c>
      <c r="I266" s="4">
        <v>1</v>
      </c>
      <c r="J266" s="4">
        <v>13</v>
      </c>
      <c r="K266" s="4" t="s">
        <v>582</v>
      </c>
      <c r="L266" s="4" t="s">
        <v>13</v>
      </c>
      <c r="M266" s="4">
        <v>2023</v>
      </c>
      <c r="N266" s="4">
        <v>1</v>
      </c>
      <c r="O266" s="4">
        <v>1</v>
      </c>
    </row>
    <row r="267" spans="1:15">
      <c r="A267" s="4" t="s">
        <v>596</v>
      </c>
      <c r="B267" s="4" t="s">
        <v>599</v>
      </c>
      <c r="C267" s="9" t="s">
        <v>598</v>
      </c>
      <c r="F267" s="13">
        <v>1</v>
      </c>
      <c r="G267" s="23">
        <v>0</v>
      </c>
      <c r="I267" s="4">
        <v>2</v>
      </c>
      <c r="J267" s="4">
        <v>13</v>
      </c>
      <c r="K267" s="4" t="s">
        <v>582</v>
      </c>
      <c r="L267" s="4" t="s">
        <v>13</v>
      </c>
      <c r="M267" s="4">
        <v>2023</v>
      </c>
      <c r="N267" s="4">
        <v>1</v>
      </c>
      <c r="O267" s="4">
        <v>1</v>
      </c>
    </row>
    <row r="268" spans="1:15">
      <c r="A268" s="4" t="s">
        <v>596</v>
      </c>
      <c r="B268" s="4" t="s">
        <v>604</v>
      </c>
      <c r="C268" s="9" t="s">
        <v>600</v>
      </c>
      <c r="F268" s="13">
        <v>1</v>
      </c>
      <c r="G268" s="23">
        <v>0</v>
      </c>
      <c r="I268" s="4">
        <v>5</v>
      </c>
      <c r="J268" s="4">
        <v>13</v>
      </c>
      <c r="K268" s="4" t="s">
        <v>582</v>
      </c>
      <c r="L268" s="4" t="s">
        <v>13</v>
      </c>
      <c r="M268" s="4">
        <v>2023</v>
      </c>
      <c r="N268" s="4">
        <v>1</v>
      </c>
      <c r="O268" s="4">
        <v>1</v>
      </c>
    </row>
    <row r="269" spans="1:15">
      <c r="A269" s="4" t="s">
        <v>596</v>
      </c>
      <c r="B269" s="4" t="s">
        <v>605</v>
      </c>
      <c r="C269" s="9" t="s">
        <v>601</v>
      </c>
      <c r="F269" s="13">
        <v>1</v>
      </c>
      <c r="G269" s="23">
        <v>1</v>
      </c>
      <c r="I269" s="4">
        <v>6</v>
      </c>
      <c r="J269" s="4">
        <v>13</v>
      </c>
      <c r="K269" s="4" t="s">
        <v>582</v>
      </c>
      <c r="L269" s="4" t="s">
        <v>13</v>
      </c>
      <c r="M269" s="4">
        <v>2023</v>
      </c>
      <c r="N269" s="4">
        <v>1</v>
      </c>
      <c r="O269" s="4">
        <v>1</v>
      </c>
    </row>
    <row r="270" spans="1:15">
      <c r="A270" s="4" t="s">
        <v>596</v>
      </c>
      <c r="B270" s="4" t="s">
        <v>606</v>
      </c>
      <c r="C270" s="9" t="s">
        <v>602</v>
      </c>
      <c r="F270" s="13">
        <v>1</v>
      </c>
      <c r="G270" s="23">
        <v>0</v>
      </c>
      <c r="I270" s="4">
        <v>8</v>
      </c>
      <c r="J270" s="4">
        <v>13</v>
      </c>
      <c r="K270" s="4" t="s">
        <v>582</v>
      </c>
      <c r="L270" s="4" t="s">
        <v>13</v>
      </c>
      <c r="M270" s="4">
        <v>2023</v>
      </c>
      <c r="N270" s="4">
        <v>1</v>
      </c>
      <c r="O270" s="4">
        <v>1</v>
      </c>
    </row>
    <row r="271" spans="1:15">
      <c r="A271" s="4" t="s">
        <v>596</v>
      </c>
      <c r="B271" s="4" t="s">
        <v>607</v>
      </c>
      <c r="C271" s="9" t="s">
        <v>603</v>
      </c>
      <c r="F271" s="13">
        <v>1</v>
      </c>
      <c r="G271" s="23">
        <v>0</v>
      </c>
      <c r="I271" s="4">
        <v>9</v>
      </c>
      <c r="J271" s="4">
        <v>13</v>
      </c>
      <c r="K271" s="4" t="s">
        <v>582</v>
      </c>
      <c r="L271" s="4" t="s">
        <v>13</v>
      </c>
      <c r="M271" s="4">
        <v>2023</v>
      </c>
      <c r="N271" s="4">
        <v>1</v>
      </c>
      <c r="O271" s="4">
        <v>1</v>
      </c>
    </row>
    <row r="272" spans="1:15">
      <c r="A272" s="4" t="s">
        <v>608</v>
      </c>
      <c r="B272" s="4" t="s">
        <v>610</v>
      </c>
      <c r="C272" s="9" t="s">
        <v>609</v>
      </c>
      <c r="F272" s="13">
        <v>1</v>
      </c>
      <c r="G272" s="23">
        <v>0</v>
      </c>
      <c r="I272" s="4">
        <v>2</v>
      </c>
      <c r="J272" s="4">
        <v>7</v>
      </c>
      <c r="K272" s="4" t="s">
        <v>582</v>
      </c>
      <c r="L272" s="4" t="s">
        <v>13</v>
      </c>
      <c r="M272" s="4">
        <v>2022</v>
      </c>
      <c r="N272" s="4">
        <v>1</v>
      </c>
      <c r="O272" s="4">
        <v>1</v>
      </c>
    </row>
    <row r="273" spans="1:15" ht="18">
      <c r="A273" s="4" t="s">
        <v>615</v>
      </c>
      <c r="B273" s="4" t="s">
        <v>613</v>
      </c>
      <c r="C273" s="26" t="s">
        <v>611</v>
      </c>
      <c r="F273" s="13">
        <v>1</v>
      </c>
      <c r="G273" s="23">
        <v>1</v>
      </c>
      <c r="I273" s="4">
        <v>4</v>
      </c>
      <c r="J273" s="4">
        <v>10</v>
      </c>
      <c r="K273" s="4" t="s">
        <v>582</v>
      </c>
      <c r="L273" s="4" t="s">
        <v>13</v>
      </c>
      <c r="M273" s="4">
        <v>2021</v>
      </c>
      <c r="N273" s="4">
        <v>1</v>
      </c>
      <c r="O273" s="4">
        <v>1</v>
      </c>
    </row>
    <row r="274" spans="1:15">
      <c r="A274" s="4" t="s">
        <v>615</v>
      </c>
      <c r="B274" s="4" t="s">
        <v>614</v>
      </c>
      <c r="C274" s="25" t="s">
        <v>612</v>
      </c>
      <c r="F274" s="13">
        <v>1</v>
      </c>
      <c r="G274" s="23">
        <v>0</v>
      </c>
      <c r="I274" s="4">
        <v>6</v>
      </c>
      <c r="J274" s="4">
        <v>10</v>
      </c>
      <c r="K274" s="4" t="s">
        <v>582</v>
      </c>
      <c r="L274" s="4" t="s">
        <v>13</v>
      </c>
      <c r="M274" s="4">
        <v>2021</v>
      </c>
      <c r="N274" s="4">
        <v>1</v>
      </c>
      <c r="O274" s="4">
        <v>1</v>
      </c>
    </row>
    <row r="275" spans="1:15" ht="18">
      <c r="A275" s="4" t="s">
        <v>616</v>
      </c>
      <c r="B275" s="4" t="s">
        <v>620</v>
      </c>
      <c r="C275" s="26" t="s">
        <v>617</v>
      </c>
      <c r="F275" s="13">
        <v>1</v>
      </c>
      <c r="G275" s="23">
        <v>0</v>
      </c>
      <c r="I275" s="4">
        <v>8</v>
      </c>
      <c r="J275" s="4">
        <v>17</v>
      </c>
      <c r="K275" s="4" t="s">
        <v>582</v>
      </c>
      <c r="L275" s="4" t="s">
        <v>13</v>
      </c>
      <c r="M275" s="4">
        <v>2019</v>
      </c>
      <c r="N275" s="4">
        <v>1</v>
      </c>
      <c r="O275" s="4">
        <v>1</v>
      </c>
    </row>
    <row r="276" spans="1:15" ht="18">
      <c r="A276" s="4" t="s">
        <v>616</v>
      </c>
      <c r="B276" s="4" t="s">
        <v>621</v>
      </c>
      <c r="C276" s="26" t="s">
        <v>618</v>
      </c>
      <c r="F276" s="13">
        <v>1</v>
      </c>
      <c r="G276" s="23">
        <v>0</v>
      </c>
      <c r="I276" s="4">
        <v>14</v>
      </c>
      <c r="J276" s="4">
        <v>17</v>
      </c>
      <c r="K276" s="4" t="s">
        <v>582</v>
      </c>
      <c r="L276" s="4" t="s">
        <v>13</v>
      </c>
      <c r="M276" s="4">
        <v>2019</v>
      </c>
      <c r="N276" s="4">
        <v>1</v>
      </c>
      <c r="O276" s="4">
        <v>1</v>
      </c>
    </row>
    <row r="277" spans="1:15" ht="18">
      <c r="A277" s="4" t="s">
        <v>616</v>
      </c>
      <c r="B277" s="4" t="s">
        <v>622</v>
      </c>
      <c r="C277" s="26" t="s">
        <v>619</v>
      </c>
      <c r="F277" s="13">
        <v>1</v>
      </c>
      <c r="G277" s="23">
        <v>0</v>
      </c>
      <c r="I277" s="4">
        <v>15</v>
      </c>
      <c r="J277" s="4">
        <v>17</v>
      </c>
      <c r="K277" s="4" t="s">
        <v>582</v>
      </c>
      <c r="L277" s="4" t="s">
        <v>13</v>
      </c>
      <c r="M277" s="4">
        <v>2019</v>
      </c>
      <c r="N277" s="4">
        <v>1</v>
      </c>
      <c r="O277"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8"/>
  <sheetViews>
    <sheetView topLeftCell="A3" zoomScale="120" zoomScaleNormal="120" workbookViewId="0">
      <selection activeCell="F35" sqref="F35"/>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36</v>
      </c>
      <c r="B8">
        <f>COUNTIF(Sheet1!D:D," ")</f>
        <v>0</v>
      </c>
      <c r="C8">
        <f>COUNTIF(Sheet1!D:D,"1")</f>
        <v>173</v>
      </c>
      <c r="D8">
        <f>SUM(A8:C8)</f>
        <v>209</v>
      </c>
    </row>
    <row r="10" spans="1:4">
      <c r="A10" s="17" t="s">
        <v>396</v>
      </c>
    </row>
    <row r="11" spans="1:4">
      <c r="A11" s="1">
        <v>0</v>
      </c>
      <c r="C11" s="1">
        <v>1</v>
      </c>
    </row>
    <row r="12" spans="1:4">
      <c r="A12">
        <f>COUNTIF(Sheet1!D:D,"0")</f>
        <v>36</v>
      </c>
      <c r="C12">
        <f>COUNTIF(Sheet1!D:D,"1")</f>
        <v>173</v>
      </c>
    </row>
    <row r="14" spans="1:4">
      <c r="C14" s="1" t="s">
        <v>398</v>
      </c>
    </row>
    <row r="15" spans="1:4">
      <c r="C15" s="16">
        <f>COUNTIF(Sheet1!E:E,"Low")</f>
        <v>60</v>
      </c>
    </row>
    <row r="16" spans="1:4">
      <c r="C16" s="1" t="s">
        <v>399</v>
      </c>
    </row>
    <row r="17" spans="1:6">
      <c r="C17" s="16">
        <f>COUNTIF(Sheet1!E:E,"Medium")</f>
        <v>89</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row r="26" spans="1:6">
      <c r="A26" s="18" t="s">
        <v>530</v>
      </c>
      <c r="B26" s="19"/>
      <c r="C26" s="19"/>
      <c r="D26" s="19"/>
    </row>
    <row r="27" spans="1:6">
      <c r="A27">
        <v>0</v>
      </c>
      <c r="C27" t="s">
        <v>409</v>
      </c>
      <c r="F27">
        <f>COUNTIF(Sheet1!G:G,"0")</f>
        <v>175</v>
      </c>
    </row>
    <row r="28" spans="1:6">
      <c r="A28">
        <v>1</v>
      </c>
      <c r="C28" t="s">
        <v>411</v>
      </c>
      <c r="F28">
        <f>COUNTIF(Sheet1!G:G,"1")</f>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2026-04-12T00:51:42Z</dcterms:modified>
</cp:coreProperties>
</file>