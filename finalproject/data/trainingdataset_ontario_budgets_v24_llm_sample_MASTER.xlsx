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CB8FBD39-71B0-FE41-92F6-F1153B9D5141}" xr6:coauthVersionLast="47" xr6:coauthVersionMax="47" xr10:uidLastSave="{00000000-0000-0000-0000-000000000000}"/>
  <bookViews>
    <workbookView xWindow="1460" yWindow="1040" windowWidth="2620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2" i="3" l="1"/>
  <c r="F31" i="3"/>
  <c r="F28" i="3" l="1"/>
  <c r="F27" i="3"/>
  <c r="F24" i="3" l="1"/>
  <c r="F23" i="3"/>
  <c r="F22" i="3"/>
  <c r="C19" i="3"/>
  <c r="C17" i="3"/>
  <c r="C15" i="3"/>
  <c r="C12" i="3"/>
  <c r="A12" i="3"/>
  <c r="C8" i="3"/>
  <c r="B8" i="3"/>
  <c r="A8" i="3"/>
  <c r="D8" i="3" l="1"/>
</calcChain>
</file>

<file path=xl/sharedStrings.xml><?xml version="1.0" encoding="utf-8"?>
<sst xmlns="http://schemas.openxmlformats.org/spreadsheetml/2006/main" count="2825" uniqueCount="1378">
  <si>
    <t>document</t>
  </si>
  <si>
    <t>ID</t>
  </si>
  <si>
    <t>text</t>
  </si>
  <si>
    <t>university</t>
  </si>
  <si>
    <t>year</t>
  </si>
  <si>
    <t>order</t>
  </si>
  <si>
    <t>total para</t>
  </si>
  <si>
    <t>queens_2019</t>
  </si>
  <si>
    <t>queens_2018</t>
  </si>
  <si>
    <t>queens_2017</t>
  </si>
  <si>
    <t>queens_2017_1</t>
  </si>
  <si>
    <t>Queen's University</t>
  </si>
  <si>
    <t>province</t>
  </si>
  <si>
    <t>ON</t>
  </si>
  <si>
    <t>treatment group</t>
  </si>
  <si>
    <t>treatment period</t>
  </si>
  <si>
    <t>Almost 94%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</si>
  <si>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has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</si>
  <si>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In 2015-16, a funding model review was undertaken by the Ministry of Advanced Education and Skills Development (MAESD). The review consultation paper, released in April 2015, stated that the $3.5 billion invested by the provincial government would “remain stable”, which is to say it was not projected to increase in the foreseeable future. In 2016-17, MAESD began the implementation of the recommendations from the report that proposed a framework under which future grant funding should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</si>
  <si>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For the three-year planning period to 2019-20,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pressing. The pension solvency issue is also being addressed to ensure long term financial sustainability. </t>
  </si>
  <si>
    <t>In addition, all institutions were requested to move to approving tuition fees two years ahead to facilitate the implementation of net-tuition billing. As a result, in March 2017, the Board of Trustees approved two years of tuition increases for 2017-18 and 2018-19. We were required to maintain a reduced rate of increase across all programs to accommodate the institution-wide cap. We are unable to charge 5% in the professional programs and remain within the institutional cap. In moving to a two year fee setting structure MAESD adjusted the tuition compliance requirements and provided Universities with the ability of submitting the tuition compliance once for both years if the fee increases across all eligible programs were identical for both years.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</si>
  <si>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over the next several years. </t>
  </si>
  <si>
    <t>queens_2017_2</t>
  </si>
  <si>
    <t>queens_2017_3</t>
  </si>
  <si>
    <t>queens_2017_6</t>
  </si>
  <si>
    <t>queens_2017_8</t>
  </si>
  <si>
    <t>queens_2017_9</t>
  </si>
  <si>
    <t>queens_2018_1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</si>
  <si>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 </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</si>
  <si>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 </t>
  </si>
  <si>
    <t>For the three-year planning period to 2020-21, the University is committed to balanced budgets, with flexibility in the form of a contingency fund, increased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 </t>
  </si>
  <si>
    <t>The Ministry has not yet announced what the tuition framework will be over the second and third year of this budget planning time frame. However, the budget continues to assume the same tuition framework will continue which limits tuition fee growth to an institutional average of 3%. Unviersities continue to await an announcement on the future of the new tuition framework. </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</si>
  <si>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 </t>
  </si>
  <si>
    <t>queens_2018_2</t>
  </si>
  <si>
    <t>queens_2018_6</t>
  </si>
  <si>
    <t>queens_2018_7</t>
  </si>
  <si>
    <t>queens_2018_9</t>
  </si>
  <si>
    <t>queens_2019_1</t>
  </si>
  <si>
    <t>queens_2020</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</si>
  <si>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</si>
  <si>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continue to remain strong.</t>
  </si>
  <si>
    <t>For the three-year planning period to 2021-22,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</si>
  <si>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third year of this budget planning
time frame. Consequently, this budget assumes a continuation of the 2020-21 tuition framework of a
0% increase for funding-eligible programs. Universities continue to await an announcement on the
future of the new tuition framework.</t>
  </si>
  <si>
    <t>The University’s strategic framework promotes the vision of Queen’s University as the Canadian
research-intensive university with a transformative student learning experience. The guiding policies of
the framework address the two key features of the quintessential balanced academy, the student
learning experience and research prominence, while paying appropriate attention at the same time to
the need for increased internationalization and financial sustainability. The framework will guide
academic, and thus financial, priorities.</t>
  </si>
  <si>
    <t>queens_2019_2</t>
  </si>
  <si>
    <t>queens_2019_5</t>
  </si>
  <si>
    <t>queens_2019_6</t>
  </si>
  <si>
    <t>queens_2019_7</t>
  </si>
  <si>
    <t>Almost 96% of revenue in the Operating budget is mostly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</si>
  <si>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</si>
  <si>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For the three-year planning period to 2022-23,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</si>
  <si>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The Ministry in January 2019 announced the tuition framework for 2019-20 and 2020-21; however, it
has not yet announced what the tuition framework will be for the second year of this budget planning
time frame. Consequently, this budget assumes a continuation of the 2020-21 tuition framework of a
0% increase for funding-eligible programs. Universities continue to await an announcement on the
future of the new tuition framework.</t>
  </si>
  <si>
    <t>queens_2020_5</t>
  </si>
  <si>
    <t>queens_2020_6</t>
  </si>
  <si>
    <t>queens_2020_8</t>
  </si>
  <si>
    <t>queens_2020_9</t>
  </si>
  <si>
    <t>queens_2021</t>
  </si>
  <si>
    <t>queens_2021_1</t>
  </si>
  <si>
    <t>Almost 97% of revenue in the Operating budget is mainly derived from student enrolment in the form
of Operating grants from the government (base Operating grant plus many smaller targeted funding
envelopes) and student tuition. Much of this revenue stream is directed and regulated by government,
with limited flexibility for universities to increase revenue.</t>
  </si>
  <si>
    <t>Provincial grant revenue, although presenting with some certainty over the next few years, is still
financially limiting for the University as the maximum grant to be received will be maintained at the
2019-20 level until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 The amount of funding at-risk in
the performance-based envelope will increase from 25% of sector-wide grant revenue in 2020-21 to
60% by 2024-25 by shifting funding from the enrolment envelope into the performance-based
envelope. Although this at-risk funding was intended to begin in 2020-21, the ministry announced the decoupling of funding from the performance against metrics for at least the first two years of the
SMA3 period (2020-21 &amp; 2021-22).</t>
  </si>
  <si>
    <t>For the three-year planning period to 2023-24,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 The long term financial sustainability of
the pension plan is also being addressed.</t>
  </si>
  <si>
    <t>queens_2021_2</t>
  </si>
  <si>
    <t>queens_2021_4</t>
  </si>
  <si>
    <t>queens_2021_5</t>
  </si>
  <si>
    <t>queens_2022</t>
  </si>
  <si>
    <t>queens_2022_1</t>
  </si>
  <si>
    <t>Provincial grant revenue is financially limiting for the University because the maximum grant will be
maintained at the 2019-20 level until, at a minimum, 2024-25. The enrolment corridor will be
maintained but will combine both undergraduate and graduate enrolment while ensuring the grant
revenue in the enrolment envelope will not reduce if enrolment remains within +/- 3% of the
enrolment mid-point set based on the actual enrolment for 2019-20. Applying the enrolment corridor
for each institution allows the government to cap how many domestic students it will fund through the
operating grant portion. The university is expected to adhere to the enrolment corridor based on a
rolling average. Any sustained growth above the mid-point does not result in additional provincial
grant funding for those students but does result in additional tuition revenue. Recently, Queen’s has
planned for careful growth above the mid-point in select, high-demand areas.</t>
  </si>
  <si>
    <t>As part of SMA3, the performance-based envelope will be linked to ten metrics with differing weights
for each metric to be set by each individual institution. The funding in the performance-based envelope
will be at-risk unless the targets, set through a calculated methodology based on past average
experience in each metric, are continually met.</t>
  </si>
  <si>
    <t>The province provided a number of announcements late in fiscal 2021-22 which are outlined in the
Government Grant section of this report. These announcements defer the at-risk funding linked to
SMA3, provide additional funding for undergraduate and postgraduate medical spaces, and confirm
the tuition framework for 2022-23.</t>
  </si>
  <si>
    <t>For the three-year planning period to 2024-25, the University is committed to balanced budgets,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</si>
  <si>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March 23, 2022, the provincial government announced the tuition framework applicable for only percent. As a result, the University will apply a five percent increase to tuition fees for domestic out-ofprovince
incoming direct-entry undergraduate students only. Due to the system and administrative
changes required to identify the out-of-province students, the budget presented here does not reflect
the impact of any such increases.
2022-23 which continues to restrict flexibility for the University by freezing tuition fees for domestic
funding-eligible programs at 2019-20 levels for Ontario students. However, the province will provide
institutions the ability to increase tuition fees for domestic out-of-province students by up to five</t>
  </si>
  <si>
    <t>queens_2022_2</t>
  </si>
  <si>
    <t>queens_2022_3</t>
  </si>
  <si>
    <t>queens_2022_4</t>
  </si>
  <si>
    <t>queens_2022_5</t>
  </si>
  <si>
    <t>queens_2022_6</t>
  </si>
  <si>
    <t>queens_2022_7</t>
  </si>
  <si>
    <t>queens_2023</t>
  </si>
  <si>
    <t>queens_2023_1</t>
  </si>
  <si>
    <t>Almost 96%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</si>
  <si>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had limited funding increases to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</si>
  <si>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Subsequent to the budget being approved by the Board of Trustees, the University imposed a hiring
freeze in May 2023 for full-time operating budget positions. This temporary measure will have an
immediate impact by reducing the University’s projected 2023-24 deficit and providing a starting point
to explore other cost containment options. The University is committed to achieving a balanced budget
by 2025-26.</t>
  </si>
  <si>
    <t>Provincial grant revenue is financially limiting for the University because the maximum grant will be
maintained at the 2019-20 level until, at a minimum, 2024-25.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</si>
  <si>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SMA3, the performance-based envelope is linked to ten metrics with differing weights for
each metric set by each individual institution. The funding in the performance-based envelope is at-risk
unless the targets, set through a calculated methodology based on past average experience in each
metric, are continually met.</t>
  </si>
  <si>
    <t>For the three-year planning period to 2025-26, the University is committed to balanced budgets, with continued support for key functions in the Shared Services, all balanced by ensuring that sufficient
incremental revenue remains in the Faculties to support the academic and research missions of the
University. The need to diversify revenue remains important.
flexibility in the form of a contingency fund, continued investment in infrastructure renewal, and</t>
  </si>
  <si>
    <t>On March 2, 2023, the provincial government announced the tuition framework applicable for only
2023-24 which continues to restrict flexibility for the University by freezing tuition fees for domestic
funding-eligible programs at 2019-20 levels for Ontario students. However, the province will provide
institutions with the ability to increase tuition fees for domestic out-of-province students by up to five
per cent. As a result, the University will apply a five per cent increase to tuition fees for year-one and
year-two domestic out-of-province direct-entry undergraduate students only. In addition, the tuition
framework provided for the ability to increase tuition fees by up to 7.5% for up to three programs
whose tuition fees were on average anomalous to comparator programs in the province. As the tuition
anomaly provision was announced late in the process, the budget presented here does not reflect the
impact of the additional revenue that will materialize from the tuition anomaly provision.</t>
  </si>
  <si>
    <t>queens_2023_2</t>
  </si>
  <si>
    <t>queens_2023_3</t>
  </si>
  <si>
    <t>queens_2023_4</t>
  </si>
  <si>
    <t>queens_2023_5</t>
  </si>
  <si>
    <t>queens_2023_7</t>
  </si>
  <si>
    <t>queens_2023_8</t>
  </si>
  <si>
    <t>queens_2024</t>
  </si>
  <si>
    <t>queens_2024_1</t>
  </si>
  <si>
    <t>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</si>
  <si>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Recent public policy has limited funding increases for enrolment growth and further substantial
funding for enrolment growth is unlikely in the future. The change in public policy is due to changes in
demographics in the province and subsequent, current or forecasted declining application rates at
some universities. Conversely, applications to Queen’s remain strong.</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</si>
  <si>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reduce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</si>
  <si>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After a period of decoupling funding from the performance metrics, the ministry re-introduced the
funding linked to SMA3 metrics for 2023-24 and 2024-25, but at lower rates than were originally
contemplated; this now places 10 per cent of funding at-risk for 2023-24 and 25 per cent at-risk for
2024-25 (confirmed by the ministry on February 27, 2024). The university continues to be in a good
position to perform well on most of the metrics, however the budget does allow for some revenue
reduction to accommodate for potential revenue loss experienced through the annual evaluation.
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 for 2024-
25.</t>
  </si>
  <si>
    <t>For the three-year planning period, the university is committed to prudent stewardship of funds, with incremental revenue remains in the Faculties to support the academic and research missions of the
university. The need to diversify revenue remains important.
flexibility in the form of a contingency fund, continued investment in infrastructure renewal, and
continued support for key functions in the shared services, all balanced by ensuring that sufficient</t>
  </si>
  <si>
    <t>On February 27, 2024, the provincial government announced the tuition framework applicable for the
next three years, which continues to restrict flexibility for the university by freezing tuition fees for
domestic funding-eligible programs at 2019-20 levels for Ontario students for at least three more
years. However, the province will provide institutions with the ability to increase tuition fees for
domestic out-of-province students by up to five per cent. As a result, the university will apply a five per
cent increase to tuition fees for year-one, year-two and year-three domestic out-of-province directentry
undergraduate students only.
Additionally, the tuition framework continues to provide for the ability to increase tuition fees by up to
7.5 per cent for three programs whose tuition fees are on average anomalous to comparator programs
in the province.</t>
  </si>
  <si>
    <t>Over the summer and fall in 2023, all units (both shared services and faculties/schools) planned their
budgets and reductions required to meet the financial scenario of having their allocations cut. The
funding that was cut from their allocations was held in a Deficit Mitigation Fund to help determine
what areas were most critically in need and unable to mitigate the cuts in budget. As a result of this
planning exercise, shared services demonstrated plans to achieve structural balance by 2025-26,
however, the faculties/schools are unlikely to achieve structural balance by 2025-26 mostly due to the
significant impact of lost revenue and cost escalation in the Faculty of Arts &amp; Science (FAS). As a result,
the entire deficit mitigation fund will be allocated to FAS, along with a portion of the university fund,
by way of unallocated funds set aside for future commitment and a reduction in the transfers to capital
that were initially earmarked for future capital needs linked with the priorities set through the Capital
Investment Priorities.</t>
  </si>
  <si>
    <t>queens_2024_2</t>
  </si>
  <si>
    <t>queens_2024_3</t>
  </si>
  <si>
    <t>queens_2024_4</t>
  </si>
  <si>
    <t>queens_2024_5</t>
  </si>
  <si>
    <t>queens_2024_6</t>
  </si>
  <si>
    <t>queens_2024_7</t>
  </si>
  <si>
    <t>queens_2024_8</t>
  </si>
  <si>
    <t>queens_2025</t>
  </si>
  <si>
    <t>queens_2025_1</t>
  </si>
  <si>
    <t>Approximately 94% of revenue in the operating budget is derived from student enrolment in the form
of operating grants from the government (base operating grant plus many smaller targeted funding
envelopes) and student tuition. Much of this revenue stream is directed and regulated by the
government, with limited flexibility for universities to increase revenue.</t>
  </si>
  <si>
    <t>Provincial grant revenue is financially limiting for the university because the maximum grant will be
maintained at the 2019-20 level until, at a minimum, 2025-26. The enrolment corridor will be
maintained but combines both undergraduate and graduate enrolment while ensuring the grant
revenue in the enrolment envelope will not be reduced if enrolment remains above the lower band of
the +/- 3% of the enrolment mid-point set based on the actual enrolment for 2016-17 for
undergraduate enrolment and 2019-20 for graduate enrolment. The university is expected to remain
above the mid-point of the corridor based on a rolling five-year average. Any sustained growth above
the mid-point does not result in additional provincial grant funding for those students but does result
in additional tuition revenue. Recently, Queen’s has experienced growth above the mid-point,
predominantly in high-demand areas.</t>
  </si>
  <si>
    <t>As part of SMA4 the performance-based envelope will be linked to eight metrics with differing weights
for each metric set by each individual institution. A portion of the funding in the performance-based
envelope is at risk unless the targets, set through a calculated methodology based on past average
experience in each metric, are continually met.</t>
  </si>
  <si>
    <t>The ministry will continue with approximately 25% of the government grant funding linked to SMA4
metrics, with the expectation that the percentage will increase by 5% per year. The university
continues to be in a good position to perform well on most of the metrics, however the budget does
allow for some revenue reduction to accommodate for potential revenue loss experienced through the
annual evaluation.</t>
  </si>
  <si>
    <t>For the three-year planning period, the university is committed to prudent stewardship of funds, with
flexibility in the form of a contingency fund, continued investment in infrastructure renewal, and
continued support for key functions in the Shared Services, all balanced by ensuring that sufficient
incremental revenue remains in the Faculties to support the academic and research missions of the
university. The need to diversify revenue remains important.</t>
  </si>
  <si>
    <t>On February 27, 2024, the provincial government announced the tuition framework applicable for the 2026-27. However, the province did allow institutions to increase tuition fees for domestic out-ofprovince
students by up to five per cent. As a result, the university will apply a 5% increase to tuition
fees throughout the planning cycle for out-of-province direct-entry undergraduate students only.
Additionally, the tuition framework continues to provide for the ability to increase tuition fees by up to
7.5% for three programs whose tuition fees are on average anomalous to comparator programs in the
province. The three programs reach their maximum approved tuition value during the three-year
budget horizon.
next three years, which continues to restrict flexibility for the university by freezing tuition fees for
domestic funding-eligible programs at 2019-20 levels for Ontario students for at least until the end of</t>
  </si>
  <si>
    <t>Over the summer, units planned their budgets and reductions required to meet the financial scenario
of having their allocations frozen or cut. The funding that was cut from their allocations was held in a
Deficit Mitigation Fund. As a result of this planning exercise, shared services demonstrated plans to
achieve structural balance by 2025-26, along with most of the faculties/schools, except for the Faculty
of Arts and Science which was unable to achieve structural balance mostly due to the continued impact
of lost revenue and cost escalation. As a result, the entire Deficit Mitigation Fund allocated to FAS,
along with a portion of the Transition Fund (University Fund).</t>
  </si>
  <si>
    <t>queens_2025_2</t>
  </si>
  <si>
    <t>queens_2025_3</t>
  </si>
  <si>
    <t>queens_2025_4</t>
  </si>
  <si>
    <t>queens_2025_6</t>
  </si>
  <si>
    <t>queens_2025_7</t>
  </si>
  <si>
    <t>queens_2025_8</t>
  </si>
  <si>
    <t>uoft_2017</t>
  </si>
  <si>
    <t>University of Toronto</t>
  </si>
  <si>
    <t>The 2016 year experienced an improvement in the global economy with the US economy expected to grow over the next two years. The Bank of Canada Monetary Policy report released in January 2017 sees ongoing constraints on the growth in economic activity in Canada through 2017, with modest growth in real GDP, export growth limited by the recent appreciation of the Canadian dollar relative to the US dollar, and CPI inflation expected to be around 2%. While Ontario’s economy has continued to grow in the uncertain global environment, the Province continues to run a deficit budget, projected at $4.2 billion in their 2016 fall economic outlook, imposing pressure on all provincially funded sectors.</t>
  </si>
  <si>
    <t>The Province is also engaging with universities and colleges in a funding-formula review designed to support the new differentiation framework. While the current funding model for universities is primarily enrolment driven, the new funding formula is designed to focus on accomplishing three key objectives:
1. Improving student outcomes;
2. Driving differentiation by linking funding to SMAs; and
3. Providing stability to institutions through a formula which provides predictable funding and supports enrolment planning during a period of projected demographic change and enrolment decline.</t>
  </si>
  <si>
    <t>Transition to the new funding formula in 2017-18 is designed to ensure that no university will see changes to core funding levels as a result of the transition. Beyond that, changes will be gradual and subject to negotiation between each university and MAESD via Strategic Mandate Agreements.</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</si>
  <si>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1.0% relative to January 2016, slightly less than the provincial total of 1.5%. Total University of Toronto applications for all choices increased 3.0%, compared to a system total increase of 2.7%. In the non-Ontario high school category, application numbers do not become fully meaningful until later in the spring. System upgrades at OUAC (the provincial application processing centre) this year have also resulted in processing delays for these applications, which make year-over-year comparisons difficult at this point in time. However, initial indications suggest strong growth in this pool for the University of Toronto.</t>
  </si>
  <si>
    <t>The University met its master’s enrolment target in 2016-17 and there is demand for another 1,000 provincially-funded spaces over the next five years. Doctoral enrolment (for provincially funded spaces) has held constant this year relative to last, however divisions plan for growth about 500 more domestic student spaces. Many divisions continue to push for advocacy with the province for increasing the number of funded international PhD spaces, currently only at thirty eight.</t>
  </si>
  <si>
    <t>The University of Toronto is independently committed to student aid and is guided by the 1998 Governing Council policy on accessibility, which predates the government’s framework, and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</si>
  <si>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At the University of Toronto approximately 55% of full time domestic undergraduate students and 23% of full time domestic 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the portion of total tuition paid by OSAP-eligible students, on average in 2014-15 (the year the university last completed the study) was 51% of the posted rate. There has been a 2.1% increase of students with OSAP debt graduating from direct-entry programs since 2010-11; however, the average OSAP debt of these students decreased over the same period by 3%. The combination of these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</si>
  <si>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the institutional cost of research, and graduate student support.</t>
  </si>
  <si>
    <t>The Canada Research Chairs program introduced in 2000-01 provides salary and research support for outstanding university researchers on a competitive basis. Research chairs are awarded to each university based on its share of research funding by the federal granting councils. The University experienced a decline in the number of CRC chairs several years ago but the trend is reversing as we increase our share in tri-council funding competitions. Since the CRC program was introduced, inflation has reduced the effective value of Chair funding by over 25%. An appropriate adjustment to government funding is long overdue.</t>
  </si>
  <si>
    <t>As a long-standing subject of government advocacy, universities have been requesting that the federal government recognize the full cost of research in its research funding policy, with a 40% rate as a minimum target for the indirect costs. The government began to provide institutional costs of research funding in 2003-04 through what is now called the Research Support Fund (RSF), with an effective rate for the University of Toronto now at 17.3%. This is currently contributing just over $20 million to the University’s operating budget, and continues to be considerably short of the actual institutional cost of research, estimated at over 50% at the University of Toronto. A doubling of the federal RSF rate would bring us to $40 million, putting us somewhat closer to our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</si>
  <si>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The support for graduate students has not kept pace with the rapid growth in graduate enrolment.</t>
  </si>
  <si>
    <t>uoft_2017_2</t>
  </si>
  <si>
    <t>uoft_2017_6</t>
  </si>
  <si>
    <t>uoft_2017_8</t>
  </si>
  <si>
    <t>uoft_2017_10</t>
  </si>
  <si>
    <t>uoft_2017_11</t>
  </si>
  <si>
    <t>uoft_2017_14</t>
  </si>
  <si>
    <t>uoft_2017_15</t>
  </si>
  <si>
    <t>uoft_2017_17</t>
  </si>
  <si>
    <t>uoft_2017_19</t>
  </si>
  <si>
    <t>uoft_2017_20</t>
  </si>
  <si>
    <t>uoft_2017_21</t>
  </si>
  <si>
    <t>uoft_2018</t>
  </si>
  <si>
    <t>Ontario’s economy has continued to grow in the uncertain global environment. The Public Accounts of Ontario indicate that the actual 2016-17 deficit was $1.0 billion, down from $10.3 billion in 2014-15. According to the 2017 fall economic outlook
4, the Province continues to focus on balancing the budget, and maintaining that balance through 2019–20. Spending restraint continues to impose pressure on all provincially-funded sectors.</t>
  </si>
  <si>
    <t>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operationalized through a Strategic Mandate Agreement for each institution, which “outlines the role the University currently performs in Ontario’s postsecondary education system and how it will build on its current strengths to achieve its vision and help to drive system-wide objectives and government priorities.” Future funding is expected to be increasingly directed towards achievement of excellence metrics, rather than enrolment numbers. This is a welcome change for the University of Toronto and reflects the University’s long-term advocacy for differentiation.</t>
  </si>
  <si>
    <t>Effective 2017-18, the Province has implemented a new funding formula to support this differentiation policy framework. The new formula is designed to focus on accomplishing three key objectives: 1) improving student outcomes; 2) driving differentiation by linking funding to SMAs; and 3) providing stable, predictable funding while supporting enrolment planning during this period of projected demographic change and enrolment decline.</t>
  </si>
  <si>
    <t>Transition to the new funding formula in 2017-18 is designed to ensure that no university will see changes to core funding levels as a result of the transition. In future years, changes will be gradual and subject to negotiation between each university and MAESD via Strategic Mandate Agreements.</t>
  </si>
  <si>
    <t>In October 2017, the University signed a new Strategic Mandate Agreement (SMA2) with the Province for the period 2017-2020. This is the second multi-year agreement developed under the differentiation policy framework for post-secondary education, and re-confirms the university’s leadership role in research and innovation in Ontario.</t>
  </si>
  <si>
    <t>The University continues to attract very high quality students. Entering averages of undergraduate students are rising each year across all three campuses and are carefully monitored as an indicator of the academic quality of our students. The University of Toronto’s first-choice applications from Ontario high school students increased by 2.7% relative to January 2017, compared to an average increase of 1.6% for the other research-intensive Ontario universities (McMaster, Ottawa, Queen’s, Waterloo, Western), and an average decline of 1.8% for all other universities combined. Total University of Toronto applications for all choices increased 4.4%, compared to a system total increase of 5.4%. In the non-Ontario high school category, application numbers do not become fully meaningful until later in the spring.</t>
  </si>
  <si>
    <t>The University of Toronto is independently committed to student aid, and is guided by the 1998 Governing Council Policy on Accessibility, which will continue to drive our funding for needs-based student aid. The policy contains the following Statement of Principle:
“No student offered admission to a program at the University of Toronto should
be unable to enter or complete the program due to lack of financial means.”</t>
  </si>
  <si>
    <t>The proportion of students graduating from direct-entry programs with OSAP debt remains relatively stable, at 49.2% of graduates in 2016-17 versus 49.4% of graduates in 2011-12. The average amount of OSAP debt at graduation has increased by 1.4% in real terms over the same period. The combination of University and provincial student financial aid programs enhances access to the University’s excellent education opportunities for a wide array of students.</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</si>
  <si>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</si>
  <si>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The Naylor report recommends a 40% rate as a target for funding of indirect costs. Increases to the Research Support Fund announced in federal budgets 2015 and 2016 have increased the rate slightly to 18.9%, but this remains considerably short of the actual institutional cost of research, estimated at over 50% at the University of Toronto. A doubling of the federal RSF rate would bring us to $45 million, putting us somewhat closer to AAU competitors and would have a significant impact on allowing the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</si>
  <si>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</si>
  <si>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uoft_2018_3</t>
  </si>
  <si>
    <t>uoft_2018_5</t>
  </si>
  <si>
    <t>uoft_2018_6</t>
  </si>
  <si>
    <t>uoft_2018_7</t>
  </si>
  <si>
    <t>uoft_2018_8</t>
  </si>
  <si>
    <t>uoft_2018_14</t>
  </si>
  <si>
    <t>uoft_2018_17</t>
  </si>
  <si>
    <t>uoft_2018_19</t>
  </si>
  <si>
    <t>uoft_2018_21</t>
  </si>
  <si>
    <t>uoft_2018_22</t>
  </si>
  <si>
    <t>uoft_2018_24</t>
  </si>
  <si>
    <t>uoft_2018_25</t>
  </si>
  <si>
    <t>uoft_2019</t>
  </si>
  <si>
    <t>The government is committed to returning the Province to
balanced budgets on a modest, reasonable and pragmatic
timetable. The University anticipates that this spending restraint
will impose significant pressure on all provincially-funded sectors.</t>
  </si>
  <si>
    <t>The SMA2 also allocated 10% of operating grant revenue
($65 million in 2018–19)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Although funding in
the differentiation envelope is revenue-neutral throughout the
period of SMA2, it is anticipated that a greater portion of future
funding will be directed towards achievement of accountability
metrics, rather than enrolment numbers. The University is
engaged in consultation with the Province on the design of
metrics and funding mechanisms that will be included in the
third Strategic Mandate Agreement (SMA3) beginning in 2020.</t>
  </si>
  <si>
    <t>Funding from the federal government is provided to universities
primarily to support research and is not generally part of the
University’s operating budget. However, it interacts with the
University’s operating budget in three important areas: Canada
Research Chairs, funding for the indirect costs of research,
and graduate student support.</t>
  </si>
  <si>
    <t>In April 2017, a panel led by UofT President Emeritus David research. The University incurs roughly $0.55 in operating
costs related to each $1.00 in direct research expenditures,
and recovers a portion of these costs from restricted research
funds based on the indirect cost rate specified in each grant.
Naylor issued the final report of Canada’s Fundamental Science
Review (the Naylor Report). The Naylor report recommended
a 40% rate as a target for funding of the indirect costs of</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</si>
  <si>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</si>
  <si>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</si>
  <si>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is facing increasing financial pressure, with a 2017, the President and Provost established an advisory group
to consider how the University might broaden its funding 2017, the President and Provost established an advisory group
to consider how the University might broaden its funding
sources to provide it with a strong financial basis going forward.
sources to provide it with a strong financial basis going forward.
declining portion of operating revenues coming from provincial
operating grants and constrained tuition and enrolment
frameworks. Our commitment to being an internationally
significant research university requires us to think creatively
about how we might fund our mission and aspirations. In fall</t>
  </si>
  <si>
    <t>The advisory group will articulate a set of principles to guide
recommendations regarding alternative funding sources and,
after consultation and review of a broad range of options, will
recommend a limited set of strategies that the University might
pursue. Work of the advisory group is ongoing, and a report
is expected by the end of the 2018–19 academic year.</t>
  </si>
  <si>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</si>
  <si>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uoft_2019_4</t>
  </si>
  <si>
    <t>uoft_2019_7</t>
  </si>
  <si>
    <t>uoft_2019_9</t>
  </si>
  <si>
    <t>uoft_2019_10</t>
  </si>
  <si>
    <t>uoft_2019_11</t>
  </si>
  <si>
    <t>uoft_2019_12</t>
  </si>
  <si>
    <t>uoft_2019_13</t>
  </si>
  <si>
    <t>uoft_2019_14</t>
  </si>
  <si>
    <t>uoft_2019_15</t>
  </si>
  <si>
    <t>uoft_2019_16</t>
  </si>
  <si>
    <t>uoft_2020</t>
  </si>
  <si>
    <t>pres_external</t>
  </si>
  <si>
    <t>pres_exp</t>
  </si>
  <si>
    <t>prov_external</t>
  </si>
  <si>
    <t>prov_exp</t>
  </si>
  <si>
    <t>The government remains committed to returning the Province to balanced budgets by 2023, in a way that allows for critical infrastructure investments and ensures public services continue to be supported. The University anticipates that spending restraint will impose significant pressure on all provincially-funded sectors. </t>
  </si>
  <si>
    <r>
      <t>The second Strategic Mandate Agreement</t>
    </r>
    <r>
      <rPr>
        <sz val="5"/>
        <color rgb="FF211D1E"/>
        <rFont val="Helvetica"/>
        <family val="2"/>
      </rPr>
      <t>5</t>
    </r>
    <r>
      <rPr>
        <sz val="9"/>
        <color rgb="FF211D1E"/>
        <rFont val="Helvetica"/>
        <family val="2"/>
      </rPr>
      <t>, covering the period 2017-2020, introduced the concept of performance based funding within the existing Provincial operating grant envelope. The agreement notionally re-directed 10% of operating grant revenue ($65 million for the University of Toronto) to a differentiation envelope tied to performance in priority areas such as student experience; innovation, economic development and community engagement; research excellence and impact; access and equity; and innovative teaching. This was a welcome change for the University of Toronto and reflected the University’s long-term advocacy for differentiation. Funding in the differentiation envelope was not at risk for the period of SMA2.</t>
    </r>
  </si>
  <si>
    <t>While the Government will determine the indicators and the targets, institutions can decide the distribution of total funding among the metrics, and will be measured against their own past performance, not against other institutions. Specific targets will be finalized by the end of March 2020. </t>
  </si>
  <si>
    <t>In April 2017, a panel led by UofT President Emeritus David Naylor issued the final report of Canada’s Fundamental Science Review (the Naylor Report). The Naylor Report recommended a 40% rate as a target for funding of the indirect costs of research. The University incurs roughly $0.55 in operating costs related to each $1.00 in direct research expenditures, and recovers a portion of these costs from restricted research funds based on the indirect cost rate specified in each grant.</t>
  </si>
  <si>
    <t>The Federal Budget 2018 included significant new investments in research, including $235 million in new annual granting council funding, as well as $58.8 million for indirect costs via the Research Support Fund — a marginal indirect cost rate of 25%. Federal Budget 2018 also included a significant new investment in the Canada Research Chairs program. The Government expects the granting councils to target new funding to early-career researchers whose diversity better represents Canada’s population, which could result in up to 250 additional Chairs for early career researchers by 2020–21. While the value of these Chairs does not entirely cover salary and benefit costs, they make an important contribution to the University’s operating budget and have a significant impact on the University’s ability to recruit and retain outstanding scholars. </t>
  </si>
  <si>
    <t>The University is facing increasing financial pressure, with a declining portion of operating revenues coming from provincial operating grants and constrained tuition and enrolment frameworks. The University’s commitment to being an internationally significant research university requires creative solutions to fund its mission and aspirations. In Fall 2017, the President and Provost established an advisory group to consider how the University might broaden its funding sources to provide it with a strong financial basis going forward. </t>
  </si>
  <si>
    <r>
      <t>In the spring of 2019, the advisory group issued its final report</t>
    </r>
    <r>
      <rPr>
        <sz val="5"/>
        <color rgb="FF211D1E"/>
        <rFont val="Helvetica"/>
        <family val="2"/>
      </rPr>
      <t>6</t>
    </r>
    <r>
      <rPr>
        <sz val="9"/>
        <color rgb="FF211D1E"/>
        <rFont val="Helvetica"/>
        <family val="2"/>
      </rPr>
      <t>. The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t>
    </r>
  </si>
  <si>
    <t>Concurrent with the work of the Advisory Group, the University began a planning exercise to consider how it might leverage its significant real estate assets to not only develop amenities to support the academic mission, but to grow the portion of the University’s operating budget from “other” revenue. The end result of this planning exercise was the adoption of the Four Corners Strategy, which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This new revenue stream is not yet reflected in the long range budget assumptions.</t>
  </si>
  <si>
    <t>uoft_2020_2</t>
  </si>
  <si>
    <t>uoft_2020_5</t>
  </si>
  <si>
    <t>uoft_2020_6</t>
  </si>
  <si>
    <t>uoft_2020_9</t>
  </si>
  <si>
    <t>uoft_2020_11</t>
  </si>
  <si>
    <t>uoft_2020_12</t>
  </si>
  <si>
    <t>uoft_2020_13</t>
  </si>
  <si>
    <t>uoft_2020_14</t>
  </si>
  <si>
    <t>uoft_2020_15</t>
  </si>
  <si>
    <t>uoft_2020_16</t>
  </si>
  <si>
    <t>uoft_2020_17</t>
  </si>
  <si>
    <t>pres_new</t>
  </si>
  <si>
    <t>prov_new</t>
  </si>
  <si>
    <t>uoft_2021</t>
  </si>
  <si>
    <t>The Ontario post-secondary education system operates under a differentiation policy framework². The framework is operationalized through a series of institutional Strategic Mandate Agreements, which specify the role of each university in the system and how each will build on institutional strengths to drive system-wide objectives and government priorities.</t>
  </si>
  <si>
    <t>Over the course of 2019, the Council of Ontario Universities worked with the Ministry of Colleges and Universities to introduce mechanisms to the SMA3 performance-based funding formula that increase predictability and minimize volatility for institutions. For funding purposes, each university is measured against its own past performance, not against other institutions. Targets are established formulaically, taking into consideration past performance and the variability of results in recent years. Each target includes a range of allowable performance outcomes, with partial funding provided if performance falls below the allowable performance range.</t>
  </si>
  <si>
    <t>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</si>
  <si>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On October 6, 2020, the Ontario government announced an investment of $19 million to fund mental health supports for postsecondary students in 2020-21, an increase of $3 million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</si>
  <si>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beginning in 2019-20, and a freeze at that level for 2020-21. Tuition paid by international students was unaffected. The compounding effect of this two-year framework has a long-lasting impact, and now represents a reduction of $113 million in domestic tuition fee revenue for 2021-22 relative to the previous long
range budget guidelines that assumed the former tuition
framework of 3% annual average fee increases would remain
in place. At this time, no domestic fee framework has been
announced for the 2021-22 fiscal year. The University
has conservatively assumed an extension of the existing
framework, including a freeze for the 2021-22 budget year.
This one-year extension of the domestic tuition fee freeze
would further reduce tuition fee revenue by $26 million
in 2021-22 relative to the University’s previous long range
budget plan.</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</si>
  <si>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</si>
  <si>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outstanding university researchers on a competitive basis.
Research chairs are awarded to each university based on
its share of research funding by the three federal granting
councils: the Canadian Institutes of Health Research
(CIHR), the Natural Sciences and Engineering Research
Council Canada (NSERC), and the Social Sciences and
Humanities Research Council of Canada (SSHRC). The
University of Toronto has the country’s largest allocation of
CRCs, with over 300 Chairs spread across three campuses
and nine fully affiliated hospitals. These Chairs make
an important contribution to the University’s operating
budget and have a significant impact on the University’s
ability to recruit and retain outstanding scholars. Since the
CRC program was introduced, inflation has reduced the
effective value of Chair funding by over 40%. An appropriate
adjustment to the value of these awards is long overdue.
in 2000-01 contributes to salary and research support for</t>
  </si>
  <si>
    <t>Most research sponsored by NSERC, SSHRC and CIHR
funding programs generates indirect cost funding from
the federal Research Support Fund (RSF) and the
recently introduced Incremental Project Grant (IPG). The
University of Toronto’s effective rate of federal indirect costs
recovered from these programs was approximately 21% in
2019-20.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</si>
  <si>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</si>
  <si>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</si>
  <si>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 range budget assumptions.</t>
  </si>
  <si>
    <t>uoft_2021_6</t>
  </si>
  <si>
    <t>uoft_2021_8</t>
  </si>
  <si>
    <t>uoft_2021_9</t>
  </si>
  <si>
    <t>uoft_2021_12</t>
  </si>
  <si>
    <t>uoft_2021_13</t>
  </si>
  <si>
    <t>uoft_2021_15</t>
  </si>
  <si>
    <t>uoft_2021_16</t>
  </si>
  <si>
    <t>uoft_2021_18</t>
  </si>
  <si>
    <t>uoft_2021_19</t>
  </si>
  <si>
    <t>uoft_2021_20</t>
  </si>
  <si>
    <t>uoft_2021_21</t>
  </si>
  <si>
    <t>uoft_2021_22</t>
  </si>
  <si>
    <t>uoft_2022</t>
  </si>
  <si>
    <t>According to the Ontario Budget released in March 20214 and follow up November 2021 Fall Economic Statement5 the Government is not planning any inflationary increases to the University’s operating grant over the next three years. One-time funding has been set aside to support colleges and universities under significant financial pressure from the pandemic, although the University is unlikely to qualify for support given our financial position.</t>
  </si>
  <si>
    <t>In the Fall Economic Statement, the Government announced an investment of $27.9 million in funding for mental health supports for postsecondary students in 2021-22, representing an $8.7 million increase over the prior year. The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announcement and continues to advocate for additional
investments to meet the pressing need for access to mental
health resources.</t>
  </si>
  <si>
    <t>On January 17, 2019, the Ontario government announced
a 10 per cent cut to domestic tuition fees for 2019-20,
and a freeze at that level for 2020-21. The freeze was
subsequently extended for one year to 2021-22 on April 30,
2021. Tuition paid by international students was unaffected.
The compounding effect of this three-year framework has
a long-lasting impact, and now represents a reduction
of $139 million in domestic tuition fee revenue for 2022-
23 relative to the previous long-range budget guidelines
that assumed continuation of the previous framework of 3%
annual average fee increases.</t>
  </si>
  <si>
    <t>In 2021-22, the Government introduced a new policy as defined under the OSAP definitions, could be increased
by up to 3% while fees for Ontario residents would
remain frozen. Given the lateness of the announcement
of the fee framework, coming at the start of the Summer
2021 session, the University opted to not implement
differentiated fees for 2021-22. However, if this policy
continues, the University will proceed with establishing
differentiated fees for non-Ontario resident domestic
students, with a 3% increase to fees for all undergraduate
programs in 2022-23.
allowing for differentiated fees for Out of Province domestic
students. Fees for non-Ontario resident domestic students,</t>
  </si>
  <si>
    <t>Funding from the federal government is provided to
universities primarily to support research and is not generally
part of the University’s operating budget. However, federal
funding interacts with the University’s operating budget in
three important areas: Canada Research Chairs, funding for
the indirect costs of research, and graduate student support.</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</si>
  <si>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nine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t>
  </si>
  <si>
    <t>Most research sponsored by NSERC, SSHRC and CIHR
funding programs generates indirect cost funding from the
federal Research Support Fund (RSF) and the Incremental
Project Grant (IPG). The University of Toronto’s effective rate
of federal indirect costs recovered from these programs was
approximately 20% in 2020-21,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 intensive divisions to close the
gap on their structural deficits. Without a change in the
funding formula, each additional dollar of research funding
places a higher burden on the University’s operating funds.</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</si>
  <si>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t>
  </si>
  <si>
    <t>However, neither federal nor provincial government support
for graduate students has kept pace with the rapid growth
in graduate enrolment, placing a higher demand on faculty
member research grants and the operating budget.</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</si>
  <si>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</si>
  <si>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Several projects
are now underway in various stages of planning, design, and
construction. This new revenue stream is not yet reflected in the
long-range budget assumptions.</t>
  </si>
  <si>
    <t>uoft_2022_8</t>
  </si>
  <si>
    <t>uoft_2022_10</t>
  </si>
  <si>
    <t>uoft_2022_11</t>
  </si>
  <si>
    <t>uoft_2022_14</t>
  </si>
  <si>
    <t>uoft_2022_16</t>
  </si>
  <si>
    <t>uoft_2022_17</t>
  </si>
  <si>
    <t>uoft_2022_19</t>
  </si>
  <si>
    <t>uoft_2022_21</t>
  </si>
  <si>
    <t>uoft_2022_22</t>
  </si>
  <si>
    <t>uoft_2022_24</t>
  </si>
  <si>
    <t>uoft_2022_25</t>
  </si>
  <si>
    <t>uoft_2022_26</t>
  </si>
  <si>
    <t>uoft_2022_27</t>
  </si>
  <si>
    <t>uoft_2022_28</t>
  </si>
  <si>
    <t>uoft_2022_29</t>
  </si>
  <si>
    <t>queens_2020_10</t>
  </si>
  <si>
    <t>The Ministry remains committed to maintaining the 2016-17 funding level for all universities and will
roll-in the graduate growth over 2016-17 actually achieved as at the end of 2019-20. The 2020-21
budget assumes full funding of graduate grant based on achieving the projected growth targets. The
Ministry will continue with the enrolment corridor funding methodology which would ensure the grant
revenue in the enrolment envelope remains constant if enrolment remains within +/- 3% of the
enrolment mid-point to be set based on the actual enrolment for 2019-20 (current set at the 2016-17
level). The performance-based envelope will be linked to ten metrics with differing weights for each
metric to be set by each individual institution. The funding in the performance-based envelope will be
at risk assuming the targets set through a calculated methodology based on past average experience in
each metric is continually met. The amount of funding at-risk in the performance-based envelope will
increase from 25% of total grant revenue in 2020-21 to 60% by 2024-25 by shifting funding from the
enrolment envelope into the performance-based envelope. Although this at-risk funding was intended
to begin in 2020-21, the ministry has decided to decouple the linkage of performance on the metrics to
funding for two years in 2022-23.</t>
  </si>
  <si>
    <t>TOTALS</t>
  </si>
  <si>
    <t>LOW</t>
  </si>
  <si>
    <t>MEDIUM</t>
  </si>
  <si>
    <t>HIGH</t>
  </si>
  <si>
    <t>TOTAL</t>
  </si>
  <si>
    <t>uoft_2023</t>
  </si>
  <si>
    <t>uoft_2023_6</t>
  </si>
  <si>
    <t>Demand for the University’s programs continues to be very strong with deep domestic and international undergraduate applicant pools for Fall 2022. After the exceptionally high intake in 2021, the University had planned on a slightly smaller direct entry undergraduate intake for 2022. Actual full-time intake came in about 3.8% lower than planned (or 620 students on a 16,449 target), although still about 3.8% higher than in 2020. This year, the Federal Government faced significant challenges in processing student permit applications given a large increase in volumes across the country. Over the summer, the University worked closely with Immigration, Refugees &amp; Citizenship Canada (IRCC) to reduce the impact on our students as much as possible. Ultimately, approximately 150 of our incoming students were forced to defer their admission to the winter or next fall which, anecdotally, appears to be significantly better than experienced at some other universities and colleges who have signaled deferral rates of 30% and even higher. The University will continue to work with Universities Canada and IRCC on opportunities to improve the student permit process for next year.</t>
  </si>
  <si>
    <t>uoft_2023_12</t>
  </si>
  <si>
    <t>uoft_2023_14</t>
  </si>
  <si>
    <t>Under the SMA3 performance-based funding formula, each university will be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as noted in the accompanying tables. The University has allocated its performance-based funding envelope among the ten metrics and may re-weight the metrics each year in response to changing priorities.</t>
  </si>
  <si>
    <t>uoft_2023_15</t>
  </si>
  <si>
    <t>In recognition of the potential impact of the COVID-19 pandemic on metrics, the Government suspended activation of the performance-based funding framework for the first three years of the SMA3 period and has committed to reviewing this annually. Under the current plan, the performance-based funding framework will be activated in year four on only a portion of the Differentiation Envelope, beginning with 10% of total funding in 2023-24 and increasing to 25% in 2024-25. The University exceeded all of its metrics targets in the first two years of the SMA3 evaluation period and does not anticipate any reductions to funding if/when the performance-based framework is activated.</t>
  </si>
  <si>
    <t>uoft_2023_19</t>
  </si>
  <si>
    <t>In addition, the Government has committed $124.7 million over three years to significantly increase funding for nursing clinical operations at colleges and universities. Under this initiative, the University’s allocation for nursing clinical funding will roughly triple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t>
  </si>
  <si>
    <t>uoft_2023_23</t>
  </si>
  <si>
    <t>For 2022-23, the Government renewed their commitment to increase funding support for mental health services at colleges and universities by $4.8 million on top of the $10.5 million in on-going funding.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The University welcomes this commitment and continues to advocate for additional continuing investments to meet the pressing need for access to mental health resources to complement the University’s increased investments in this area. </t>
  </si>
  <si>
    <t>uoft_2023_26</t>
  </si>
  <si>
    <t>Unfortunately, it appears that the Provincial Government will again extend the freeze on domestic tuition fees for Ontario residents for another year. The cumulative impact of the 10% cut and now four-year freeze is a $195 million reduction in annual operating revenue to the University in 2023-24 compared to the 3% average framework in place prior to 2019-20. Our domestic fees continue to be lower than they were in 2018-19 and after inflation, our fee for Arts &amp; Science programs is lower than it was in 1999. </t>
  </si>
  <si>
    <t>uoft_2023_27</t>
  </si>
  <si>
    <r>
      <t xml:space="preserve">This decision is especially disappointing given the current high inflation environment and the Ontario Auditor General’s November 2022 </t>
    </r>
    <r>
      <rPr>
        <i/>
        <sz val="9"/>
        <color theme="1"/>
        <rFont val="Helvetica"/>
        <family val="2"/>
      </rPr>
      <t>Value for Money Audit on Financial Management in Ontario Universities</t>
    </r>
    <r>
      <rPr>
        <i/>
        <vertAlign val="superscript"/>
        <sz val="6"/>
        <color theme="1"/>
        <rFont val="Helvetica"/>
        <family val="2"/>
      </rPr>
      <t xml:space="preserve">6 </t>
    </r>
    <r>
      <rPr>
        <sz val="9"/>
        <color theme="1"/>
        <rFont val="Helvetica"/>
        <family val="2"/>
      </rPr>
      <t xml:space="preserve">and </t>
    </r>
    <r>
      <rPr>
        <i/>
        <sz val="9"/>
        <color theme="1"/>
        <rFont val="Helvetica"/>
        <family val="2"/>
      </rPr>
      <t>Special Report on Laurentian University</t>
    </r>
    <r>
      <rPr>
        <i/>
        <vertAlign val="superscript"/>
        <sz val="6"/>
        <color theme="1"/>
        <rFont val="Helvetica"/>
        <family val="2"/>
      </rPr>
      <t xml:space="preserve">7 </t>
    </r>
    <r>
      <rPr>
        <sz val="9"/>
        <color theme="1"/>
        <rFont val="Helvetica"/>
        <family val="2"/>
      </rPr>
      <t>that both highlighted the adverse financial impact on Ontario universities of the Government’s decision to reduce and freeze domestic tuition. The long-range plans continue to assume a return to a 3% framework after next year. </t>
    </r>
  </si>
  <si>
    <t>uoft_2023_28</t>
  </si>
  <si>
    <t>In 2021-22, the Government introduced a new policy allowing for differentiated fees for Out of Province domestic students. Given the lateness of the announcement of the fee framework, coming at the start of the Summer 2021 session, the University opted to not implement differentiated fees for 2021-22. However, the University proceeded with establishing differentiated fees for non-Ontario resident domestic students in 2022-23, with a 3% increase to fees for all undergraduate programs while fees for Ontario residents remained frozen under the framework. For 2023-24, the University is planning on a 5% increase to non-Ontario resident domestic fees in undergraduate programs, consistent with the framework. </t>
  </si>
  <si>
    <t>uoft_2023_29</t>
  </si>
  <si>
    <t>While the budget plan assumes a freeze to domestic Ontario resident tuition fees for next year, there is a small possibility that the Government could make a late announcement providing some flexibility on domestic tuition fees for 2023-24. Given the constraints that a continued freeze would put on budget resources to address pressures on expenses, the University must be able to use any flexibility provided. To position us to respond to a late announcement, the University is proposing an alternative set of tuition fee schedules that assume a 3% increase to Ontario resident domestic tuition fees in the 2023-24 Tuition Fee Report. </t>
  </si>
  <si>
    <t>uoft_2023_30</t>
  </si>
  <si>
    <t>If the Government does make a late announcement allowing this flexibility, this alternate set of tuition fees would be implemented in 2023-24, subject to any limitations in the framework. The change would increase revenue to the University by approximately $15 million, which would be allocated across divisions through the University’s budget model. </t>
  </si>
  <si>
    <t>uoft_2023_31</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</si>
  <si>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 </t>
  </si>
  <si>
    <t>uoft_2023_32</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</si>
  <si>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330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48%. An appropriate adjustment to the value of these awards is long overdue. </t>
  </si>
  <si>
    <t>uoft_2023_33</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</si>
  <si>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57%.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t>
  </si>
  <si>
    <t>uoft_2023_34</t>
  </si>
  <si>
    <t>The Federal government supports graduate students by providing fellowships on a competitive basis. Although these funds do not flow through the University’s budget, they provide indirect budget relief to the academic divisions by freeing up funds that would otherwise have to be used for graduate student support. Similarly, the Provincial Government provides support through Ontario Graduate Scholarships and the QEII Graduate Scholarships in Science and Technology. However, neither federal nor provincial government support for graduate students has kept pace with the rapid growth in graduate enrolment, placing a higher demand on faculty member research grants and the operating budget. </t>
  </si>
  <si>
    <t>uoft_2023_35</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</si>
  <si>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 </t>
  </si>
  <si>
    <t>uoft_2023_36</t>
  </si>
  <si>
    <r>
      <t>In 2019, the final report of the Alternative Funding Sources Advisory Group</t>
    </r>
    <r>
      <rPr>
        <vertAlign val="superscript"/>
        <sz val="6"/>
        <color theme="1"/>
        <rFont val="Helvetica"/>
        <family val="2"/>
      </rPr>
      <t xml:space="preserve">8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9 </t>
    </r>
    <r>
      <rPr>
        <sz val="9"/>
        <color theme="1"/>
        <rFont val="Helvetica"/>
        <family val="2"/>
      </rPr>
      <t>includes recommendations to enhance and expand the University’s lifelong learning offerings through initiatives such as a Lifelong Learning Community of Practice and micro-credentials. </t>
    </r>
  </si>
  <si>
    <t>uoft_2023_37</t>
  </si>
  <si>
    <t>The University has seized another such opportunity with the adoption of the Four Corners Strategy, which will leverage the University’s real estate assets to deliver amenities to support the academic mission and simultaneously grow revenue from sources other than enrolment. The Four Corners Strategy sets an ambitious goal of generating $50 million in operating funding per year by 2033 through the development of roughly 3.5 million square feet of new space devoted to campus services, amenities, office, and retail spaces. The funding will be invested directly in the research and teaching mission, likely through a targeted Strategic Fund. </t>
  </si>
  <si>
    <t>uoft_2023_38</t>
  </si>
  <si>
    <t>Current projects in various stages of planning, design, and construction include a new residence at Spadina and Sussex currently under construction, a new residence on Harbord in development, the Site 1 Gateway project at Bloor and Spadina with faculty, staff and student family housing, and the Schwartz Reisman Innovation Campus (SRIC). </t>
  </si>
  <si>
    <t>uoft_2024</t>
  </si>
  <si>
    <t>uoft_2024_3</t>
  </si>
  <si>
    <t>On January 22, 2024, the Federal Government announced a two-year framework to cap new international student permits to the number expiring each year, which will result in an estimated 35% reduction in new permits nationally and a 50% reduction for Ontario because of a new distribution framework linked to population. Permits for graduate studies are exempted from the cap. These changes are focused on addressing abuses in the system by particular actors and are not intended to adversely impact universities such as the University of Toronto. We are working with all levels of government to ensure that the allocation of permits recognizes institutions like U of T (which uphold rigorous and transparent recruitment and admissions processes, and offer robust student supports) and addresses the problem where the challenges lie. </t>
  </si>
  <si>
    <t>uoft_2024_4</t>
  </si>
  <si>
    <t>The Federal Government continues to face significant challenges in timely processing of student permit applications given the large increase in volumes across the country in recent years. This past year, the University along with Universities Canada and other peer universities has worked with Immigration, Refugees &amp; Citizenship Canada (IRCC) to develop a new Recognized Institution Framework that will create a new, separate pathway for student permit processing for “recognized” institutions. We expect this to significantly improve the experience for our students and reduce time to approval when it is implemented. </t>
  </si>
  <si>
    <t>uoft_2024_8</t>
  </si>
  <si>
    <t>The impact of post-Bill 124 compensation decisions is a dominating factor in this year’s budget plan. </t>
  </si>
  <si>
    <t>uoft_2024_11</t>
  </si>
  <si>
    <t>In response, divisions have had to review their hiring plans, contingencies, capital plans, and other priorities. It will take several years for divisions to fully absorb this extraordinary increase in base costs, which will limit funding available for other priorities. </t>
  </si>
  <si>
    <t>uoft_2024_12</t>
  </si>
  <si>
    <t>In March 2023, the Ontario Government announced the creation of a new Blue-Ribbon Panel (BRP) to provide advice to the Ministry of College &amp; Universities on how to help keep the postsecondary education sector financially strong and focused on providing the best student experience possible. The Panel published their final report in November 20232 with a number of key recommendations that could have a significant impact on the University’s budget, including:
• Unfreeze domestic tuition with a 5% increase to undergraduate programs and 8% for professional programs. Future increases linked to CPI.
• Immediate 10% increase in operating grant funding and then linked to CPI.
• Fungibility between undergraduate and graduate spaces within the enrolment corridor.
• Consider funding enrolment growth to meet demand.
• A note from the Panel’s Chair to deregulate tuition at the University of Toronto in recognition of its pre-eminence and long-standing commitment to access.</t>
  </si>
  <si>
    <t>uoft_2024_14</t>
  </si>
  <si>
    <t>The BRP’s recommended 10% increase would represent about $65 million in additional critical revenue to the University. As we wait for the Government to respond to this recommendation, the budget plan does not assume additional operating grant revenue beyond the amount to offset the domestic tuition freeze. If the Ontario Budget includes an increase, the additional revenue would be allocated to divisions through the University’s budget model to support their highest priorities. </t>
  </si>
  <si>
    <t>uoft_2024_15</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</si>
  <si>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 </t>
  </si>
  <si>
    <t>uoft_2024_17</t>
  </si>
  <si>
    <t>uoft_2024_18</t>
  </si>
  <si>
    <t>In recognition of the potential impact of the COVID-19 pandemic on metrics, the Government suspended activation of the performance-based funding framework for the first three years of the SMA3 period and has reduced the amount of funding that will be linked to performance metrics. In 2023-24, the framework was activated with 10% of funding linked to the metrics. This will increase to 25% in 2024-25. The University exceeded all of its metrics targets in the first four years of the SMA3 evaluation period and does not anticipate any reductions to funding in the future. </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</si>
  <si>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 </t>
  </si>
  <si>
    <t>uoft_2024_21</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</si>
  <si>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t>
  </si>
  <si>
    <t>uoft_2024_29</t>
  </si>
  <si>
    <t>Unfortunately, it appears that the Government will again extend the domestic tuition freeze for a fifth year to 2024-25, resulting in a $15 million impact to the University’s plans for next year that assumed a modest 3% increase to Ontario resident tuition. In their public statements, the Government has also indicated that they will support colleges and universities through the freeze. As a result, the 2024-25 Budget assumes increased operating grant funding of $15 million to offset the financial impact of the extension of the freeze. Consistent with the Frameworks in place since 2021-22, the University is planning on a 5% increase to Non-Ontario Resident domestic tuition in undergraduate programs in 2024-25. </t>
  </si>
  <si>
    <t>uoft_2024_31</t>
  </si>
  <si>
    <t>uoft_2024_32</t>
  </si>
  <si>
    <t>uoft_2024_33</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</si>
  <si>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342 Chairs spread across three campuses and fourteen fully affiliated hospitals (the next largest university allocation of CRCs is 110).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53%. An appropriate adjustment to the value of these awards is long overdue. </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</si>
  <si>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59%. While this investment is welcome, a doubling of the Federal RSF rate would bring the University somewhat closer to the rate of indirect cost funding among research- intensive institutions in the Association of American Universities (AAU). This would have a significant impact by allowing research-intensive divisions to close the gap on their structural deficits. Without a change in the funding formula, each additional dollar of research funding places a higher burden on the University’s operating funds. </t>
  </si>
  <si>
    <t>uoft_2024_38</t>
  </si>
  <si>
    <t>uoft_2024_39</t>
  </si>
  <si>
    <t>uoft_2024_40</t>
  </si>
  <si>
    <r>
      <t>In 2019, the final report of the Alternative Funding Sources Advisory Group</t>
    </r>
    <r>
      <rPr>
        <vertAlign val="superscript"/>
        <sz val="6"/>
        <color theme="1"/>
        <rFont val="Helvetica"/>
        <family val="2"/>
      </rPr>
      <t xml:space="preserve">4 </t>
    </r>
    <r>
      <rPr>
        <sz val="9"/>
        <color theme="1"/>
        <rFont val="Helvetica"/>
        <family val="2"/>
      </rPr>
      <t>articulated several potential sources of revenue-generation that take advantage of some of the University’s key strengths: its capacity to create and disseminate knowledge, its real estate holdings and physical infrastructure, and its significant financial capital. One example of actions undertaken following the report was the establishment of The Advisory Group on Lifelong Learning Opportunities established by the Provost. The group’s June 2021 report</t>
    </r>
    <r>
      <rPr>
        <vertAlign val="superscript"/>
        <sz val="6"/>
        <color theme="1"/>
        <rFont val="Helvetica"/>
        <family val="2"/>
      </rPr>
      <t xml:space="preserve">5 </t>
    </r>
    <r>
      <rPr>
        <sz val="9"/>
        <color theme="1"/>
        <rFont val="Helvetica"/>
        <family val="2"/>
      </rPr>
      <t>includes recommendations to enhance and expand the University’s lifelong learning offerings through initiatives such as a Lifelong Learning Community of Practice and micro-credentials. </t>
    </r>
  </si>
  <si>
    <t>uoft_2024_41</t>
  </si>
  <si>
    <t>Current projects in various stages of planning, design, and construction include the Oak House residence at Spadina and Sussex scheduled to open in 2024-25, a new residence on Harbord in development, the Site 1 Gateway project at Bloor and Spadina with faculty, staff and student family housing, and the Schwartz Reisman Innovation Campus (SRIC) East. </t>
  </si>
  <si>
    <t>uoft_2025</t>
  </si>
  <si>
    <t>uoft_2025_1</t>
  </si>
  <si>
    <t>Approximately 86% of the University’s operating revenue is
related to enrolment through student fees and operating
grants. Demand for the University’s programs continues to
be very strong with overall enrolment breaking the 100k
mark at 102,431 undergraduate and graduate students
enrolled in 91,425 FTEs of course activity in Fall 2024, a
2,593 FTE increase over the previous year.</t>
  </si>
  <si>
    <t>uoft_2025_2</t>
  </si>
  <si>
    <t>We continue to see strong domestic and international
applicant pools to our direct-entry undergraduate
programs, with growth of 3.4% in the incoming class to
17,022 in Fall 2024, though 1.4% below the plan for this
year, which had assumed a bit more growth. Domestic
demand was particularly strong with intake 733 above
target. Unfortunately, a challenging recruitment
environment contributed to lower than planned
international intake at 978 below target. On a year-over
year-basis, international intake was 6% below Fall 2023;
certainly not ideal but a much better result than the
double-digit percent decreases reported by many other
Ontario universities this year.</t>
  </si>
  <si>
    <t>uoft_2025_3</t>
  </si>
  <si>
    <t>Retention of upper-year students continues to bounce
back from the dip seen at the end of the pandemic. This
exceeded the conservative assumptions in the budget plan
and offset the lower than planned intakes. As a result,
overall undergraduate enrolment exceeded the budget plan
by 1.3% with positive variances in both domestic and
international enrolment.</t>
  </si>
  <si>
    <t>uoft_2025_4</t>
  </si>
  <si>
    <t>On January 22, 2024, the Federal Government introduced
a new cap on international student permits for 2024 aimed
at reducing the number of new permits issued nationally by
35%. For 2024, the cap was administered through a
restriction in the number of permit applications reviewed
for undergraduate studies from out of country applicants.
These applicants now required a Provincial Attestation
Letter (PAL) from a limited pool managed by each Province
in order to be considered for a study permit. Graduate
students were exempted from the cap. In 2024, the
University received sufficient PALs to meet our targets,
however, the new process created significant uncertainty in
international markets that likely impacted demand and
contributed to the lower than planned intake this year.</t>
  </si>
  <si>
    <t>uoft_2025_5</t>
  </si>
  <si>
    <t>As part of this initiative, the Federal Government also
changed eligibility for post-graduate work permits (PGWP)
for college programs, making graduates from public-private
partnerships ineligible for a PGWP. This had a major
impact on demand for those programs and Ontario
colleges used only about half of their allocation of PALs this
year. In contrast, the University used all of our 2024
allocation of PALs.</t>
  </si>
  <si>
    <t>uoft_2025_6</t>
  </si>
  <si>
    <t>In September 2024, the Government announced a further
10% reduction in international permits for 2025 and
extended the new PAL requirement to graduate students
and in-country international undergraduate applicants (ie.
those who enrolled in and are applying from Canadian high
schools). Our PAL allocation for 2025 should be sufficient
to meet our targets although we are requesting additional
PALs from the Ministry if they become available in order to
provide some flexibility if conversion rates decrease.
However, this new requirement adds a further complication
for students applying to attend the University, which is not
the target of these policy changes.</t>
  </si>
  <si>
    <t>uoft_2025_7</t>
  </si>
  <si>
    <t>The Federal Government continues to face significant
challenges in timely processing of student permit
applications given the large increase in volumes across the
country in recent years. The University of Toronto along
with Universities Canada and other peer universities
continues to advocate with Immigration, Refugees &amp;
Citizenship Canada (IRCC) for the introduction of a new
Recognized Institution Framework that will create a new,
separate pathway for student permit processing for
“recognized” institutions. This would significantly improve
the experience for our students and reduce time to
approval.</t>
  </si>
  <si>
    <t>uoft_2025_16</t>
  </si>
  <si>
    <t>The Ontario post-secondary education system operates
under a differentiation policy framework that is
operationalized through a series of bilateral Strategic
Mandate Agreements. These agreements specify the role
of each university in the system and how each will build on
institutional strengths to drive system-wide objectives and
government priorities.</t>
  </si>
  <si>
    <t>uoft_2025_18</t>
  </si>
  <si>
    <t>The SMA performance-based funding framework will be
linked to 25% of operating grant funding provided to the
University in 2025-26 and 2026-27 and then increase
annually to 40% by 2029-30. Under the framework,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University exceeded all of its metrics
targets under SMA3 and does not anticipate any
reductions to funding under SMA4.</t>
  </si>
  <si>
    <t>uoft_2025_23</t>
  </si>
  <si>
    <t>Unfortunately, the Government did not follow the Panel’s
recommendations to unfreeze domestic tuition and
instead, has extended the current freeze until at least
2026-27. While the additional operating grant funding is
very welcome, it essentially offsets the additional revenue
that would have been generated under a modest 3%
tuition increase framework.</t>
  </si>
  <si>
    <t>uoft_2025_26</t>
  </si>
  <si>
    <t>In 2022-23, the Government introduced flexibility to
increase non-Ontario domestic tuition by 5% per year – a
helpful change but limited in impact as this applies to just
a small portion of the University’s domestic enrolment.</t>
  </si>
  <si>
    <t>uoft_2025_28</t>
  </si>
  <si>
    <t>In 2024-25, total revenue from domestic enrolment (tuition
and grants) was less than it was in 2018-19 in nominal
dollars, without adjusting for inflation. However, this is
beginning to change. Tuition from the higher than planned
domestic enrolment and the new Financial Sustainability
funding should put next year’s domestic-related revenues
just over where they were in 2018-19 next year. It is critical
that this growth continues given the uncertainties with the
international recruitment markets.</t>
  </si>
  <si>
    <t>uoft_2025_30</t>
  </si>
  <si>
    <t>In 2022-23, the Government announced $124.2 million
over three years to significantly increase funding for
nursing clinical operations at colleges and universities.
Under this initiative, the University’s allocation for nursing
clinical funding roughly tripled to $1.1 million per year,
which has helped with operating costs for running these
programs. We are optimistic that the Government will
extend this important funding support beyond 2024-25,
but they have not yet committed to this as of the writing of
this report. The University also continues to advocate for
increased clinical funding in other program areas, in
particular dentistry, where the essential in-house clinics
require significant subsidies from other operating revenues.</t>
  </si>
  <si>
    <t>uoft_2025_35</t>
  </si>
  <si>
    <t>Funding from the Federal Government is provided to
universities primarily to support investigator-driven
research and is not generally part of the University’s
operating budget. However, federal funding interacts with
the University’s operating budget in three important areas:
Canada Research Chairs, funding for the indirect costs of
research, and graduate student support.</t>
  </si>
  <si>
    <t>uoft_2025_36</t>
  </si>
  <si>
    <t>The Canada Research Chairs (CRC) program introduced in
2000-01 contributes to salary and research support for
outstanding university researchers on a competitive basis.
Research chairs are awarded to each university based on
its share of eligible tri-agency research funding (the
Canadian Institutes of Health Research – CIHR; the
Natural Sciences and Engineering Research Council
Canada – NSERC; and the Social Sciences and Humanities
Research Council of Canada – SSHRC). The University of
Toronto has the country’s largest allocation of CRCs, with
341 Chairs spread across three campuses and fifteen fully
affiliated hospitals. Given that Chairholder salary is an
eligible and common budget element, these Chairs make
an important contribution to the University’s operating
budget. They also have a significant impact on the
University’s ability to recruit and retain outstanding
scholars. However, since the CRC program was
introduced, inflation has reduced the effective value of
Chair funding by over 69%. An appropriate adjustment to
the value of these awards is long overdue.</t>
  </si>
  <si>
    <t>uoft_2025_37</t>
  </si>
  <si>
    <t>Most research sponsored by NSERC, SSHRC and CIHR
funding programs generates funding to support indirect
costs from the federal Research Support Fund (RSF) and
the Incremental Project Grant (IPG). The University of
Toronto’s effective rate of federal indirect costs recovered
from these programs has averaged around 20% over the
last decade, relative to the University’s average indirect
cost rate of over 60%. However, in 2024, the Federal
Government announced a multi-year plan to increase
funding for the IPG program for research-intensive
institutions like the University of Toronto. This very
welcome increase is anticipated to substantially increase
Budget Report 2025-26 11 University of Toronto
total indirect costs of research funding from the Federal
Government.</t>
  </si>
  <si>
    <t>uoft_2025_38</t>
  </si>
  <si>
    <t>The Federal Government supports graduate students by
providing student scholarships on a competitive basis.
Although these funds do not flow through the University’s
operating budget, they provide indirect budget relief to the
academic divisions by freeing up funds that would
otherwise have to be used for graduate student support. In
July 2024, the Federal Government announced that it
would increase tri-agency doctoral scholarships to $40,000
and masters scholarships to $27,000, a significant
investment to support students.</t>
  </si>
  <si>
    <t>The University faces increasing financial pressure as a
result of constrained provincial tuition and enrolment
frameworks and real value decreases in provincial
operating grants. The University’s commitment to being an
internationally significant research university requires
creative solutions to fund its mission and aspirations.</t>
  </si>
  <si>
    <t>In 2019, the final report of the Alternative Funding Sources
Advisory Group4 articulated several potential sources of
revenue generation that take advantage of some of the
University’s key strengths: its capacity to create and
disseminate knowledge, its real estate holdings and
physical infrastructure, and its significant financial capital.
One example of actions undertaken following the report
was the Provost’s establishment of the Advisory Group on
Lifelong Learning Opportunities5. The group’s June 2021
report includes recommendations to enhance and expand
the University’s lifelong learning offerings through initiatives
such as a Lifelong Learning Community of Practice and
micro-credentials. In 2024-25, the Provost announced the
appointment of Professors Erica Walker, Dean of OISE, and
Catherine Chandler-Crichlow, Dean of the School of
Continuing Studies as Provostial Advisors on Lifelong
Learning to build on the Advisory Group’s work to leverage
the expertise and systems of the School of Continuing
Studies and other centres of excellence around the
University to expand U of T’s reach into the lifelong
learning space.</t>
  </si>
  <si>
    <t>The University has seized another such opportunity with
the adoption of the Four Corners Strategy, which will
leverage the University’s real estate assets to deliver
facilities and services to support the academic mission and
simultaneously grow revenue from sources other than
enrolment. Given the challenging interest rate environment
of the last few years, new developments have proceeded at
a slower pace than originally planned. However, the Four
Corners Strategy is anticipating initiating annual
contributions to the operating budget towards academic
priorities over the course of the five-year plan, starting with
a $5 million contribution in 2026-27, in addition to interest
payments to the operating budget on internally issued
mortgages used for Four Corners capital construction.</t>
  </si>
  <si>
    <t>uoft_2025_43</t>
  </si>
  <si>
    <t>Current projects in various stages of planning, design, and
construction include: the Oak House residence at Spadina
and Sussex, scheduled to open for September 2025; a new
residence on Harbord Street in development; the Site 1
Gateway project at Bloor and Spadina with faculty, staff
and student family housing; and, the Schwartz Reisman
Innovation Campus (SRIC) East. In addition, the University
is planning a major expansion of up to 5,000 units of
student housing on the St. George campus with private
partners over the next decade.</t>
  </si>
  <si>
    <t>PART 1</t>
  </si>
  <si>
    <t>uoft_2025_44</t>
  </si>
  <si>
    <t>uoft_2025_45</t>
  </si>
  <si>
    <t>uoft_2025_46</t>
  </si>
  <si>
    <t>In April 2017, a panel led by UofT President Emeritus David Naylor issued the final report of Canada’s Fundamental Science Review (the Naylor Report). The report recommended changes to the Canada Research Chair program, and proposed a significant increase in the funding for the indirect costs of research. </t>
  </si>
  <si>
    <t>PART 2 NEW</t>
  </si>
  <si>
    <t>class_binary</t>
  </si>
  <si>
    <t>class_intensity</t>
  </si>
  <si>
    <t>High</t>
  </si>
  <si>
    <t>PART 3</t>
  </si>
  <si>
    <t>Low</t>
  </si>
  <si>
    <t xml:space="preserve">Low </t>
  </si>
  <si>
    <t>Medium</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</si>
  <si>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The University of Toronto’s Strategic Mandate Agreement
confirms its leadership role in research and innovation in Ontario.</t>
  </si>
  <si>
    <t>The Ontario post-secondary education system operates under a differentiation policy framework. The framework is operationalized through a series of institutional Strategic Mandate Agreements, which specify the role of each University in the system and how they will build on institutional strengths to drive system-wide objectives and government priorities. </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</si>
  <si>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is the
establishment of The Advisory Group on Life Long Learning
Opportunities7 established by the Provost.</t>
  </si>
  <si>
    <t>The Ontario post-secondary education system operates under a differentiation policy framework. The framework is operationalized through a series of institutional Strategic Mandate Agreements, which specify the role of each university in the system and how each will build on institutional strengths to drive system-wide objectives and government priorities.</t>
  </si>
  <si>
    <t>In 2019, the final report of the Alternative Funding Sources
Advisory Group articulated several potential sources
of revenue-generation that take advantage of some of
the University’s key strengths: its capacity to create and
disseminate knowledge, its real estate holdings and physical
infrastructure, and its significant financial capital. Each of the
proposed strategies is underpinned by overarching principles
that are committed to protecting the University’s reputation,
building a pipeline of new ideas, increasing physical capacity
and financial flexibility at the institution-level to support
divisional collaboration, and ensuring transparent incentives
and risk assessment for alternative funding sources. One
example of actions undertaken following the report was the
establishment of The Advisory Group on Lifelong Learning
Opportunities established by the Provost. The group’s June
20218 report includes recommendations to enhance and
expand the University’s lifelong learning offerings through
initiatives such as a Lifelong Learning Community of Practice
and micro-credentials.</t>
  </si>
  <si>
    <r>
      <t>The Ontario post-secondary education system operates under a differentiation policy framework</t>
    </r>
    <r>
      <rPr>
        <vertAlign val="superscript"/>
        <sz val="6"/>
        <color theme="1"/>
        <rFont val="Helvetica"/>
        <family val="2"/>
      </rPr>
      <t xml:space="preserve"> </t>
    </r>
    <r>
      <rPr>
        <sz val="9"/>
        <color theme="1"/>
        <rFont val="Helvetica"/>
        <family val="2"/>
      </rPr>
      <t>that is operationalized through a series of bilateral Strategic Mandate Agreements. These agreements specify the role of each university in the system and how each will build on institutional strengths to drive system-wide objectives and government priorities. </t>
    </r>
  </si>
  <si>
    <t>uoft_2024_34</t>
  </si>
  <si>
    <t>class_rd</t>
  </si>
  <si>
    <t>Class Resource Dependence</t>
  </si>
  <si>
    <t>low resource dependence attitude</t>
  </si>
  <si>
    <t>no resource dependence content</t>
  </si>
  <si>
    <t>high resource dependene attitude</t>
  </si>
  <si>
    <t>class</t>
  </si>
  <si>
    <t>class_2</t>
  </si>
  <si>
    <t>windsor_2019</t>
  </si>
  <si>
    <t>University of Windsor</t>
  </si>
  <si>
    <t>windsor_2019_5</t>
  </si>
  <si>
    <t>The impact to the University’s Budget, if any, is unknown at this time but may affect enrolment or add pressures to the financial support provided to students through the operating budget.</t>
  </si>
  <si>
    <t>windsor_2019_6</t>
  </si>
  <si>
    <t>The Student Choice Initiative guidelines require that incidental fees charged by universities to support clubs, student societies, and programs that fall outside of the provincial framework for compulsory fees will be required to have an opt-out option for students. The ability to opt out must be presented to students before paying fees for that semester. Besides the logistics of being able to make the changes to our systems necessary to make this available to students in time for registration, there will not be a significant effect on the University’s Budget.</t>
  </si>
  <si>
    <t>windsor_2025</t>
  </si>
  <si>
    <t>windsor_2025_1</t>
  </si>
  <si>
    <t>Financial sustainability is critical to fulfilling the University of Windsor’s academic mission, serving our communities, and advancing the commitments and priorities outlined in our strategic plan, Aspire. The University has a long history of fiscal prudence, consistently presenting balanced budgets through strategic enrolment planning and cost management. However, sustaining this practice has become increasingly difficult. Canada is experiencing unprecedented social and economic pressures and change, affecting nearly every sector – including postsecondary education.</t>
  </si>
  <si>
    <t>windsor_2025_2</t>
  </si>
  <si>
    <t>As a result, we must enter a new “Era of Reimagining” at the University of Windsor—one that demands strategic decisions. Maintaining the status quo is not an option; adapting to this reality requires both immediate actions and long-term strategies.</t>
  </si>
  <si>
    <t>windsor_2025_4</t>
  </si>
  <si>
    <t>At the same time as the IRCC changes took place, geopolitical tensions between Canada and other
countries intensified. As a result, Canada’s reputation as a primary study destination suffered, especially
in India – the country from which UWindsor has historically recruited the majority of international
students. This has resulted in a decrease in international student enrolment. The IRCC caps alone are
expected to result in a loss of more than $600M in 2025/26 for Ontario’s colleges and universities.1</t>
  </si>
  <si>
    <t>windsor_2025_5</t>
  </si>
  <si>
    <t>UWindsor is in a vulnerable position—both literally and figuratively—due to factors that set us apart
from our peers. In recent years, UWindsor has diversified its international student population by
incrementally growing high-priority graduate programs while maintaining academic standards. As of Fall
2024, 25% of our full-time students hailed from outside Canada. This constituted about 29% of the
University’s operating budget revenue.</t>
  </si>
  <si>
    <t>windsor_2025_6</t>
  </si>
  <si>
    <t>We are also the most regionally dependent university in Ontario, with 76% of our domestic
undergraduate students coming from the Windsor-Essex and Chatham-Kent regions, the highest
proportion among all Ontario universities.</t>
  </si>
  <si>
    <t>windsor_2025_7</t>
  </si>
  <si>
    <t>This student enrolment demographic enables us to support local and global communities by cultivating a
talent pipeline that drives knowledge and economic growth. But it also means that local communities
feel the ripple effects of any challenges the institution faces. It also renders UWindsor more susceptible
to the effects of changes in international student enrolment, with any fluctuations having immediate
budgetary impact.</t>
  </si>
  <si>
    <t>windsor_2025_8</t>
  </si>
  <si>
    <t>UWindsor’s ability to generate additional revenue from domestic tuition is currently constrained.
Tuition rates have largely been frozen since 2019/20, following a sector-wide 10% reduction, with no increases permitted through 2026/27. At the same time, the provincially mandated enrolment corridor limits access to operating grants for students admitted above the funded midpoint, despite these students requiring full instructional and support services. Together, these policies have stalled growth in UWindsor’s most flexible revenue stream for more than six years.</t>
  </si>
  <si>
    <t>windsor_2025_9</t>
  </si>
  <si>
    <t>Direct government-based operating funding remains the only other major source of revenue for the University’s operating budget. While minor year-over-year increases in total operating revenue have occurred, these have been due to time-limited special purpose grants and do not reflect sustained public investment in institutional operations.</t>
  </si>
  <si>
    <t>windsor_2025_10</t>
  </si>
  <si>
    <t>In 2024/25, UWindsor received $9.3M in one-time funding through the Province’s Postsecondary Education Sustainability Fund (PSESF), introduced in response to the recommendations of the Blue-Ribbon Panel on Postsecondary Financial Sustainability. This included $2.8M in across-the-board support (equivalent to 3% of base funding) and an additional $6.5M in in top-up funding. Detailed information about the PSESF is included in a later section. It is important to note that while this funding provided important short-term relief in a period of fiscal constraint, it does not form part of the University’s base operating grant and carries no commitment beyond the current fiscal year.</t>
  </si>
  <si>
    <t>windsor_2025_11</t>
  </si>
  <si>
    <t>Inclusion of this temporary funding starting in the 2024/25 fiscal year reflected a system-wide recognition of growing financial pressures in Ontario’s postsecondary sector. However, the structural limitations facing universities — flat base funding, frozen tuition, and corridor restrictions — remain unresolved, underscoring the need for long-term solutions and sustainable investment.</t>
  </si>
  <si>
    <t>windsor_2025_12</t>
  </si>
  <si>
    <t>In addition to limited revenue growth opportunities, the University’s reserves are modest, though we have seen growth in recent years. While efforts have been made in the last five years to build up the reserves, there is no option to fund material base deficits through use of one-time reserve funds.</t>
  </si>
  <si>
    <t xml:space="preserve">High </t>
  </si>
  <si>
    <t>windsor_2025_13</t>
  </si>
  <si>
    <t>The situation is further compounded by rising expenses, including higher costs for personnel, operational expenditures, and service agreements. Approximately 75% of UWindsor’s operating budget is allocated to people-related expenses. Adding to these challenges are inflation-driven expense increases across various other areas, including IT licensing, cybersecurity, subscriptions, renovations, maintenance, utilities, and supplies.</t>
  </si>
  <si>
    <t>windsor_2025_14</t>
  </si>
  <si>
    <t>In 2024/25, UWindsor faced an initial $8.4M gap between revenues and expenses when planning the operating budget. The Budget Balancing Committee established in the prior year identified $5.6M in cost-saving measures, yet a $2.8M base deficit remained. That deficit was fully offset by one-time provincial funds supported by the Ministry of Colleges, Universities, Research, Excellence and Security (MCURES) Post-Secondary Education Sustainability Fund, allowing a balanced budget to be presented to the Board of Governors last spring.</t>
  </si>
  <si>
    <t>windsor_2025_15</t>
  </si>
  <si>
    <t>For 2025/26, UWindsor is expecting a further decline in tuition revenue from international students which, coupled with the 2024/25 base deficit, has required transformational actions on behalf of the campus community to ensure our long-term financial sustainability.</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</si>
  <si>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</si>
  <si>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</si>
  <si>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</si>
  <si>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</si>
  <si>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</si>
  <si>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</si>
  <si>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</si>
  <si>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</si>
  <si>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</si>
  <si>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</si>
  <si>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</si>
  <si>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</si>
  <si>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</si>
  <si>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</si>
  <si>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</si>
  <si>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</si>
  <si>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</si>
  <si>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</si>
  <si>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</si>
  <si>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</si>
  <si>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</si>
  <si>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</si>
  <si>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windsor_2019_8</t>
  </si>
  <si>
    <t>windsor_2019_9</t>
  </si>
  <si>
    <t>The University used this funding (approximately $1.3M annually) to help service the debt related to capital expansion to 2026/27. The cancellation of the program requires the operating budget to absorb this unexpected expense beginning in 2019/20.</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</si>
  <si>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</si>
  <si>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windsor_2019_10</t>
  </si>
  <si>
    <t>The Ontario Government’s budget introduced on April 11, 2019 noted changes to the next Strategic Mandate Agreement with Ontario Universities. The budget document says:
Through the next round of SMAs, Ontario will become a national leader in outcomes-based funding by tying 60 per cent to performance by the 2024-25 academic year. The first year of these new agreements will tie 25 per cent of funding to performance outcomes, and this proportion will increase annually by increments of 10 per cent for three years and 5 per cent in the last year until it reaches a steady state of 60 per cent in 2024-25... The overall number of metrics will also be reduced from 38 for colleges and 28 for universities to 10 for each sector. These 10 metrics align with the government’s priorities in skills and job outcomes, and economic and community impact. Institutions will have the flexibility to weigh the metrics that best reflect their differentiated strategic goals and will be measured against their own targets based on historical performance. These changes will reduce the reporting burden for institutions while supporting sustainability through a focus on institutional strengths and differentiation. (p. 187)</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</si>
  <si>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</si>
  <si>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</si>
  <si>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</si>
  <si>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</si>
  <si>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</si>
  <si>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</si>
  <si>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</si>
  <si>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</si>
  <si>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</si>
  <si>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</si>
  <si>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</si>
  <si>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</si>
  <si>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</si>
  <si>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</si>
  <si>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</si>
  <si>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</si>
  <si>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</si>
  <si>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</si>
  <si>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</si>
  <si>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</si>
  <si>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</si>
  <si>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</si>
  <si>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</si>
  <si>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</si>
  <si>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</si>
  <si>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</si>
  <si>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</si>
  <si>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</si>
  <si>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</si>
  <si>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</si>
  <si>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</si>
  <si>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</si>
  <si>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</si>
  <si>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</si>
  <si>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</si>
  <si>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</si>
  <si>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</si>
  <si>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</si>
  <si>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</si>
  <si>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</si>
  <si>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</si>
  <si>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</si>
  <si>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</si>
  <si>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</si>
  <si>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</si>
  <si>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</si>
  <si>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</si>
  <si>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</si>
  <si>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</si>
  <si>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</si>
  <si>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</si>
  <si>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</si>
  <si>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</si>
  <si>
    <t>lakehead_2021</t>
  </si>
  <si>
    <t>lakehead_2021_1</t>
  </si>
  <si>
    <t>Lakehead University’s ongoing commitment to an environment of integrated planning and budgeting ensures that the decisions we make and the actions we take across the University all stem from a central vision and collective goals. At Lakehead, the vision and goals have informed our Strategic Plan, Academic Plan and Strategic Enrolment Management Plan. An integrated budget plan and process supports this vision and aligns resources to pursue strategic goals and objectives.</t>
  </si>
  <si>
    <t>lakehead_2021_2</t>
  </si>
  <si>
    <t>The global context in which we operate remains complex. The impact of COVID-19 continues to evolve. We also continue to operate in a provincial environment focused on fiscal austerity. Universities across Ontario, including Lakehead University, are facing a number of challenges that threaten achievement of long-term enrolment targets. These challenges include changes to how universities are funded within the province of Ontario with an increasing proportion of funding tied to ten performance metrics, evolving demographics in the regions we serve, in some cases a declining post-secondary age population, while the need for reskilling in the current workforce is increasing, and provincial competition continues to grow. These pressures are expected to continue into the future, while Lakehead University continues to strive towards the goal of achieving optimal enrolment over the coming years.</t>
  </si>
  <si>
    <t>lakehead_2021_3</t>
  </si>
  <si>
    <t>Lakehead University’s commitment to continued financial sustainability is evidenced by strong financial performance metrics, sound governance and strong financial management. As required by the Board of Governors, Lakehead University continues to present a balanced operating budget. The budget planning process for 2021-22 fully reflects the integrated budget development model that was launched in 2015-16 following significant consultation to inform a transparent, consultative and accountable integrated budgeting process. Despite significant financial changes and enrolment pressures, Lakehead has continued to respond to mitigate funding shortfalls.</t>
  </si>
  <si>
    <t>lakehead_2021_4</t>
  </si>
  <si>
    <t>In addition to the significant funding challenges that Lakehead has managed, the 2021-22 budget also responds to the extraordinary circumstances of the global pandemic. The 2021-22 budget continues to demonstrate budget caution to ensure that Lakehead remains financially sustainable and viable moving through and beyond the next fiscal year. The strongest strategies to offset funding challenges remain strong program delivery and recruitment efforts combined with ongoing increases in domestic and international student enrolment with further growth projected in subsequent years.</t>
  </si>
  <si>
    <t>Lakehead University</t>
  </si>
  <si>
    <t>lakehead_2022</t>
  </si>
  <si>
    <t>Lakehead University's ongoing commitment to an environment of integrated planning and budgeting ensures that the decisions we make and the actions we take across the University all stem from a central vision and collective goals. At Lakehead the vision and goals have informed our Strategic Plan, Academic Plan and Strategic Enrolment Management Plan. An integrated budget plan and process supports this vision and aligns resources to pursue strategic goals and objectives.</t>
  </si>
  <si>
    <t>The global context in which we operate remains complex and the impact of COVID-
19 continues to evolve. We have seen our University community come together in incredible ways as we have faced the realities of the rapidly-evolving COVID-19 pandemic and the implementation of the Mandatory Vaccination Policy. The work required to transform our University has been exceptional to ensure the delivery of vital services and continued delivery of high-quality programming to our students.</t>
  </si>
  <si>
    <t>As we plan for the upcoming 2022-23 fiscal year, the context in which we operate remains complex. The local and global impact of COVID-19 includes an uncertain recovery period. We continue to operate in a provincial environment focused on fiscal austerity. With the finalization of SMA 3 in 2020-21, universities in Ontario now have an increasing proportion of funding tied to ten performance metrics. The current demographic projections show limited growth of traditional age university students in Northwestern Ontario. There are opportunities in Simcoe County to address a growing university-aged population and ongoing unmet need in the region. Across Ontario and Canada, there are additional opportunities to develop and deliver programming that addresses upskilling and reskilling through new approaches including micro credentials, certificates and modular programming.</t>
  </si>
  <si>
    <t>Lakehead University's commitment to financial sustainability continues to be evidenced by strong financial performance metrics, sound governance and strong financial management.</t>
  </si>
  <si>
    <t>As required by the Board of Governors, Lakehead University presents a balanced operating budget. The budget planning process for 2022-23 fully reflects our integrated budget development model and exhibits a transparent, consultative and accountable integrated budgeting process. Despite significant financial changes and enrolment pressures, Lakehead has been able to mitigate funding shortfalls.</t>
  </si>
  <si>
    <t>The pandemic has necessitated rigorous budget measures and, for the immediate
future as we address the lasting impact of COVID-19, this approach has been maintained. The additional budget controls that we collectively undertook during the last two years have assisted addressing the realities faced by the global pandemic, and have assisted mitigating shortfalls while ensuring that Lakehead remains financially sustainable and viable moving through and beyond the current year. Some of these additional budget controls will continue during 2022-23 as necessary.</t>
  </si>
  <si>
    <t>Maintaining a strong budget position in 2022-23 relies on proactive recruitment and retention of domestic and international students, continued delivery of high-quality programming, and ongoing efforts to build Lakehead's local and global reputation.</t>
  </si>
  <si>
    <t>lakehead_2022_1</t>
  </si>
  <si>
    <t>lakehead_2022_2</t>
  </si>
  <si>
    <t>lakehead_2022_3</t>
  </si>
  <si>
    <t>lakehead_2022_4</t>
  </si>
  <si>
    <t>lakehead_2022_5</t>
  </si>
  <si>
    <t>lakehead_2022_6</t>
  </si>
  <si>
    <t>lakehead_2023_1</t>
  </si>
  <si>
    <t>lakehead_2023</t>
  </si>
  <si>
    <t>lakehead_2022_7</t>
  </si>
  <si>
    <t>Over the past few years, the University has faced and managed the impact of domestic
and international enrolment challenges despite the volatile planning environment. We
have come together as a community and have worked hard to position the University for
strength despite increasing financial challenges. We believe we must continue this path,
acknowledging we are stronger when we work together.</t>
  </si>
  <si>
    <t>The global context in which we operate continues to remain complex. As we recover from
the impacts of COVID-19 on our operations, most notably through some recovery in
enrolment, we continue to manage financial pressures including a continued freeze on
domestic tuition rates, significant inflationary pressures, and an increasingly competitive
post-secondary environment.</t>
  </si>
  <si>
    <t>On October 12, 2023, the Board of Governors approved a provisional $5.284M operating
budget deficit for 2023-24 while work continues concurrently with the development of an
action plan that mitigates the University's structural deficit and ongoing advocacy with
government.</t>
  </si>
  <si>
    <t>To ensure that Lakehead remains financially sustainable and viable moving through and
beyond the next fiscal year, the 2023-24 budget continues to demonstrate budget caution.
The 2023-24 budget offers a blueprint to manage the fiscal year so that each
faculty/department has a budget foundation to work within. Budget adjustments may
continue into the winter months, depending on enrolment and other financial pressures.
The strongest strategies to offset immediate and longer-term funding challenges remain
strong program delivery combined with proactive recruitment and retention efforts of both
domestic and international student enrolment.</t>
  </si>
  <si>
    <t>Lakehead University's commitment to financial sustainability continues to be
evidenced by strong financial performance metrics, sound governance, strong
financial management, and government advocacy.</t>
  </si>
  <si>
    <t>lakehead_2023_2</t>
  </si>
  <si>
    <t>lakehead_2023_3</t>
  </si>
  <si>
    <t>lakehead_2023_4</t>
  </si>
  <si>
    <t>lakehead_2023_5</t>
  </si>
  <si>
    <t>lakehead_2024_1</t>
  </si>
  <si>
    <t>lakehead_2024</t>
  </si>
  <si>
    <t>As we plan for the upcoming 2024-25 fiscal year, the global context in which we operate continues to remain complex. Most notable is the significant disruption to international enrolment resulting from changes to federal immigration policy, capping of international undergraduate student visa approvals, and changes to the post-graduate work permit requirements. Lakehead also remains impacted by financial pressures including a continued freeze on domestic tuition rates, and a competitive post-secondary environment.</t>
  </si>
  <si>
    <t>lakehead_2024_2</t>
  </si>
  <si>
    <t>In 2023, in response to the sector-wide financial sustainability challenges, the province struck a Blue Ribbon Panel. While the panel acknowledged the structural challenges facing the sector and made recommendations for significant increases to tuition and grant funding, the government’s response has focused more on operational efficiencies.</t>
  </si>
  <si>
    <t>In February 2024, the government announced $1.3 billion in new funding over the next 3 years. This announcement was welcome news; however, analysts have indicated it represents about 20% of what was needed to stabilize the sector, well short of the Panel’s recommendations.</t>
  </si>
  <si>
    <t>Lakehead University's commitment to financial sustainability continues to be evidenced by strong financial performance metrics, sound governance, and strong financial management. Advocacy efforts with the provincial government have and will continue as we stress the unique position of Lakehead as the only comprehensive university in the north.</t>
  </si>
  <si>
    <t>The budget planning process for 2024-25 fully reflects our integrated budget development model and exhibits a transparent, consultative, and accountable integrated budgeting process. While a structural deficit still exists, the addition of one-time targeted sustainability funding, resulting from the $1.3 billion funding announcement, has contributed to a balanced budget.</t>
  </si>
  <si>
    <t>lakehead_2024_3</t>
  </si>
  <si>
    <t>lakehead_2024_4</t>
  </si>
  <si>
    <t>lakehead_2024_5</t>
  </si>
  <si>
    <t>lakehead_2025_1</t>
  </si>
  <si>
    <t>lakehead_2025</t>
  </si>
  <si>
    <t>Similar to the prior fiscal year, the external environment for the post-secondary education sector remains complex. Last year’s disruption to international enrolment resulting from changes to federal immigration policy continues to be a factor.</t>
  </si>
  <si>
    <t>lakehead_2025_2</t>
  </si>
  <si>
    <t>Development of the 2025/26 budget has been impacted significantly by these changes, most notably the capping of international student visa approvals, which have expanded to include graduate students. Lakehead is experiencing declines in applications due to the reputational damage these policy changes have caused combined with the perceived hostility of the Canadian government towards international students. Lakehead also remains impacted by a continued freeze on domestic tuition rates, and a highly competitive post-secondary environment. As a northern university, Lakehead is disproportionately affected by these external forces.</t>
  </si>
  <si>
    <t>In February 2024, the government announced $1.3 billion in new funding for a 3-year period. This announcement was welcome news; however, analysts have indicated it represents about 20% of what was needed to stabilize the sector, well short of the Blue Ribbon Panel’s recommendations. The Blue Ribbon Panel was struck in 2023 by the province in response to the sector-wide financial sustainability challenges.</t>
  </si>
  <si>
    <t>The addition of one-time targeted sustainability funding, resulting from the $1.3 billion funding announcement in 2024, contributed to a balanced budget for Lakehead in 202425; however, for 2025/26, Lakehead’s portion of the Post Secondary Education Sustainability Fund (PSESF) Top-up funding, which is a component of the $1.3 billion, was reduced to nearly half for 2025/26.</t>
  </si>
  <si>
    <t>The reduction to the PSESF Top-up funding in combination with the decline in international student enrolment has been unexpected and has placed exceptional pressure on budget development.</t>
  </si>
  <si>
    <t>Lakehead University's commitment to financial sustainability continues to be evidenced by strong financial performance metrics, sound governance and strong financial management. Advocacy efforts with the provincial government have continued and will continue as we stress the unique position of Lakehead as the only comprehensive university in the north.</t>
  </si>
  <si>
    <t>The President’s Advisory Committee on Financial Sustainability has been reviewing recommendations from the 2023 3rd party review, input from the University community, and now the latest 3rd party review to develop recommendations to support the short and long-term financial sustainability of the University. The 2025/26 Budget includes targeted savings anticipated from the first round of recommendations made by the Advisory Committee to the President, and which the President has accepted.</t>
  </si>
  <si>
    <t>As required by the Board of Governors, Lakehead University presents a balanced operating budget. The budget planning process for 2025-26 fully reflects our integrated budget development model and exhibits a transparent, consultative, and accountable integrated budgeting process.</t>
  </si>
  <si>
    <t>lakehead_2025_3</t>
  </si>
  <si>
    <t>lakehead_2025_4</t>
  </si>
  <si>
    <t>lakehead_2025_5</t>
  </si>
  <si>
    <t>lakehead_2025_6</t>
  </si>
  <si>
    <t>lakehead_2025_7</t>
  </si>
  <si>
    <t>lakehead_2025_8</t>
  </si>
  <si>
    <t>laurier_2025</t>
  </si>
  <si>
    <t>laurier_2025_1</t>
  </si>
  <si>
    <r>
      <t>The assumptions and estimates included in the 2025/26 Operating, Ancillary and Capital budgets are based on the information available to management at the time of preparation</t>
    </r>
    <r>
      <rPr>
        <sz val="11"/>
        <color rgb="FFFF0000"/>
        <rFont val="Calibri"/>
        <family val="2"/>
      </rPr>
      <t xml:space="preserve">. </t>
    </r>
    <r>
      <rPr>
        <sz val="11"/>
        <color theme="1"/>
        <rFont val="Calibri"/>
        <family val="2"/>
      </rPr>
      <t>Post-secondary institutions in Canada are facing sector-wide challenges, with continued revenue constraints and significant inflationary pressures contributing to growing financial risks. Universities across Ontario are facing increased scrutiny on fiscal performance through the Ministry of Colleges, Universities, Research Excellence and Security (MCURES) Financial Accountability Framework. </t>
    </r>
  </si>
  <si>
    <t>laurier_2025_2</t>
  </si>
  <si>
    <t>Successfully navigating this difficult environment will require highly disciplined and effective financial management as the university considers both the short-term horizon as articulated in the fiscal year budget and long-term sustainability as depicted in the multi-year budget projections.</t>
  </si>
  <si>
    <t>laurier_2025_3</t>
  </si>
  <si>
    <t>On April 22, 2025 MCURES announced a $750 million investment to support 20,500 STEM learners annually at universities and colleges. Due to Laurier’s significant enrolment growth in serving Ontario students, particularly in STEM programs, Laurier’s share of that funding is $16.1 million annually, representing funding for over 2,000 existing unfunded STEM learners at the current system funding rates. Laurier’s share of the funding is committed for three years, with funding for 2028/29 and 2029/30 to be confirmed by MCURES through future multi-year planning exercises informed by the upcoming funding model review.</t>
  </si>
  <si>
    <t>laurier_2025_4</t>
  </si>
  <si>
    <t>Notwithstanding this recent infusion of government grant funding, Laurier remain in a structural deficit position, with a modest deficit slated to increase rapidly over the next five years even if tuition is permitted to increase in 2027/28 and beyond. Significant constraints on revenue continue in the short term, including an ongoing general freeze in domestic tuition rates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required to succeed in a highly competitive sector.</t>
  </si>
  <si>
    <t>laurier_2025_5</t>
  </si>
  <si>
    <t>Alongside a challenging revenue outlook, increased scrutiny of universities’ financial performance continues through the MCURES University Financial Accountability Framework. The Framework consists of the five financial health indicators previously reported by Ontario Universities and incorporates debt ratios and the institution’s credit rating into an overall risk assessment. While Laurier’s 2023/24 financial performance resulted in a “low” risk assessment, a significant contributing factor to this assessment was the occurrence of one-time financial impacts such as real estate transactions (reinvested in capital) and the 23/24 one-time-only STEM funding. Without these transactions, Laurier’s performance would have yielded a less favourable risk assessment rating. 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</si>
  <si>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laurier_2025_6</t>
  </si>
  <si>
    <t>Throughout our history, the strength of the Wilfrid Laurier University community has allowed us to capitalize on opportunities and overcome challenges to become a comprehensive, multi-campus institution focused on excellence in academics, a sector-leading student experience, and a growing research enterprise. Since 2019, Laurier has pursued these efforts in addition to implementing significant budget savings targets; with the 2025/26 proposed budget, the magnitude of efficiencies achieved will be in excess of $43 million, a 12% reduction resulting in 2025/26 budgeted expenses of $371 million.</t>
  </si>
  <si>
    <t>laurier_2025_7</t>
  </si>
  <si>
    <t>The Operating Budget comprises the major annual revenues and expenditures of the university’s financial operations. Revenues from student tuition fees and government operating grants account for 85% of the total operating revenues. Faculty and staff salaries and benefits account for 75% of the total operating expenditures. Table 1 below is a summary of the 2025/26 Operating Budget.</t>
  </si>
  <si>
    <t>laurier_2025_8</t>
  </si>
  <si>
    <t>The 2025/26 Budget shows forecasted total revenues of $369.1 million, an increase of $32.6 million, or 9.7%, over last year’s Budget. Tuition revenue has increased by $5.6 million, primarily due to an anticipated 1.6% increase in enrolment and limited, allowable tuition increases. An overall $18.9 million increase in grant funding over the prior year is the result of the recently announced support for the continued delivery and enhancement of STEM programming for the sector, with Laurier receiving $16.1 million. Other grant increases relate to the increase in one-time funding from the Postsecondary Education Sustainability Fund (PSESF) and continued domestic growth at the Milton campus, which is fully funded. An updated Student Affairs Administrative Agreement (SAAA), now called the Comprehensive Student Services Administrative Agreement (CSSAA), resulting in additional student contributions driving the remaining revenue increase.</t>
  </si>
  <si>
    <t>laurier_2025_9</t>
  </si>
  <si>
    <t>Total expenditures are forecasted at $371.4 million, an increase of $27.6 million, or 8.0%, over last year. Salaries and benefits increased by $22.1 million over the previous year, largely due to current collective agreements in place, (~$15 million), benefit increases and transitioning to UPP on January 1, 2026 (~$2.5 million). Non-salary expenses increased by $5.4 million. Section 3.2.6 provides further detail.</t>
  </si>
  <si>
    <t>laurier_2025_10</t>
  </si>
  <si>
    <t>The 2025/26 Budget is being presented as a balanced budget through the continuation of limited austerity measures, appropriation of the Milton operating deficit, and the anticipated additional BEd funding that remains unconfirmed at the time of writing. Further, an institutional 1.0% budget reduction across vice-president portfolios along with limited investments in 2025/26 also contributed to the balanced budget being put forward for approval.</t>
  </si>
  <si>
    <t>Wilfrid Laurier University</t>
  </si>
  <si>
    <t>laurier_2024_1</t>
  </si>
  <si>
    <t>laurier_2024</t>
  </si>
  <si>
    <t>The assumptions and estimates included in the 2024/25 Operating, Ancillary and Capital budgets are based on the information available to management at the time of preparation. Post-secondary institutions in Canada are facing sector-wide challenges, with continued revenue constraints and significant inflationary pressures contributing to growing financial risks. Universities across Ontario are facing increased scrutiny on fiscal performance through a recently announced MCU Financial Accountability Framework and a series of value-for-money audits by the Auditor General.</t>
  </si>
  <si>
    <t>Laurier is now in a structural deficit position, as the university faces significant constraints on revenue including an ongoing general freeze in domestic tuition rates, modest temporary increases to government grant, and a federal cap on international study permits for undergraduate students. The limitations on revenue mean that Laurier will not be able to keep pace with rising operating costs, make the appropriate level of investments in facilities renewal and information technology systems, or invest in strategic initiatives and programs to succeed in a highly competitive sector.</t>
  </si>
  <si>
    <t>Alongside a challenging revenue outlook, increased scrutiny of Universities’ financial performance was confirmed as the Ministry of Colleges and Universities introduced the University Financial Accountability Framework. The Framework consists of the five financial health indicators previously reported by Ontario Universities and incorporates debt ratios and the institution’s credit rating into an overall risk assessment. Laurier’s 2022/23 financial performance resulted in a “low” risk assessment, however, a significant contributing factor to this assessment was the occurrence of one-time real estate transactions – without these transactions, Laurier’s performance would have yielded a less favourable risk assessment rating.</t>
  </si>
  <si>
    <t>With the current structural deficit position Laurier must continue efforts to prioritize key investments with consideration for growth, revenue generation, cost containment, and spending to increase priority services and programs while demonstrating the ability to safeguard its fiscal health through Framework risk assessment results.</t>
  </si>
  <si>
    <t>In February 2024, Laurier received $11.6 million of funding for the 2023/24 fiscal year as part of the province’s funding approach to stabilize colleges and universities while maintaining a tuition freeze for Ontario students. This funding was provided specifically for STEM program costs for enrolments above currently funded levels. This one-time funding enables Laurier to offset $11.6 million in budgeted expenditures incurred during the 2023/24 year and contribute to a stabilization fund to mitigate future deficits. While this provides some limited, short-term deficit mitigation, without sustained and predictable funding Laurier will continue to be challenged with a growing structural deficit.</t>
  </si>
  <si>
    <t>Throughout our history, the strength of the Wilfrid Laurier University community has allowed us to capitalize on opportunities and prevail over challenges to become a comprehensive, multi-campus institution focused on excellence in academics, a sector-leading student experience, and a growing research enterprise. Since 2019, Laurier has pursued these efforts in addition to implementing significant budget savings targets; with the 2024/25 proposed budget, the magnitude of efficiencies achieved will be in excess of $39 million, a 12% reduction resulting in 2024/25 budgeted expenses of $344 million.</t>
  </si>
  <si>
    <t>The Operating Budget comprises the major annual revenues and expenditures of the university’s financial operations. Revenues from student tuition fees and government operating grants account for 86% of the total operating revenues. Faculty and staff salaries and benefits account for 75% of the total operating expenditures. Table 1 below is a summary of the 2024/25 Operating Budget.</t>
  </si>
  <si>
    <t>The 2024/25 Budget shows forecasted total revenues of $336.5 million, an increase of $9.1 million, or 2.8%, over last year’s Budget. Tuition revenue has remained substantially unchanged with a slight increase of $0.2 million. An overall $3.9 million increase in grant funding over the prior year is mainly due to the increase in one-time funding from the Postsecondary Education Sustainability Fund. Government operating grant base funding remains steady, with a slight increase reflecting the inaugural student cohort at the new Milton campus. An updated Student Affairs Advisory Committee (SAAC) agreement, resulting in additional student contributions of $3.6 million in 2023/24, drove the remaining revenue increase.</t>
  </si>
  <si>
    <t>Total expenditures are forecasted at $343.9 million, an increase of $9.7 million, or 2.9%, over last year. Salaries and benefits increased by $14.9 million over the previous year, largely due to current collective agreements in place, and non-salary expenses decreased by $5.2 million.</t>
  </si>
  <si>
    <t>The 2024/25 Budget is being presented as a balanced budget primarily through limited austerity measures, appropriation of the Milton operating deficit, and drawdown of the Operating Budget Stabilization Reserve. Further, an institutional 4.5% budget reduction across vice-president portfolios along with limited investments in 2024/25 also contributed to the balanced budget being put forward for approval.</t>
  </si>
  <si>
    <t>laurier_2024_2</t>
  </si>
  <si>
    <t>laurier_2024_3</t>
  </si>
  <si>
    <t>laurier_2024_4</t>
  </si>
  <si>
    <t>laurier_2024_5</t>
  </si>
  <si>
    <t>laurier_2024_6</t>
  </si>
  <si>
    <t>laurier_2024_7</t>
  </si>
  <si>
    <t>laurier_2024_8</t>
  </si>
  <si>
    <t>laurier_2024_9</t>
  </si>
  <si>
    <t>laurier_2024_10</t>
  </si>
  <si>
    <t>laurier_2024_11</t>
  </si>
  <si>
    <t>laurier_2023_1</t>
  </si>
  <si>
    <t>laurier_2023</t>
  </si>
  <si>
    <t>The 2023/24 budget anticipates a full return to on-campus operations following multiple years of pandemic-driven budget assumptions. In recent years, the organization has been successful in mitigating the cumulative fiscal impacts of tuition cuts, grant and tuition freezes, pandemic-related public health restrictions, and challenges affecting sector efforts in internationalization. The provincial government has recently announced a blue-ribbon panel, composed of business and academic leaders, that will provide advice and recommendations related to sector financial stability beyond 2023/24. For 2023/24, funding constraints are continuing, with a continued tuition freeze for most Ontario students and fixed operating grant funding.</t>
  </si>
  <si>
    <t>With financial challenges escalating, the sector is also subject to increased scrutiny resulting from recent auditor general value-for-money audits. While annual operating budget plans are critical to financial sustainability, the assessment of comprehensive fiscal health inclusive of capital planning, reserve considerations, and debt capacity, will be needed to support Laurier’s significant upcoming growth initiatives. Laurier is poised to embark upon a number of exciting initiatives which will contribute to its strategic mandate and success in a highly competitive sector. The prioritization and focus on key investments with consideration for revenue generation, cost containment and spending to increase priority services and programs, will be critical in optimizing limited resources and safeguarding Laurier’s financial health – key principles in the development of the 2023/24 Budget.</t>
  </si>
  <si>
    <t>laurier_2023_2</t>
  </si>
  <si>
    <t>This draft report includes the Operating and Ancillary Funds which are Laurier’s largest funds and components of the overall Consolidated Financial Statement Funds. The Capital Budget will be presented to the Board for approval at the June meeting. At this time, the Milton operating plan and capital project budget are not included. Program and campus development are currently underway with a projected Milton campus opening in Fall 2024. Based on a risk analysis of pursuing campus expansion in the current environment, programming will commence in pre-existing leased space with construction of Milton One timed in accordance with enrolment trajectory and debt-servicing capacity. A revised business plan is in development for presentation in the May/June governance cycle. </t>
  </si>
  <si>
    <t>Every budget report contains forward-looking information and is based on information available to management at the time of preparation; actual results may vary from these assumptions.</t>
  </si>
  <si>
    <t>laurier_2023_3</t>
  </si>
  <si>
    <t>laurier_2023_4</t>
  </si>
  <si>
    <t>The assumptions and estimates included in the 2023/24 Operating and Ancillary budgets are based on the information available to management at the time of preparation. Post-secondary institutions in Canada are facing sector-wide challenges; the cumulative impact of tuition cuts, grant and tuition freezes, COVID-19 pandemic impacts and significant inflationary pressures have contributed to growing financial risks. Universities across Ontario are facing increased scrutiny on fiscal performance and a greater focus on financial health indicators is expected as part of the province’s overall performance management framework. This will require demonstration of effective financial planning which considers the short-term needs articulated in a fiscal year budget, as well as longer term strategies that tie into strategic priorities and capital planning. Throughout our history, the strength of the Wilfrid Laurier University community has allowed us to capitalize on opportunities and prevail over challenges to become a comprehensive, multi-campus institution focused on excellence in academics, a student experience second to none, and growing research enterprise. The 2023/24 budget builds upon those strengths as the university embarks on a number of efforts which will contribute to its continued success.</t>
  </si>
  <si>
    <t>Beyond pandemic recovery, Laurier is faced with frozen Ontario tuition and grant values, increasing building renewal needs, continued investment in information technology systems, compounding inflationary pressures and funding requirements for investment in strategic initiatives and programs to succeed in a highly competitive sector.</t>
  </si>
  <si>
    <t>While Laurier currently meets the minimum benchmark in four out of five financial health indicators and enjoys a DBRS Long Term Debt Rating of “A”, consideration of financial decisions must be made in the context of the organization’s strategic mandate, as well as the full financial picture inclusive of capital, reserves, debt, and operating and ancillary services budgets.</t>
  </si>
  <si>
    <t>Prioritization and a focus on key investments, with consideration for growth strategies, revenue generation, cost containment and spending to increase priority services and programs will be critical to optimize limited resources and safeguard Laurier’s fiscal health.</t>
  </si>
  <si>
    <t>Financial sustainability is a critical enabler that will equip Laurier with the financial strength and capacity to achieve its strategic objectives. Financial sustainability refers to the balance between the revenues available to institutions to support their academic activities and the expenses they incur in delivering their mission.</t>
  </si>
  <si>
    <t>Laurier continues work to strengthen financial sustainability to support the strategic objectives of the organization. In 2023/24, Laurier will continue 2022/23 efforts to deliver enhanced, consolidated quarterly financial reports, develop preliminary debt and reserve strategies, and improve capital budgeting practices. The recent reports by the Auditor General have also provided additional considerations for Laurier in the pursuit of financial sustainability and effective financial management.</t>
  </si>
  <si>
    <t>The 2023/24 Budget shows forecasted total revenues of $327.4 million, a decrease of $5.1 million, or 1.5%, over last year’s Budget. Tuition revenue has decreased significantly by $13.7 million or 6.9%, reflecting the flow-through of the tuition shortfall experienced in 2022/23. Government operating grants remain steady with a slight increase of $0.2 million.</t>
  </si>
  <si>
    <t>Total expenditures are forecasted at $334.1 million, an increase of $3.7 million, or 1.1%, over last year. Salaries and benefits remained relatively constant over the previous year, with multiple factors contributing both favourably and unfavourably and non-salary expenses increasing by $3.8 million.</t>
  </si>
  <si>
    <t>The 2023/24 Budget being presented is a deficit budget of $1.9 million. Laurier will be pursuing a multi-year approach to addressing financial sustainability, with in-year strategies to minimize the draw on reserves coupled with a return to realizing a surplus budget strategy.</t>
  </si>
  <si>
    <t>laurier_2023_5</t>
  </si>
  <si>
    <t>laurier_2023_6</t>
  </si>
  <si>
    <t>laurier_2023_7</t>
  </si>
  <si>
    <t>laurier_2023_8</t>
  </si>
  <si>
    <t>laurier_2023_9</t>
  </si>
  <si>
    <t>laurier_2023_10</t>
  </si>
  <si>
    <t>laurier_2023_11</t>
  </si>
  <si>
    <t>laurier_2023_12</t>
  </si>
  <si>
    <t>laurier_2023_13</t>
  </si>
  <si>
    <t>laurier_2022_1</t>
  </si>
  <si>
    <t>laurier_2022</t>
  </si>
  <si>
    <t>Every budget report contains forward-looking information and is based on information available to management at the time of preparation; actual results may vary from these assumptions. In 2022/23, Laurier will enter its third year with a budget set in the context of a global pandemic. While the organization has been successful in mitigating some of the fiscal impacts of the pandemic, this work continues for 2022/23 as we continue progress towards a full return to an on-campus presence.</t>
  </si>
  <si>
    <t>Laurier is poised to embark upon a number of exciting initiatives which will contribute to its success in a highly competitive sector. Consideration of financial decisions must be made in the context of the organization’s strategic mandate, as well as the full financial picture inclusive of capital, reserves, debt, and operating and ancillary services budgets. The Financial Sustainability Project, initiated in fall 2021, will strengthen capabilities in maintaining an up-to-date understanding of this full financial picture. The prioritization and focus on key investments with consideration for revenue generation, cost containment and spending to increase priority services or programs will be critical in optimizing limited resources and safeguarding Laurier’s financial health and has served as key principles in the development of the 2022/23 Budget.</t>
  </si>
  <si>
    <t>This draft report includes the Operating, Ancillary and Capital Funds which are Laurier’s largest funds and components of the overall Consolidated Financial Statement Funds. Figure 1 depicts the different funds which are presented annually in the audited financial statements</t>
  </si>
  <si>
    <t>The Operating Budget comprises the major annual revenues and expenditures of the University’s financial operations. Revenues from student tuition fees and government operating grants account for 90% of the total operating revenues. Faculty and staff salaries and benefits account for 74% of the total operating expenditures.</t>
  </si>
  <si>
    <t>The 2022/23 Budget (as presented in Table 7) shows forecasted total revenues of $332.5 million, an increase of $22.8 million, or 7.4%, over last year’s Budget. Tuition revenue has increased significantly by $21.5 million or 12.2% based on significant growth in projected undergraduate enrolment. Government operating grants remaining steady with a slight decrease of $0.2 million.</t>
  </si>
  <si>
    <t>Total expenditures are forecasted at $330.4 million, an increase of $18.9 million, or 6.1%, over last year. This includes an increase of $12.1 million in total salaries and benefits and an increase of $6.8 million in non-salary expenses.</t>
  </si>
  <si>
    <t>The 2022/23 Budget being presented is a surplus budget which represents an increase of $3.9 million compared to the 2021/22 budgeted deficit of $1.9 million, and will provide contributions towards strengthening reserves to support future capital and strategic projects.</t>
  </si>
  <si>
    <t>laurier_2022_2</t>
  </si>
  <si>
    <t>laurier_2022_3</t>
  </si>
  <si>
    <t>laurier_2022_4</t>
  </si>
  <si>
    <t>laurier_2022_5</t>
  </si>
  <si>
    <t>laurier_2022_6</t>
  </si>
  <si>
    <t>laurier_2022_7</t>
  </si>
  <si>
    <t>laurier_2021_1</t>
  </si>
  <si>
    <t>Every budget report contains forward-looking information and is based on information available to management at the time of preparation; actual results may vary from these assumptions. In 2021/22, Laurier will enter a second year with a budget set in the context of a global pandemic. While the organization has been successful in mitigating some of the fiscal impacts of the pandemic in 2020/21, this work continues for 2021/22 as we anticipate a return to on-campus presence beginning in the fall and accelerating to normal levels in winter 2022.</t>
  </si>
  <si>
    <t>In addition to the challenges presented by the pandemic, Laurier is also faced with a structural deficit and growing capital infrastructure needs. Most importantly, however, the University is poised to embark upon a number of exciting initiatives which will contribute to its success in a highly competitive sector. The ability to optimize investments in future-looking strategic endeavours while safeguarding the organization’s financial health has been a key principle in the development of the 2021/22 Budget. Prior to the Board of Governors receiving this final Budget, the draft Budget was presented to the Finance and Investments Committee on May 20. The summary version was also presented to the Senate Executive and Finance Committee on May 11 and to Senate on May 19. Fee information, which is part of the assumptions included in this 2021/22 Budget report, has been included in a separate 2021/22 Fee Report and was presented and approved at the April Board of Governors meeting.</t>
  </si>
  <si>
    <t>The assumptions and estimates included in the 2021/22 Operating and Ancillary budgets are based on the information available to management at the time of preparation. The prolonged event of the global Coronavirus pandemic continues to present challenges for Laurier and the university sector overall. As the University continues to monitor and align with public health requirements and guidelines, it maintains strong alignment with the organizational mandate and vision as set out on the Laurier Strategy, and the Strategic Mandate Agreement. The 2021/22 Operating Budget pursues the balance between mitigating the impact of current challenges, such as a significantly reduced on-campus presence, with the need to invest in longer-term strategic objectives. As Laurier embarks on a second year of pandemic budgeting for the 2021/22 year, there is consideration for the longer-term multi-year approach as we look forward to pandemic recovery.</t>
  </si>
  <si>
    <t>In this multi-year approach, continued efforts to address a structural deficit are needed to lay the groundwork for Laurier to succeed in a post-pandemic world. Beyond pandemic recovery, Laurier is faced with frozen tuition and grant values, increasing capital infrastructure needs, continued investment in information technology systems, compounding inflationary pressures and funding requirements for investment in strategic initiatives and programs to succeed in a highly competitive sector.</t>
  </si>
  <si>
    <t>While Laurier currently meets the minimum benchmark in four out of five financial health indicators and enjoys a DBRS Long Term Debt Rating of “A”, the ongoing structural deficit, decreasing reserve balances, and the impacts of the pandemic present challenges to meeting these targets in the future.</t>
  </si>
  <si>
    <t>Prioritization and a focus on key investments, with consideration for growth strategies, revenue generation, cost containment and spending to increase key services and programs will be critical to optimize limited resources and safeguard the organization’s fiscal health. </t>
  </si>
  <si>
    <t>The 2021/22 Budget (as presented in Table 6) shows forecasted total revenues of $309.7 million, an increase of $2.2 million, or 0.7%, over last year’s Budget. Tuition revenue has remained fairly flat at $1.2 million increase or 0.7% based on the recently confirmed extension of the domestic tuition rate freeze and continued challenges to international student recruitment (based on visa processing delays and travel restrictions. Government operating grants remaining steady with an increase of $0.4 million.</t>
  </si>
  <si>
    <t>Total expenditures are forecasted at $312.5 million, an increase of $0.5 million, or 0.2%, over last year. This includes a decrease of $1.9 million in total salaries and benefits and an increase of $2.5 million in non-salary expenses.</t>
  </si>
  <si>
    <t>The 2021/22 excess of expenditures over revenues has produced a deficit of $2.9 million, which represents a decrease of $1.7 million compared to the 2020/21 budgeted deficit of $4.6 million. The 2021/22 deficit will be bridged through anticipated 2020/21 year-end surplus results.</t>
  </si>
  <si>
    <t>laurier_2021_2</t>
  </si>
  <si>
    <t>laurier_2021_3</t>
  </si>
  <si>
    <t>laurier_2021_4</t>
  </si>
  <si>
    <t>laurier_2021_5</t>
  </si>
  <si>
    <t>laurier_2021_6</t>
  </si>
  <si>
    <t>laurier_2021_7</t>
  </si>
  <si>
    <t>laurier_2021_8</t>
  </si>
  <si>
    <t>laurier_2021_9</t>
  </si>
  <si>
    <t>laurier_2021_10</t>
  </si>
  <si>
    <t>laurier_2021</t>
  </si>
  <si>
    <t>laurier_2019_1</t>
  </si>
  <si>
    <t>laurier_2019</t>
  </si>
  <si>
    <t>laurier_2019_2</t>
  </si>
  <si>
    <t>This report contains forward-looking information. In preparing the 2019/20 Budget report, certain assumptions and estimates were necessary. The assumptions and estimates are based on information available to management at the time of preparing the 2019/20 Budget. Readers and users of this financial information are cautioned that actual results may vary from the assumptions used in preparation of the Budget.</t>
  </si>
  <si>
    <t>Budget forecasts and information regarding the 2019/20 Budget have been presented to the Finance and Investments (F&amp;I) Committee throughout the past fiscal year. As changes in revenue and expenditure drivers occur during the year, updated projections will be presented to the Board of Governors. Prior to the Board of Governors receiving this final Budget, the draft Budget was presented to the Finance and Investments Committee at their May 16, 2019 meeting, which provided the opportunity to review and comment prior to the information being presented in this report. In addition, the draft Budget was presented to the Senate Finance Committee on May 6, 2019 and to Senate on May 22, 2019. At the Senate meeting, the motion was put forward from the Senate Finance Committee that Senate recommends the 2019/20 Budget for approval by the Board of Governors. Fee information, which is part of the assumptions included in this 2019/20 Budget report, has been included in a separate 2019/20 Fee Report and is being presented to the Board of Governors for approval at the June meeting. This 2019/20 Budget report is prepared annually and in a format consistent with previous years in order to enhance comparability. Included is detailed financial information along with various commentary and analysis.</t>
  </si>
  <si>
    <t>The Operating Budget comprises the major annual revenues and expenditures of the University’s financial operations. Revenues from student tuition fees and government operating grants account for 91% of the total operating revenues. Faculty and staff salaries and benefits account for 75% of the total operating expenditures.</t>
  </si>
  <si>
    <t>The 2019/20 Budget shows forecasted total revenues of $291.8 million, a decrease of $8.4 million, or 2.8%, over last year’s Budget. The Provincial Government released a new Tuition Fee Framework, which mandates a 10% tuition fee reduction for all publicly funded programs for funding-eligible students as of the beginning of the upcoming academic year. This reflects a total tuition revenue decrease of $11.5 million, or 6.6%.</t>
  </si>
  <si>
    <t>Total expenditures are forecasted at $310.2 million, an increase of $9.6 million, or 3.2%, over last year. This includes an increase of $11.4 million in total salaries and benefits and a decrease of $1.8 million in non-salary expenses.</t>
  </si>
  <si>
    <t>The 2019/20 excess of expenditures over revenues has produced a deficit of $18.4 million which is being bridged through one-time only reserves from prior years.</t>
  </si>
  <si>
    <t>In 2017/18, the university began implementation of a new Responsibility Centre Management (RCM) budget model. A five-year Transition Plan was developed to guide the budget process toward an incremental implementation of the RCM budget model.</t>
  </si>
  <si>
    <t>The Operating Budget is developed with a focus on ensuring resources are devoted to high impact strategic priorities and are aligned with the institutional mission. In light of policy changes governing tuition fees, it is increasingly important to ensure that resource allocation reflects the strategic direction of the institution, while exercising spending constraint.</t>
  </si>
  <si>
    <t>A number of external factors directly influence Laurier’s Budget. These include:
The Strategic Mandate Agreement (SMA) outlines the role the University performs in Ontario’s postsecondary education system and how it will build on its current strengths. The government has signalled changes in direction for the next SMA, including a decrease to enrolment-based funding and an increase to performance-based funding.</t>
  </si>
  <si>
    <t>On January 17, 2019, the Provincial government introduced a new tuition fee framework. Tuition fee levels were reduced by 10% relative to 2018/19 levels for domestic students in all funding-eligible programs. Tuition fees will also be frozen in 2020/21.</t>
  </si>
  <si>
    <t>At Laurier, undergraduate domestic tuition represents approximately 42% of total operating revenue and graduate eligible tuition represents approximately 4%. Therefore, the tuition reduction impacts approximately 46% of total operating revenue.</t>
  </si>
  <si>
    <t>Ontario universities moved to a corridor funding model where institutions are funded to a midpoint level of enrolment. This midpoint is based on prior funding levels and is reviewed annually.</t>
  </si>
  <si>
    <t>Discussions regarding future Strategic Mandate Agreements are ongoing and may affect funding levels.</t>
  </si>
  <si>
    <t>The Provincial Government announced the withdrawal of capital funding for the Milton campus. Laurier’s capital allocation had been slated at $90 million. Despite this, Laurier remains committed to expanding into Milton and enhancing its multi-campus presence.</t>
  </si>
  <si>
    <t>Laurier has committed to a phased development approach in Milton, including offering programs and expanding to a full education village.</t>
  </si>
  <si>
    <t>The university began developing a new Strategic Plan (2019–2024), which will outline priorities for the next five years and guide future budgets.
The 2019/20 budget is the third developed under the Responsibility Centre Management (RCM) model.</t>
  </si>
  <si>
    <t>laurier_2019_3</t>
  </si>
  <si>
    <t>laurier_2019_4</t>
  </si>
  <si>
    <t>laurier_2019_5</t>
  </si>
  <si>
    <t>laurier_2019_6</t>
  </si>
  <si>
    <t>laurier_2019_7</t>
  </si>
  <si>
    <t>laurier_2019_8</t>
  </si>
  <si>
    <t>laurier_2019_9</t>
  </si>
  <si>
    <t>laurier_2019_10</t>
  </si>
  <si>
    <t>laurier_2019_11</t>
  </si>
  <si>
    <t>laurier_2019_12</t>
  </si>
  <si>
    <t>laurier_2019_13</t>
  </si>
  <si>
    <t>laurier_2019_14</t>
  </si>
  <si>
    <t>laurier_2019_15</t>
  </si>
  <si>
    <t>laurier_2019_16</t>
  </si>
  <si>
    <t>laurier_2019_17</t>
  </si>
  <si>
    <t>waterloo_2023</t>
  </si>
  <si>
    <t>waterloo_2023_1</t>
  </si>
  <si>
    <t xml:space="preserve">Last Spring, the Board of Governors approved the University’s 2023/24 operating budget. At the time, we committed to providing an extraordinary Fall operating budget update because we knew that it was going to be a challenging financial year. Now that we have some critical pieces of information, I have provided an update to Senate and the Board of Governors, and can provide an update to our community.  </t>
  </si>
  <si>
    <t>There are several ongoing systemic factors that have affected the University’s operating budget this year and that will affect future budgets:
The provincial government imposed a 10 per cent domestic tuition cut in 2019 which was then followed by an ongoing freeze on tuition fees for domestic Ontario students. These measures have brought domestic tuition rates down to the level they were in 2014/15 and have reduced the University’s revenue by an estimated &gt;$250 million over the past five-year period.
Provincial government funding is restricted to a set number of domestic students. Over the last 10 years, the province’s basic operating grant per domestic student for the University has been frozen. This translates to a $22 million gap in grants as a result of enrolment corridor-based caps in total grant funding for domestic students.
The province has imposed numerous unfunded and under-funded mandates around student and community supports.
The lack of federal government commitment to taking action in response to longstanding calls to provide better support for the real indirect costs of research, and for research graduate students, has put increased pressure on the operating budgets of research-intensive universities.
A global pandemic and a number of geopolitical issues have impacted student mobility and enrolment, creating uncertainties that make enrolment management and budget forecasting challenging.
Evolving inflationary and market volatility have increased the costs of goods and services across the board.</t>
  </si>
  <si>
    <t>waterloo_2023_2</t>
  </si>
  <si>
    <t>The University started the fiscal year with a $4 million operating budget deficit. We knew when the Board approved this budget that there were additional points of uncertainty that we anticipated would have in-year impacts on the operating budget.</t>
  </si>
  <si>
    <t>This uncertainty includes changes to our enrollment. Current projections indicate incremental growth in domestic student enrolment with a smaller decrease in international student enrolment that is consistent with the trend over the last three years. This trend is unsustainable and causes instability when planning for international student enrolment and financial planning.</t>
  </si>
  <si>
    <t xml:space="preserve">Rising inflation rates have caused general expense pressures with the increased costs of goods and services. Interest rates have risen and have resulted in a $5 million increase in interest income projections for 2023/24. </t>
  </si>
  <si>
    <t>The recent faculty salary adjustment and the staff salary adjustment prompted by the changes to Bill 124 have resulted in a base salary increase and one-time payments for all eligible employees. The base salary increases translate to approximately $16 million (salary and benefits) annual recurring expense, and the lump sum payments amount to an additional $8 million one-time expense, both applicable in the current budget year.</t>
  </si>
  <si>
    <t>The Government of Ontario formed a Blue-Ribbon Panel to examine the financial sustainability of the post-secondary sector. The panel’s report has not yet been released, nor has the government provided a response to it. Therefore, it is unlikely that the outcome of the report will lead to any incremental revenue impacts of any outcomes related to BRP until the 2024/25 budget year.</t>
  </si>
  <si>
    <t>The Fall budget update estimates that our overall operating budget shortfall is $15 million this year. As was communicated at the time of the budget approval, the University will cover this shortfall using central reserve funds. However, this approach is unsustainable on an ongoing basis.</t>
  </si>
  <si>
    <t>We expect cost pressures, constraints, and uncertainty on key revenue drivers to continue. Without further University actions and transformative changes to the current Ontario university funding environment, our operating budget deficit would grow significantly in the coming years.</t>
  </si>
  <si>
    <t>Balancing the fiscal year 2024/25 and future years budgets will require a multi-faceted approach and a commitment to working together as One University. As we await action on the items that are currently being deliberated by the government, there will be difficult decisions to make. We will apply new measures to manage operating budget pressures in order to support our academic and research mission, as well as key priorities of the University. This will include a variety of approaches to reduce expenses in certain areas, and reallocate resources to other initiatives and priorities, to optimize spending and streamline operations.</t>
  </si>
  <si>
    <t>Earlier this year, we shared with you that the University faced a $75 million operating budget deficit for 2024/2025. Despite decades of pragmatic and careful financial management, pressures on the entire post-secondary sector mean Waterloo is facing significant financial challenges now and in the years ahead. </t>
  </si>
  <si>
    <t>waterloo_2023_3</t>
  </si>
  <si>
    <t>waterloo_2023_4</t>
  </si>
  <si>
    <t>waterloo_2023_5</t>
  </si>
  <si>
    <t>waterloo_2023_6</t>
  </si>
  <si>
    <t>waterloo_2023_7</t>
  </si>
  <si>
    <t>waterloo_2023_8</t>
  </si>
  <si>
    <t>waterloo_2023_9</t>
  </si>
  <si>
    <t>University of Waterloo</t>
  </si>
  <si>
    <t>waterloo_2024_1</t>
  </si>
  <si>
    <t>waterloo_2024</t>
  </si>
  <si>
    <t>waterloo_2023_10</t>
  </si>
  <si>
    <t xml:space="preserve">This year, we are managing the $75 million budget deficit by reducing ongoing spending by $42 million centrally and in our faculties and academic support units. The remainder of the deficit is being covered in year only using one-time contributions from central funds and from faculties and academic support units.  </t>
  </si>
  <si>
    <t>waterloo_2024_2</t>
  </si>
  <si>
    <t xml:space="preserve">The pressures affecting our budget do not show any signs of easing up. With fewer international students enrolling, a freeze on domestic tuition, no big increases in government grants, and rising salary and benefit costs, we need to keep finding ways to reduce spending to balance the budget. </t>
  </si>
  <si>
    <t>waterloo_2024_3</t>
  </si>
  <si>
    <t xml:space="preserve">Recently, it’s become clear that international student enrolment might continue to drop due to new government policies. We’ve also heard from government that domestic tuition and grant funding will stay frozen until at least 2027/2028. This means we won’t get extra tuition or government grants to cover rising costs. All universities in our province are facing similar challenges. </t>
  </si>
  <si>
    <t>waterloo_2024_4</t>
  </si>
  <si>
    <t xml:space="preserve">We know that many units have taken difficult steps to reduce spending to work within lower budgets. Thank you to all of you who have made a contribution to help us save money by working more efficiently and re-prioritizing your work.   </t>
  </si>
  <si>
    <t>waterloo_2024_5</t>
  </si>
  <si>
    <t xml:space="preserve">We are approaching the mid-year point for our annual operating budget. Over the next month, the annual operating budget update will be going to the appropriate Governance Committees for review, and we will focus on planning for the 2025/2026 budget. We must keep looking for efficiencies and cost savings across the university. </t>
  </si>
  <si>
    <t xml:space="preserve">We know that achieving financial sustainability will require difficult decisions in the months and years ahead. We also know that across-the-board budgets cuts will not be an effective way to achieve the savings we need to make while also optimizing our ability to deliver on our key operational missions.  </t>
  </si>
  <si>
    <t>waterloo_2024_6</t>
  </si>
  <si>
    <t>waterloo_2024_7</t>
  </si>
  <si>
    <t>waterloo_2025</t>
  </si>
  <si>
    <t>waterloo_2025_1</t>
  </si>
  <si>
    <t>We are writing to update you on our development of a three-year plan to return to a balanced budget. We have recently shared high-level information on our strategy with finance committees of Senate and Board and now want to update the wider community.</t>
  </si>
  <si>
    <t>s you know, for many years the University has carefully stewarded our finances, and focused on fulfilling our core mission and giving everyone who comes to learn, live and work at Waterloo a high-quality experience.</t>
  </si>
  <si>
    <t>However, the conditions that created our budget difficulties do not show signs of improving. We expect existing revenue constraints on provincial government grants and domestic tuition rates, and uncertainties related to international enrolments to persist through our planning period of the next three years. Indeed, that is what we have been led to expect by government.</t>
  </si>
  <si>
    <t>Keeping focused on our shared vision for Waterloo’s future is crucial to making good choices now. Achieving the vision of Waterloo at 100, and managing our current situation, demands that we be guided by our values. We must continue to think differently, act with purpose and work together on solutions.</t>
  </si>
  <si>
    <t xml:space="preserve">At the heart of our three-year plan will be an effort to reduce duplication and improve efficiency, including through recent and ongoing reviews of units (portfolios of the Vice-President, Research and International, the Associate Vice-President, Academic, and the Associate Vice-President, Graduate Studies and Postdoctoral Affairs, and the Plant Operations unit) and functions (Communications and Marketing, Finance, IT). As these reviews are completed in the coming weeks, we will start similar reviews of other administrative areas. As part of these processes we are seeking to obtain appropriate benchmark data on administrative operations to compare to peer institutions. </t>
  </si>
  <si>
    <t>Though we have important work underway on seeking new sources of revenue, strategic enrolment management, and will soon start with leadership from academic colleagues to look at future-focused design and delivery of academic programs, this work cannot address the near-term challenge we face.</t>
  </si>
  <si>
    <t>It is a reality that our plan must include a reduction in the number of people who work at the University over the next three years. Salaries and benefits are the majority of our expenses. We must find ways to change what we do and how we do it, and this will mean the discontinuation of some roles. Actions like our hiring freeze are already helping us to save money while evaluating which empty positions need to be filled and which can be reconsidered or restructured.</t>
  </si>
  <si>
    <t>The University is a large, complex organization, so role reductions will differ on a unit-by-unit basis based on organizational need. There is no single action we can take to achieve the necessary reductions. We expect a wide range of activities will help us make the changes we need over the next three years. As we refine our strategy, we will continue to be guided by our desire to treat all our hard-working employees with respect and concern in difficult circumstances.</t>
  </si>
  <si>
    <t>waterloo_2025_2</t>
  </si>
  <si>
    <t>waterloo_2025_3</t>
  </si>
  <si>
    <t>waterloo_2025_4</t>
  </si>
  <si>
    <t>waterloo_2025_5</t>
  </si>
  <si>
    <t>waterloo_2025_6</t>
  </si>
  <si>
    <t>waterloo_2025_7</t>
  </si>
  <si>
    <t>waterloo_2025_8</t>
  </si>
  <si>
    <t>western_2025</t>
  </si>
  <si>
    <t>western_2025_1</t>
  </si>
  <si>
    <t>The recently completed planning process leads us forward to the final year of the 3-year budget/planning cycle – spanning the period 2023-24 through 2025-26. In the summer of 2022, our Faculties and Support Units submitted Academic and Operational Plans in alignment with our strategic plan – and the priorities in those plans have formed the basis for the 3-year university plan.</t>
  </si>
  <si>
    <t>western_2025_2</t>
  </si>
  <si>
    <t>At this point in time, as we reach the end of the current fiscal year, we are on target to be very close to the net position initially projected for 2024-25. The Operating Reserve at the end of the current year is projected to be $50.7 million – compared to the budgeted figure of $51.5 million.</t>
  </si>
  <si>
    <t>Looking ahead to 2025-26, we have developed the University budget with the following general assumptions regarding revenues:
 Under the Provincial Government’s corridor-based block-grant funding system, our overall core
on-going provincial grants will remain frozen at the 2016-17 level.
 The Province’s tuition framework rolled back domestic tuition rates by 10% in 2019-20 and the
rates were kept constant (at the reduced levels) in 2020-21 through 2024-25. Government has confirmed that domestic tuition rates for Ontario students will remain frozen for 2025-26 and 2026- 27 – making it a total of 8 years of no change to domestic tuition rates.
 A year ago, the Federal Government introduced a policy/approach to limit study permits for undergraduate international students who would come to Canada from outside the country. That policy has now been updated to include all undergraduate students (both coming from outside the country and from within Canada) as well as all international graduate students. Our enrolment
   Page 1 of 48
Western University: 2025-26 Operating and Capital Budgets March 31, 2025
 planning includes our best assessment of the impact of the Federal Government’s policy. We are projecting reductions in both undergraduate and graduate international enrolments – which will result in a decline in tuition revenue in 2025-26.
 Enrolments are the primary driver of operating revenues. For budgetary purposes, our first-year class for 2025-26 is expected to be about 6,500 students (which includes about 580 international students). The graduate enrolment plan is the aggregate of the plans developed by the Faculties – which is a reduction of about 130 students largely due to lower international enrolments resulting from the Federal Government policy. Total full-time enrolment (undergraduate and graduate) is projected to decrease by about 620 – of which 560 is on the international component.
 In late February 2024, the Provincial Government announced time-limited funding investment in Ontario’s Universities – spanning the period 2023-24 through 2026-27. Western’s estimated allocation for 2025-26 of $14.2 million (an increase of $5.8 million over 2024-25) has been incorporated into our operating revenue projections.</t>
  </si>
  <si>
    <t>In summary, over 85% of our Operating Revenues derive from enrolment-related revenues. As a result of external factors – i.e. frozen base operating grants, frozen domestic tuition, and international enrolment declines – our revenues in the near term are projected to decline. Therefore, we will need to be disciplined and prioritize our expenditures in support of our highest priorities – in alignment with our Strategic Plan.</t>
  </si>
  <si>
    <t>At Western, our integrated approach to planning serves us well. We continue to focus our budget planning on our strategic priorities. Our approach to enrolment planning allows us to make significant enhancements to the quality of education and the educational experience we offer our students:
 Recruitment of outstanding undergraduate students is a high priority. The average entering grade
of our incoming class in the fall of 2023 was 90.9%, well above the Ontario average.
 Over 92% of our first-year students continue into their second year. Our retention rates are amongst
the highest in Canada and much higher than at our peer institutions in the United States.
 Graduation rates of our undergraduate students have been steadily increasing, and they are currently much higher than the average of peer universities in Canada and the United States. Nearly 85% of Western’s 2018-19 entering cohort graduated within 6 years – again, well above our peer
institutions across Canada.
 We are continuing to invest in our recruitment efforts to grow international undergraduate
enrolments while also diversifying home country and program destination. At present, about 7.5% of our undergraduate enrolment is international. Our Strategic Plan aspires to reach 20% international undergraduate students. Our strategies to increase international enrolments include: increased direct in-country recruitment activities, expansion of agents, on-line recruitment initiatives, expansion of recruitment awards, and housing guarantees. Even with these initiatives, our undergraduate international enrolments (which peaked in 2020-21) have been on a declining trend – due to the impacts of COVID-19, increased global competition, changing political landscapes around the world, and the recent introduction of study permit limits by the federal government. We need to continue our efforts and also explore new strategies/opportunities.
 Expansion of graduate enrolments in areas of demand and capacity continues to be a strategic priority at Western. In the current year, full-time graduate students comprise about 19% of total full-time enrolment.</t>
  </si>
  <si>
    <t>We remain committed to building on the substantive gains we have made in the areas of student quality, educational quality, and student experience. Going forward, we will continue to manage our resources and target them towards the priorities identified in our Strategic Plan.</t>
  </si>
  <si>
    <t>western_2025_3</t>
  </si>
  <si>
    <t>western_2025_4</t>
  </si>
  <si>
    <t>western_2025_5</t>
  </si>
  <si>
    <t>western_2025_6</t>
  </si>
  <si>
    <t>Western University</t>
  </si>
  <si>
    <t>mcmaster_2025</t>
  </si>
  <si>
    <t>McMaster University continues to demonstrate strong financial stewardship in a period of significant challenges.
Through prudent planning, careful resource management, and the dedication of Faculties, departments, and
administrative units, the University continues to maintain financial stability while advancing its academic and
research mission.</t>
  </si>
  <si>
    <t>For 2024/25, the Operating Fund—which supports academic faculties and central operations—is projecting a
nearly balanced budget, with a modest $1.9 million surplus that includes one-time strategic investments. The
following year, in 2025/26, there is a projected deficit of $18.2 million due to continued cost pressures; however,
sufficient appropriation balances are available to cover this shortfall, maintain budgetary stability, and invest in
key strategic initiatives.</t>
  </si>
  <si>
    <t>Looking at the broader picture, McMaster’s consolidated results for 2024/25 are expected to produce a net surplus of
$25.7 million despite lower investment income. A higher consolidated surplus of $64.7 million is budgeted for 2025/26.</t>
  </si>
  <si>
    <t>The recent announcement (April 2025) from the Ministry of Colleges, Universities, Research Excellence and Security
(MCURES) of a $150 million annual investment in science, technology, engineering, and mathematics (STEM)
programs offers welcome support. McMaster’s share of $21.8 million annual funding helps counterbalance ongoing
revenue constraints stemming from the continued domestic tuition freeze, caps on international enrolment, and
uncertain investment returns.</t>
  </si>
  <si>
    <t>The University remains committed to advancing its strategic mission. Investments continue in priority research areas
such as electric vehicles, infectious diseases, and nuclear medicine, alongside initiatives that equip students with
vital digital skills.</t>
  </si>
  <si>
    <t>Strategic investments will continue to be carefully aligned with McMaster’s financial capacity and the desire to
maintain its AA (stable) credit rating. The University’s key financial health indicator—debt per student full-time
equivalent—remains stable at approximately $12,000. However, any prolonged deterioration in this metric could place
downward pressure on the rating.</t>
  </si>
  <si>
    <t>The University is preparing for continued financial challenges, given financial pressures and uncertainty within
our geopolitical environment, including tariffs. While provincial grants have increased, the domestic tuition freeze
through 2026/27 and policy changes affecting international enrolment will limit revenue growth. In response, the
University is implementing a range of cost-containment strategies, including deferring discretionary spending,
leveraging collaborative procurement, prioritizing hiring for essential roles and re-prioritizing capital investments to
align with strategic goals and available funding, among other efforts.</t>
  </si>
  <si>
    <t>Looking ahead to 2026/27 and 2027/28, McMaster anticipates that ongoing strategic investments and essential
operational costs may need to be supported by accumulated reserves. Forecasts for these years will be refined as
greater clarity emerges around government funding, economic conditions, and cost pressures. The University is also
working on new ways to increase revenues, such as implementing its new international undergraduate recruitment
strategy to enhance tuition revenues, creating a real estate strategy, and increasing revenue from research
partnerships. Continued efforts to identify cost-saving measures and efficiencies will be key to reducing future
budget gaps.</t>
  </si>
  <si>
    <t>In February 2024, the Province announced additional funding to stabilize post-secondary institutions, including one-
time support for STEM enrolment above corridor, capital and research, and mental health. An additional 3% increase
to the operating grant was approved for 2024/25, with 2% increases planned for 2025/26 and 2026/27. This base
grant funding increase is assumed to expire 2027/28. In April 2025, the Province further increased investment in STEM
under Strategic Mandate Agreement, awarding McMaster a $21.8 million annual increase tied to a corridor midpoint
adjustment of 6,884.26 Weighted Grant Units (WGUs).</t>
  </si>
  <si>
    <t>The domestic tuition freeze remains in effect through 2026/27, following a 10% cut in 2019/20. Two programs—
Undergraduate Computer Science and MBA—are eligible for annual tuition increases of up to 7.5% until they reach
the sector average. Out-of-province undergraduate fees can rise up to 5% in 2025/26. A $750 international student
participation tax continues to reduce the University’s operating grant based on enrolment levels.</t>
  </si>
  <si>
    <t>A new undergraduate international student recruitment strategy is in place to enhance tuition revenues following the
decline in international students due to federal visa caps, which was partially offset as domestic student enrolment
was increased over plan in 2024/25. The newly announced operating grant midpoint increase results in additional
funding to be received in 2025/26 and future years for a large portion of the full-time equivalents in excess of the
original provincial corridor.</t>
  </si>
  <si>
    <t>The federal and provincial governments announced increased commitments to scientific research and innovation.
The 2024 federal budget included an increase of $1.8 billion over five years for the Tri-Agencies (CIHR, NSERC and
SSHRC) to support core research grants, and $825 million to increase the number and value of graduate student and
postdoctoral fellowships.</t>
  </si>
  <si>
    <t>Provincially, Ontario allocated $15 million over three years to the Critical Minerals Innovation Fund to support
innovation and research in the exploration, mining, development, production and processing of critical minerals. As
Canada’s preeminent nuclear research institution and with established expertise in critical minerals, McMaster is well
placed to capitalize on these opportunities.</t>
  </si>
  <si>
    <t>The Real Estate, Ancillary Operations, and Partnerships (REAP) department, established in June 2023, is focused on
enhancing current and creating new revenue streams to provide sustainable sources of revenue.</t>
  </si>
  <si>
    <t>Key revenue-generating initiatives include:
•
Maximizing real estate value and public-private partnerships, such as 10 Bay and Lincoln Alexander Hall (expected
to open in September 2026 to ensure a guaranteed residence space for all first-year students).
•
Supporting research commercialization partners and spaces at McMaster Innovation Park, including Fusion
Pharmaceuticals and Enedym Inc., and finding partnership opportunities for OmniaBio building.
•
Breaking ground on a new hotel development at MIP in Spring 2025.</t>
  </si>
  <si>
    <t>As Canada’s nuclear university, McMaster is also exploring expanding radiopharmaceutical capacity to address a
growing market need, with a business plan expected in 2025/26.</t>
  </si>
  <si>
    <t>McMaster remains in the “No Action” risk category under the MCURES financial health metrics, which monitors a
framework of eight financial indicators that measure liquidity, sustainability, and performance to generate a risk
rating of low, medium or high and outlines required actions based on the result.</t>
  </si>
  <si>
    <t>Financial metrics are calculated as part of the budgeting process to ensure ratios are within target ranges and
identify potentially material enterprise risks (see Consolidated Results - Risks to the 2025/26 Budget). All metrics are
within the low-risk range over the planning horizon.</t>
  </si>
  <si>
    <t>mcmaster_2025_1</t>
  </si>
  <si>
    <t>mcmaster_2025_2</t>
  </si>
  <si>
    <t>mcmaster_2025_3</t>
  </si>
  <si>
    <t>mcmaster_2025_4</t>
  </si>
  <si>
    <t>mcmaster_2025_5</t>
  </si>
  <si>
    <t>mcmaster_2025_6</t>
  </si>
  <si>
    <t>mcmaster_2025_7</t>
  </si>
  <si>
    <t>mcmaster_2025_8</t>
  </si>
  <si>
    <t>mcmaster_2025_9</t>
  </si>
  <si>
    <t>mcmaster_2025_10</t>
  </si>
  <si>
    <t>mcmaster_2025_11</t>
  </si>
  <si>
    <t>mcmaster_2025_12</t>
  </si>
  <si>
    <t>mcmaster_2025_13</t>
  </si>
  <si>
    <t>mcmaster_2025_14</t>
  </si>
  <si>
    <t>mcmaster_2025_15</t>
  </si>
  <si>
    <t>mcmaster_2025_16</t>
  </si>
  <si>
    <t>mcmaster_2025_17</t>
  </si>
  <si>
    <t>mcmaster_2025_18</t>
  </si>
  <si>
    <t>McMaster University</t>
  </si>
  <si>
    <t>mcmaster_2024_1</t>
  </si>
  <si>
    <t>mcmaster_2024</t>
  </si>
  <si>
    <t>Over the past year, universities across our province have been grappling
with unprecedented fiscal challenges. All Ontario universities are feeling the
impacts of the provincial government’s freeze on tuition rates and operating
grants, coupled with the decline in revenue from international student
tuition. While the province has provided additional support as a result of the
recommendations of the Blue-Ribbon Panel, more is needed to ensure the
fiscal sustainability of our sector.</t>
  </si>
  <si>
    <t>Given the financially constrained post-secondary environment, all faculties, departments and units
across the university were asked to adjust their budgets to contain costs. While the specific cost-
containment efforts varied from one area to another, each contributed to the overall goal of ensuring
all areas have structurally balanced budgets and the university can continue to deliver on its core
academic and research priorities.</t>
  </si>
  <si>
    <t>This consolidated budget report reflects the results of these efforts: McMaster’s Operating Fund,
which includes faculty and support operations, is projecting a nearly balanced budget of $4.3 million
for 2023/24, including ongoing operations and one-time strategic investments.</t>
  </si>
  <si>
    <t>For the 2024/25 year, the Operating Fund is projecting a $32.3 million net deficit, including ongoing
operations and one-time strategic investments. Adequate appropriation balances are available to
absorb the deficit and put McMaster’s budget in a balanced position. McMaster’s Operating and
Ancillary Budgets Policy allows this use of appropriations.</t>
  </si>
  <si>
    <t>More broadly, McMaster’s projected consolidated results for 2023/24 are balanced, with a net positive
position across all funds (including the Operating Fund above) of $76.8 million. The consolidated
budget for 2024/25, is also in a net positive position of $32.6 million. Accrual adjustments for annual
capital expenditures, asset amortization and pension values are included in these figures.</t>
  </si>
  <si>
    <t>The University continues to advance its strategic priorities, including research excellence in areas such
as electric vehicles, infectious diseases, and nuclear medicine, as well as equipping our students with
vital skills in digital learning and work environments. McMaster remains committed to developing its
research ecosystem through continued investment in McMaster Innovation Park. The Park’s vision,
strategy, governance, and operating structure are being reevaluated to set it up for continued
success.</t>
  </si>
  <si>
    <t>Any further major initiatives will be strategically aligned and dependent on available funding resources
relative to sustaining McMaster’s strong financial credit rating of AA (stable). The key financial health
indicator of debt per student FTE remains at approximately $12,000, and any prolonged deterioration
in this ratio would create downward pressure on the AA (stable) credit rating.</t>
  </si>
  <si>
    <t>Revenues in both the Operating Fund and consolidated results reflect upcoming
challenges. Provincial operating grants have increased slightly, but the in-province domestic tuition
fee framework will remain frozen for 2024/25 through 2026/27. Other external factors (see “Context”
in the next section), including caps on international student permits and domestic enrolment
underfunding, are impacting future revenue projections.</t>
  </si>
  <si>
    <t>As a result of the current revenue expectations, the budget includes cost containment strategies
being implemented across McMaster, including reducing or delaying discretionary expenditures,
saving costs through collaborative contract buying, focusing staff recruitment on growth areas and
McMaster University 2024/25 Consolidated Budget
Executive Summary
6
essential vacancies, and offering some faculty retirement incentives. Planned capital expenditures
have been re-prioritized to achieve strategic goals based on available funding.</t>
  </si>
  <si>
    <t>A summary of the University’s Operating Fund net revenues and expenses is shown below in Figure
1. Net operating revenues have historically exceeded expense growth, mainly due to enrolment
growth and increases in international student participation. The projected trend reflects a decline in
enrolment, with overall structurally balanced annual results and a net deficit after one-time
investments in 2024/25.</t>
  </si>
  <si>
    <t>Given the constrained Ontario post-secondary funding environment, for the future years (2025/26 and
2026/27), one-time strategic investments and essential expenses for continuing operations may need
to be supported by McMaster’s accumulated appropriation balances (reflected in Figure 2 below). The
University expects to improve the budget forecast as further clarity is obtained on international
enrolment targets. Other revenue levers include the outcomes of the Strategic Mandate Agreement
funding corridor negotiations and the realization of alternative revenue streams through the updated
Real Estate Strategy and research commercialization. In addition, continued focus on identifying cost
containment strategies is expected to reduce budget deficits. Based on these factors, an updated
recovery plan and budget position for planning years will be presented to the Board at a future date.</t>
  </si>
  <si>
    <t>mcmaster_2024_2</t>
  </si>
  <si>
    <t>mcmaster_2024_3</t>
  </si>
  <si>
    <t>mcmaster_2024_4</t>
  </si>
  <si>
    <t>mcmaster_2024_5</t>
  </si>
  <si>
    <t>mcmaster_2024_6</t>
  </si>
  <si>
    <t>mcmaster_2024_7</t>
  </si>
  <si>
    <t>mcmaster_2024_8</t>
  </si>
  <si>
    <t>mcmaster_2024_9</t>
  </si>
  <si>
    <t>mcmaster_2024_10</t>
  </si>
  <si>
    <t>mcmaster_2024_11</t>
  </si>
  <si>
    <t>mcmaster_2023</t>
  </si>
  <si>
    <t>mcmaster_2023_1</t>
  </si>
  <si>
    <t>McMaster’s Operating Fund, inclusive of Faculty and support operations, has an ongoing projected
surplus of $17.7 million in 2022/23. However, after strategic and capital investments on a one-time
basis the net loss is projected as $2.8 million. Similarly, in 2023/24 the operating results have a
structural surplus of $8.2 million and a net loss after one-time strategic investments of $29.8 million.</t>
  </si>
  <si>
    <t>McMaster’s projected consolidated results for 2022/23 are structurally balanced with net surplus
across all funds of $44.4 million after capital and accrual basis adjustments of $47.2 million. The
consolidated budget for 2023/24 is also in a surplus position on an accrual basis of $74.2 million after
capital and other adjustments totaling $104.0 million.</t>
  </si>
  <si>
    <t>The refreshed vision and strategic plan enter the third year in 2023/24. The University continues to
advance McMaster’s greatest strategic priority, the Global Nexus for Pandemics and Biological Threats
at McMaster’s Innovation Park (MIP). McMaster will also progress MIP’s development initiative
providing an additional 2.8 million square feet of new and renovated life sciences and
biomanufacturing space. The updated Campus Plan will be introduced to guide campus and off-site
development over the next decade. Major initiatives will be mindful of strategy relative to sustaining
McMaster’s strong financial credit rating of AA (stable).</t>
  </si>
  <si>
    <t>McMaster’s financial health continues to be strong despite developing headwinds. McMaster’s ability
to structurally balance overall and fund strategic and capital priorities demonstrates prudent financial
management instilled by McMaster’s transparent budget model that places fiscal accountabilities
with area leaders. The conservative budget approach continues to serve the University decision-
making as substantial one-time investments are made to achieve strategic priorities in an environment
of limited provincial funding growth opportunities. The key financial health indicator of debt per
student FTE remains slightly below $12,000, and any prolonged deterioration in this ratio would create
downward pressure on the AA (stable) credit rating.</t>
  </si>
  <si>
    <t>Revenues in both the Operating Fund and consolidated results reflect upcoming challenges.
Provincial operating grants and in-province domestic tuition fee framework remain frozen for 2023/24,
however the province has struck a blue-ribbon panel to provide advice for maintaining financial stability
in the post-secondary education sector, which is expected to influence implementation of
performance-based funding in 2024/25. Enrolment demand remains strong but is projected to flatten
– domestic as the over-enrolment returns to corridor levels, and international due to external global
factors. Investment income is expected to be minimal in 2022/23, returning to the long-term average
in 2023/24. However, new revenue opportunities from public-private partnerships will begin to be
realized as the new graduate student residence opens in September 2023, and construction begins
on the Lincoln Alexander Hall undergraduate residence.</t>
  </si>
  <si>
    <t>As a result of the current revenue expectations, the budget reflects a cost containment strategy.
Recruitment will be targeted to growth areas and essential vacancies. Planned capital expenditures
have been re-prioritized to achieve strategic goals based on available funding. The impact of increased
inflation will be offset by savings realized through collaborative contract buying.</t>
  </si>
  <si>
    <t>A summary of the University’s Operating Fund net revenues and expenses is shown below in Figure
1. Net operating revenues have historically exceeded expense growth, due mainly to enrolment
growth and international student participation increases. The projected trend reflects a decline in
enrolment, with overall structurally balanced annual results and a net loss after one-time investments.</t>
  </si>
  <si>
    <t>The 2023/24 budget is structurally balanced, whereas in the planning years one-time investments as
well as essential expenses for continuing operations, given the current Ontario post-secondary
funding environment, may need to be supported by McMaster’s accumulated appropriations balances
reflected in Figure 2 below.</t>
  </si>
  <si>
    <t>On a consolidated basis net revenues are projected to remain above net expenses on an accrual basis
as shown in Figure 3 below. Accrual adjustments add back annual capital expenditures and amortize
assets over useful life periods, as well as adjust for pension and non-pension year-end market close
values.</t>
  </si>
  <si>
    <t>mcmaster_2023_2</t>
  </si>
  <si>
    <t>mcmaster_2023_3</t>
  </si>
  <si>
    <t>mcmaster_2023_4</t>
  </si>
  <si>
    <t>mcmaster_2023_5</t>
  </si>
  <si>
    <t>mcmaster_2023_6</t>
  </si>
  <si>
    <t>mcmaster_2023_7</t>
  </si>
  <si>
    <t>mcmaster_2023_8</t>
  </si>
  <si>
    <t>mcmaster_2023_9</t>
  </si>
  <si>
    <t>mcmaster_2019</t>
  </si>
  <si>
    <t>mcmaster_2019_1</t>
  </si>
  <si>
    <t>The consolidated budget shows a surplus in 2019/20 and the outer planning years, and the Operating
Fund representing 66% of the consolidated budget is structurally balanced. This is achieved despite
funding changes by the Ministry of Training, Colleges and Universities (MTCU), such as the 2019/20
10% domestic tuition cut, and 2020/21 domestic tuition freeze in addition to the domestic enrolment
cap at 2016/17 levels. The Operating Fund will be further affected by MTCU’s recently announced
cancellation of the Medical Doctorate (MD) and Graduate Expansion Grants, removing a total of $52.9
million in capital funding, of which $3.3 million is already committed, with the Operating Fund
potentially being the new funding source for the committed funding. Other changes driven by MTCU
include the 2019/20 implementation of student opt-out fees, predominantly affecting student
associations and threatening the ongoing viability of programs that enhance student life. Finally, the
provincial government will also consider legislative changes affecting individuals who are both
working and collecting a pension; the impacts associated with any subsequent changes are not
factored into this budget.</t>
  </si>
  <si>
    <t>Delivering on McMaster’s Forward w ith Integrity (FWI) vision remains a priority, utilizing prior years’
savings in reserves (appropriations) as well as seed funding from the University Fund. This budget
emphasizes FWI priorities related to delivering an optimal research-focused, student-centred
experience, providing an integrated local-to-global community mindset, with consideration toward
impact and sustainability of the environment we depend on. Plans include investments in research
excellence, as well as technologically enabled pedagogical approaches, career pathways across
programs, and broadening existing community initiatives and partnerships with the City of Hamilton
and beyond.</t>
  </si>
  <si>
    <t>McMaster’s research focus involves the 2019/20 launch of the Brighter World Research Initiative
aimed at raising funds to deliver on the research strategic plan. In addition, McMaster will progress
its research commercialization initiative, building dedicated space to relocate research spin-off
businesses to the McMaster Innovation Park. This space will be co-located with the new government-
supported advanced manufacturing supercluster. In addition, the capacity of the nuclear reactor will
increase to enhance research while balancing other commercial opportunities.</t>
  </si>
  <si>
    <t>In an environment of reduced funding, these initiatives cause expense growth to exceed revenue
growth in the Operating Fund (Figure 1). As a result, appropriations will be substantially reduced over
the budget and planning years (Figure 2). In response to the MTCU funding changes, the University
has increased its attention and targets on diversified international enrolment. Other revenue growth
is in the planning stage and includes increasing professional Masters programs, expanding the use of
campus in the summer, and introducing block chain and micro-credentials using online solutions that
reduce the burden on physical infrastructure.</t>
  </si>
  <si>
    <t>Actual and projected enrolment growth has increased the strain on campus capacity. In 2019/20
McMaster will open the Peter George Centre for Living and Learning (PGCLL) providing over 500
additional undergraduate beds and an additional 36% in classroom capacity. Additional capacity-
enabling projects include building the McLean Center for Learning and Discovery on top of Innis
Library, and two additional residences, including integrated learning and research spaces. One
residence will be for undergraduate students on campus land and include an integrated
intergenerational research space. The other residence will be on McMaster leased land downtown
McMaster University 2019/20 Consolidated Budget
Executive Summary
7
and include integrated learning spaces. Both additional residence projects are public-private
partnerships (P3), whereby McMaster owns or holds the lease on the lands. Further, McMaster
operates, manages and maintains the residences and student life programming the same as any non-
P3 residence. The P3 projects are strategically important capacity initiatives that the University could
not finance on its own. These P3 projects could be at risk if changes are made to existing development
charge exemptions offered to McMaster by the City of Hamilton. Further, other capacity enabling
future projects, not yet committed to, may be cancelled due to MTCU’s recent cancellation of the
expansion grant commitment it made to McMaster for delivering specific increased MD and graduate
enrolment.</t>
  </si>
  <si>
    <t>Inflationary pressures in Ontario affect salary, wages, supplies, and deferred maintenance. MTCU has
announced it will increase deferred maintenance support to those schools in the greatest need. Close
to 70% of McMaster’s buildings are over 40 years old. In 2019/20, the higher education sector will
adopt a more accurate methodology for measuring deferred maintenance that considers functions
within buildings. This is predicted to increase the true cost of deferred maintenance by as much as
30% over the five-year implementation.</t>
  </si>
  <si>
    <t>McMaster will continue to focus on benchmarking data initiatives to target efficiency projects with
the greatest savings potential to allow the academy to grow while holding support services constant.
McMaster has adopted the UniForum annual benchmarking program, which has resulted in significant
savings at other international institutions, and 2019/20 will mark the third year of data collection. In
addition, administrative reviews target opportunities to minimize bureaucracy and streamline
activities. Completed reviews have focused on IT services, research financial administration support,
and in 2019/20 will further focus on human resources support services.</t>
  </si>
  <si>
    <t>Given the above, the consolidated budget is structurally balanced, largely due to investment income
and historic internal reserve strategies to set aside funding for future-oriented obligations. The
consolidated surplus is ideally 10% of revenues per year. The projection for 2018/19 does not achieve
this level due to a 4.5% projected investment return (future years assume a 5.9% return consistent
with McMaster’s historical real return). In 2019/20 and beyond, the consolidated surplus is impacted
by the MTCU tuition framework and the cancellation of capital funding, tightening the spread between
revenues and expenses (Figure 3). Future obligation settlement strategies already in place will be
reviewed for ongoing funding adequacy.</t>
  </si>
  <si>
    <t>The 2021/22 consolidated budget is structurally balanced with a $78.8 million surplus. The operating
fund is structurally balanced with a $42.3 million surplus before one-time expenditures of $47.1 million
planned to advance McMaster’s refreshed vision and strategic plan. The ancillary funds have been
impacted the most by the pandemic due to campus closures with an opening deficit of $8.2 million.
After cost mitigation efforts, the ancillaries 2021/22 budgeted net surplus is $2.7 million based on a
hybrid fall opening.</t>
  </si>
  <si>
    <t>mcmaster_2019_2</t>
  </si>
  <si>
    <t>mcmaster_2019_3</t>
  </si>
  <si>
    <t>mcmaster_2019_4</t>
  </si>
  <si>
    <t>mcmaster_2019_5</t>
  </si>
  <si>
    <t>mcmaster_2019_6</t>
  </si>
  <si>
    <t>mcmaster_2019_7</t>
  </si>
  <si>
    <t>mcmaster_2019_8</t>
  </si>
  <si>
    <t>mcmaster_2021_1</t>
  </si>
  <si>
    <t>mcmaster_2021</t>
  </si>
  <si>
    <t>The budget holds operating grant revenues flat and close to 2016/17 levels and domestic tuition is
budgeted without any inflation. The province announced its domestic tuition framework extension for
2021/22 which may lead to some in-year financial adjustments, with up to 3% inflation allowed for
out of province domestic students. International participation reached over 16% in 2019/20 and is
projected to grow up to 20% with increased diversification over the next decade. International growth
budgeted is reflective of past years realized growth, however application offers are behind past years
confirmation rates. This trend is being monitored with low risk to the net budgeted results due in part
to the delay flexibility around one-time capital investments driven from Faculty level initiatives.</t>
  </si>
  <si>
    <t>Approved capital projects, such as the expansion of the student’s athletics facilities, the McLean
Centre for Collaborative Discovery, research commercialization space, and two public-private
partnership residences are continuing as planned with a net capital expenditure of $90 million in
2021/22. Capital initiatives to support the strategic plan, such as Global Nexus, and other local Faculty
projects to support student experiential learning are included in the budget and planning years. Capital
transfers from the operating fund are included as one-time budgeted allocations confirmed each April
following the fall and winter academic year when final enrolments and annual results are known.</t>
  </si>
  <si>
    <t>The consolidated budget includes additional debt financing of $150 million to support capital and
strategic initiatives associated with McMaster’s strategic plan. The annual interest costs are budgeted
and included in the financial metrics tracked in the Annual Financial Report and reporting to the Board
of Governors. With the additional debt McMaster continues to hold very strong financial health
metrics and is rated above the province as AA stable by DBRS and S&amp;P credit rating agencies.</t>
  </si>
  <si>
    <t>In 2020/21 one Ontario university entered creditor protection due to many factors. The financial health
of this university declined over several years evidenced by the financial metrics tracked and reported
to the province. While the circumstances around this university are very different from the operations
of McMaster, the sectoral impact associated with one university entering creditor protection is not
yet clear. The province has assigned a supervisor and substantial expense cuts have been publicly
announced for this one university. Any further sectoral implications are not yet known. However, the
Ontario universities have offered the province financial health metric thresholds to assist in future
monitoring of each university and to aid in the early detection of financial erosion.</t>
  </si>
  <si>
    <t>McMaster’s enrolment demand has remained strong despite the pandemic. Global reputation and
rankings have continued to assist in attracting the best and brightest students. McMaster has been
instrumental in COVID-19 and personal protective equipment research. Overall, our evidence-based
approach to medicine and the advancement of knowledge supporting health and societal issues,
Executive Summary
6
including mental-health, remain a key strength to the student-centered research-intensive experience
McMaster uniquely offers. This budget and planning years are supported by McMaster’s strength.</t>
  </si>
  <si>
    <t>mcmaster_2021_2</t>
  </si>
  <si>
    <t>mcmaster_2021_3</t>
  </si>
  <si>
    <t>mcmaster_2021_4</t>
  </si>
  <si>
    <t>mcmaster_2021_5</t>
  </si>
  <si>
    <t>mcmaster_2021_6</t>
  </si>
  <si>
    <t>mcmaster_2022_1</t>
  </si>
  <si>
    <t>mcmaster_2022</t>
  </si>
  <si>
    <t>McMaster’s operating fund, inclusive of Faculty and support operations, has an ongoing projected
surplus of $43.6 million in 2021/22. However, after strategic and capital investments on a one-time
basis the net loss is projected as $26.4 million. Similarly, in 2022/23 the operating results have a
structural surplus of $40.2 million and a net loss after one-time strategic investments of $4.7 million.</t>
  </si>
  <si>
    <t>McMaster’s projected consolidated results for 2021/22 are structurally balanced with net surplus
across all funds of $108.1 million after capital and accrual basis adjustments of $134.9 million. The
consolidated budget for 2022/23 is also in a surplus position on an accrual basis of $137.3 million after
capital and other adjustments totaling $142.3 million.</t>
  </si>
  <si>
    <t>On a cash basis both the operating fund and the consolidated results are in deficit positions due mainly
to capital investments. Adjustments are required to report accrual basis accounting results which
translate capital spending into long term assets expensed over capital use periods. McMaster’s ability
to structurally balance and fund strategic and capital priorities demonstrates prudent financial
management instilled by McMaster’s transparent budget model that places fiscal accountabilities
with area leaders who initiate one-time investments to advance the University mission and vision.
McMaster’s budget approach continues to serve the University decision making particularly as the
pandemic has required substantial one-time investments and limited provincial funding growth
opportunities.</t>
  </si>
  <si>
    <t>In 2022/23 the University continues to advance McMaster’s greatest strategic priority the Global
Nexus for Pandemics and Biological Threats at McMaster’s Innovation Park (MIP). McMaster will also
progress MIPs major supercluster development initiative providing an additional 2.8 million square
feet of new and renovated life sciences and biomanufacturing space. Major initiatives will be mindful
of strategic ambitions relative to sustaining McMaster’s strong financial credit rating of AA (Stable).
Overall capital plans are budgeted to resume at pre-COVID levels with several Faculty driven
strategically aligned initiatives.</t>
  </si>
  <si>
    <t>Ancillary operations were hardest hit by pandemic related campus closures and have a 2021/22
projected loss of $3.4 million with total cumulative losses of $7.8 million arising over the pandemic
period. All ancillaries have planned for the resumption of normal pre-COVID activities fall 2022. In
2022/23 ancillaries have a net budgeted surplus of $3.3 million, reducing the net deficit to $4.4 million.
Ancillaries, taken together, will fully address the cumulative deficits by 2024/25.</t>
  </si>
  <si>
    <t>All other funds have sound financial plans to advance McMaster’s strategic priorities, including a
significant focus projects aligned to the United Nations Sustainable Development Goals.</t>
  </si>
  <si>
    <t>McMaster’s enrolment demand has remained strong despite the pandemic. Global reputation and
rankings have continued to assist in attracting the best and brightest students. Overall, McMaster’s
evidence-based approach to medicine and the advancement of knowledge supporting health and
societal issues, including mental-health, remain a key strength to the student-centered research-
intensive experience McMaster uniquely offers. This budget and its planning years are supported by
McMaster’s strength.</t>
  </si>
  <si>
    <t>A summary of the University’s operating fund net revenues and expenses is shown below in Figure
1. Net operating revenues have historically exceeded expense growth, due mainly to enrolment
growth and international student participation increases. The projected trend reduces the net
enrolment growth to 0.5% per year, which translates to structurally balanced annually results and a
net loss after one-time investments.</t>
  </si>
  <si>
    <t>mcmaster_2022_2</t>
  </si>
  <si>
    <t>mcmaster_2022_3</t>
  </si>
  <si>
    <t>mcmaster_2022_4</t>
  </si>
  <si>
    <t>mcmaster_2022_5</t>
  </si>
  <si>
    <t>mcmaster_2022_6</t>
  </si>
  <si>
    <t>mcmaster_2022_7</t>
  </si>
  <si>
    <t>mcmaster_2022_8</t>
  </si>
  <si>
    <t>york_2025</t>
  </si>
  <si>
    <t>york_2025_1</t>
  </si>
  <si>
    <t>This report contains the proposed Budget Plan for the next five fiscal years, 2025-26
to 2029-30, based on the University’s Shared Accountability and Resource Planning
(SHARP) budget model. The Budget Plan is guided by the current financial context and
key long-range assumptions.</t>
  </si>
  <si>
    <t>As captured in Figure 1 below, Ontario’s publicly funded universities are entering the
2025–26 budget cycle under continued financial pressure, shaped by both long-
standing structural challenges and evolving provincial priorities. Most notably, the
Government of Ontario has maintained a domestic tuition freeze since 2019, with no
adjustments for inflation, resulting in a cumulative erosion of real per-student funding
over the past six years. Concurrently, operating grants have remained flat or grown
only modestly, leaving institutions to shoulder the rising costs of salaries, benefits,
infrastructure maintenance, and essential services without commensurate increases in
core revenue streams. Further, the 2025 Ontario Budget did not include any significant
new investments in university base operating grants. Instead, it prioritized targeted
sectoral initiatives, particularly in STEM program expansion, research infrastructure,
healthcare education, micro-credentialing, and workforce alignment. While these
initiatives support important provincial objectives, they do not address the persistent
base funding gap facing all institutions (Ontario Ministry of Finance, 2025; Council of
Ontario Universities, 2025).</t>
  </si>
  <si>
    <t>Recent federal policy changes related to international student permits have introduced
additional significant financial and operational pressures for Canada’s postsecondary
institutions. The Government of Canada’s cap on international student permits, first
announced in January 2024 and further reduced in 2025, has led to a nearly 50%
decrease in approved study permits in 2024 compared to 2023. This includes the
removal of exemptions for master’s and doctoral students.</t>
  </si>
  <si>
    <t>In addition to fiscal constraints, universities face increasing demands to support
student mental health and well-being, expand access for underrepresented groups,
advance reconciliation and equity, and respond to the global climate crisis. Institutions
must also adapt to the lasting impacts of digital transformation and evolving labor
market expectations, which require ongoing investment in technology, pedagogy, and
infrastructure</t>
  </si>
  <si>
    <t>Despite these pressures, York University has continued to demonstrate resilience and
innovation through implementation of a Budget Plan that demonstrates both a
commitment to financial sustainability and academic excellence</t>
  </si>
  <si>
    <t>In this environment, budget planning for 2025–26 must strike a careful balance:
ensuring financial sustainability while protecting the core academic mission and
advancing bold, future-oriented investments. Universities will need to continue
engaging government partners, donors, and external stakeholders to align institutional
goals with societal needs while safeguarding the accessibility, quality, and impact of
Ontario's postsecondary education system. This budget reflects both the constraints
and the opportunities of the current moment—rooted in fiscal responsibility, yet
forward-looking in its commitment to student success, research excellence, and
community impact.</t>
  </si>
  <si>
    <t>york_2025_2</t>
  </si>
  <si>
    <t>york_2025_3</t>
  </si>
  <si>
    <t>york_2025_4</t>
  </si>
  <si>
    <t>york_2025_5</t>
  </si>
  <si>
    <t>york_2025_6</t>
  </si>
  <si>
    <t>York University</t>
  </si>
  <si>
    <t>nipissing_2025</t>
  </si>
  <si>
    <t>nipissing_2024</t>
  </si>
  <si>
    <t>nipissing_2024_1</t>
  </si>
  <si>
    <t>The 2024-2025 budget is foundationally strong and carefully strategic, and its certainties are built upon the work completed, the
decisions made, and results achieved in the previous two budgets. But, not surprisingly, this budget is framed and limited, too, by
fixed, externally imposed, funding constraints and by enrollment projection contingencies and specific government funded
allotments that to date remain unknown and unannounced, respectively.</t>
  </si>
  <si>
    <t>The financial results of fiscal 2022-2023 enabled a desperately needed, albeit limited, shoring up of institutional reserves, at a
time of compromised credit ratings and financial uncertainty for the University. Strategic decisions and priorities embedded in our
integrated planning and budgeting process, which included a retirement incentive plan, increased residence revenues, modest
gains in alternative revenue generation, very successful domestic and international recruitment results, and an unexpected
injection of STEM revenues from the Province led to not only the first balanced budget in ten years but, indeed, an in year
consolidated surplus realized in fiscal 2023-2024. These short strides represent a much-needed change of course towards
financial sustainability in what remains to be a climate of uncertainty based upon ongoing provincial policies of austerity towards
post-secondary education and the unforeseen consequences of federal measures restricting immigration to Canada. Importantly,
these positive fiscal results have also led to an improvement in our DBRS Credit Rating, a reinstatement of our $5M credit facility,
and, finally, a positive shift in our Ministry of Colleges and University's Financial Sustainability Metrics.</t>
  </si>
  <si>
    <t>We trust that our Strategic and Academic Planning processes invoke more certainty through the careful and strategic allocation of
resources and a measured projection of revenues in 2024-2025. Operational and Academic Planning decisions will set the
groundwork for full and consistent program review, annual assessments of academic program viability, and dedicated plans to
increase enrollments and to ensure the stability and success of our dynamic and evolving programming across our faculties in the
arts, humanities, social sciences, sciences, education, and professional studies. At the same time, we shall continue to expect
modest increases in residence revenues and alternative revenue development through food services, ancillary services, event
hosting, extended learning, fundraising, and alumni engagement.</t>
  </si>
  <si>
    <t>Our successful enrollment strategies of 2023-24 predict a strong returning class for 2024-25, tempered by our flat projections of
new enrollments both domestic and international, in part limited by the caps on international students imposed by the federal
government and the tight rates of conversions between applications and registrations levied by the provincial government. We
trust that tuition revenues, relying in the main on returning students, and alternative revenue generation, will offset the ever-
growing inflationary costs and the continuing and compounding effects of the provincial tuition freeze, now in its fifth year, in
addition to the continuing effects of what is essentially a grant freeze within the corridor funding model. 2024-25 will also be
characterized positively by a stabilization in senior leadership positions, by research investments, and a refresh of our Strategic
Enrollment Management plan as we continue to right size the University.</t>
  </si>
  <si>
    <t>While we cannot predict the real costs of the federal imposition of international tuition caps at this point, we will endeavour to
recruit towards our allotted numbers. We cannot predict with any certainty the amount of one-time funding we will receive as a
result of the provincial government’s response to the recommendations of the Blue Ribbon Panel, so we have not factored any
such revenues into the 2024-2025 budget.</t>
  </si>
  <si>
    <t>As stated in the Executive Summary of the 2023-24 budget, our priority is to secure the stability of our institution, including our
short and long term financial well-being evident in our capacity to negotiate long term loans, secure the confidence of our
creditors and potential investors, and to demonstrate our fiduciary responsibility to provincial bodies such as the Treasury Board
and the office of the Auditor General. We will, therefore, dedicate the majority of any in year surpluses to the restoration of our
reserve funds. Given the uncertainties of tuition revenues and the degree of support forthcoming from the Province, it is of
paramount importance to our institution’s future that we increase our reserve funds to at least the peak, if not exceeding, levels
extant in the previous decade. We will continue to invest responsibly and strategically towards our academic mission, while
sustaining our advocacy efforts to the provincial government with respect to appropriate levels of tuition and grant funding
support, and a fair allocation of Northern Grant investments which recognize the valuable contributions of the unique
educational experiences and research contributions of Nipissing University.</t>
  </si>
  <si>
    <t>nipissing_2024_2</t>
  </si>
  <si>
    <t>nipissing_2024_3</t>
  </si>
  <si>
    <t>nipissing_2024_4</t>
  </si>
  <si>
    <t>nipissing_2024_5</t>
  </si>
  <si>
    <t>nipissing_2024_6</t>
  </si>
  <si>
    <t>Nipissing University</t>
  </si>
  <si>
    <t>nipissing_2025_1</t>
  </si>
  <si>
    <t>The 2025-26 Nipissing University budget in general represents another stage towards sustainability and, arguably, the early material
results of implementing the Academic and Operational Plan (APOP) emanating from the Pathways Strategic Plan, and the mobilization
of its strategic elements, including enrolment through Project Integrate. In past years, due specifically to its precarious financial
position, the university has operated and budgeted within the context of extensive external audit and review processes. This year is no
different. As we prepare for the shifting accountabilities and structuring influences of Strategic Mandate Agreement 4 (SMA4), the new
government grant framework, and continued emergence from required organizational changes in response to the Office of the Auditor
General, we also became subject in the past year to new operating efficiencies and governance reviews mandated by the province. In
many respects, such audits reflect the diminishing autonomy of public universities; but we also recognize that embracing the most
appropriate recommendations of such audits and reviews will eventually bring positive outcomes.</t>
  </si>
  <si>
    <t>Without question, the greatest impact upon the 2024-25 and the 2025-26 financial position of the university is, and will be, the
unforeseen consequences of federal government policies in the past year, which have collapsed the market for international students
attending Canadian universities. These actions have directly impacted our 2024-25 financial results and, also, severely limit our
progress towards financial health in 2025-26, notably at a time when we were making significant gains towards improving the
university’s fiscal standing.</t>
  </si>
  <si>
    <t>Thankfully, budget processes are always, in part, beholden to the strengths of internal, comprehensive strategic decision making but,
in the past decade, we have experienced shrinking autonomy in determining how resources are distributed and employed. We have
been more susceptible to the external pressures of funding freezes and one-time investments that reinforce the particular economic
priorities of our provincial government. Without a provincially established, stable funding framework, and a commitment to a
permanent, equitable reallocation of the Northern Grant, we remain unable to chart with assurance a longer-term financial path for the
university. However, we have responded to ensure that we are maximizing the impacts of all government support. We have invested the
government support that we received into our Reserve Funds; as such, our investments have been very targeted and financially
prudent. We have necessarily accepted responsibility for increased alternative revenue streams, and we are taking steps towards
enhancing our academic programs and strategically modifying our structures and administrative processes to better respond to an
academic landscape that has shifted considerably over the past 20 years, one that continues to change markedly in real time. Indeed,
from pandemics, to freezes and cuts during periods of significant cost inflation, to an ever-increasing involvement by government in
university operations, the annual budgeting for Canadian universities has never been more challenging.</t>
  </si>
  <si>
    <t>The 2025-26 budget reflects a continued tuition freeze, a distinct government focus on STEM enrolment, and some support,
characterized as investment in sustainability and, as stated above, a marked decrease in international student enrolment. During this
next fiscal year, we will be working diligently to consider and implement the appropriate recommendations of NOUS Group’s Efficiency
and Accountability Review Report and the governance review of Cheryl Foy of Strategic Governance Consulting Services. We will
continue to implement our Pathways plan through the Academic and Operational Plan (APOP); we will begin to implement the
recommendations forthcoming from an Equity Audit which will steer us towards a more inclusive campus for everyone and assist us to
take steps toward Reconciliation; and, through our annual assessments of program health, we will determine what actions are
required to build sustainable programs. We will continue to generate revenues through residence occupancy, meal plans, event
hosting, the sale of merchandise, and through fundraising. And we will attempt to rebuild our international recruitment capacity, within
the challenging environment which confronts us. We remain optimistic in, and committed towards, confronting these challenges,
buoyed by our newly appraised status of “low action plan” institution, though still at high risk, in part due to careful budgeting and
long-term planning and the investment of government grant funding into our Reserves which now are projected to exceed $15M, a
marked improvement over the past several years.</t>
  </si>
  <si>
    <t>The 2023-2024 budget is best characterized as a realization of significant operational changes invoked during
the 2022-2023 fiscal year, positive shifts in enrolment projections, and successful advocacy towards the
Provincial Government for additional grant support.</t>
  </si>
  <si>
    <t>nipissing_2025_2</t>
  </si>
  <si>
    <t>nipissing_2025_3</t>
  </si>
  <si>
    <t>nipissing_2025_4</t>
  </si>
  <si>
    <t>nipissing_2023_1</t>
  </si>
  <si>
    <t>nipissing_2023</t>
  </si>
  <si>
    <t>For fiscal 2022-23, we initially projected a consolidated budget deficit of $3.2M. The real consequences of the
2022-23 projections, consistent with the previous nine years of deficit results manifested themselves in a lack
of confidence in our financial outlook on the part of KPMG, our external auditor, and TD Bank, our primary
lender. TD Bank requested we sign a General Securities Agreement and withdrew our $5M line of credit.
Subsequent to the audited financial statements for 2022-23 being released, our credit rating was also
downgraded.</t>
  </si>
  <si>
    <t>In the Winter term, 2023, several shifts occurred in our financial projections for year end. In the first instance,
due to residual impacts of the Pandemic, our domestic enrolment missed projections by approximately 200
FTEs; however, these losses were countered by an entering class of 85 international students in the January
cohort. Additionally, and not by preference, a failure to fill various vacant positions on campus resulted in
some savings.</t>
  </si>
  <si>
    <t>At the same time, we advocated for changes in the calculation of additional grants to support our Nursing
programs and received additional funding that was not budgeted for. Most significantly, in March 2023, we
learned that our advocacy efforts with the Province had been successful, leading directly to a one-time
additional Northern Grant of $3.7M. This one-time support was the major factor that enabled us to balance
the projected consolidated results.</t>
  </si>
  <si>
    <t>A balanced projection for 2022-2023 provided a baseline upon which to build the budget for 2023-2024.
As a result of significant improvements in performance across a number of university initiatives,
additional government support in Nursing, and realized cost efficiencies and budget sacrifices absorbed
across all of our units, we are presenting a balanced consolidated budget for the first time in ten years.</t>
  </si>
  <si>
    <t>This balanced budget is the direct result of the tireless efforts of many to achieve performance goals in a
number of areas previously outlined in budget and sustainability discussions with Audit &amp; Finance, the
Board, and the broader university community.</t>
  </si>
  <si>
    <t>The largest forms of revenue generation at Nipissing University emanate from tuition revenues and
government grants. The secondary, less significant but necessary forms of revenue generation are
categorized as alternative revenues. In-person recruiting, a new digital marketing campaign, and targeted
international recruitment have resulted in increased enrolment projections and incoming tuition forecasts
for the Fall and Winter terms of 2023-24. Additionally, increased funding for Nursing expansion and
support has also increased our revenue projections for the coming year.</t>
  </si>
  <si>
    <t>At the same time, over the past 18 months, we have been creating the foundations for developing and
increasing alternative revenues through initiatives related to ancillary services - including conference
services, extended learning, event hosting, food services, bookstore revenues, as well as improved
relations with Canadore College resulting in budget gains.</t>
  </si>
  <si>
    <t>We are proud of the work that has been completed across our organization to achieve a balanced budget
but, to be clear, we must work towards annual surpluses to build up our reserves, and to invest in areas of
academic and service needs as determined by our strategic planning process. Our next task will be to
develop operational plans to support these goals and to continue our extensive advocacy efforts with the
Province.</t>
  </si>
  <si>
    <t>As a primarily undergraduate Northern university, in order to ensure long-term sustainability of the
institution, we will require enhanced funding inclusive of annual inflationary increases. This could be
realized through a reallocation of the Northern Grant.</t>
  </si>
  <si>
    <t>It is, therefore, of the highest priority that we place our completed institutional financial analysis before
the Province’s Blue Ribbon Panel on Sustainability in the Post-Secondary Education Sector and advocate
for a Provincial action plan that will see the Province partner with us to secure a sustainable future for
Nipissing University.</t>
  </si>
  <si>
    <t>nipissing_2023_2</t>
  </si>
  <si>
    <t>nipissing_2023_3</t>
  </si>
  <si>
    <t>nipissing_2023_4</t>
  </si>
  <si>
    <t>nipissing_2023_5</t>
  </si>
  <si>
    <t>nipissing_2023_6</t>
  </si>
  <si>
    <t>nipissing_2023_7</t>
  </si>
  <si>
    <t>nipissing_2023_8</t>
  </si>
  <si>
    <t>nipissing_2023_9</t>
  </si>
  <si>
    <t>nipissing_2023_10</t>
  </si>
  <si>
    <t>nipissing_2023_11</t>
  </si>
  <si>
    <t>A number of factors come to bear on the 2022-23 budget, some relating to historical factors, policy decisions, funding sources and market shifts,
and others relating to the formation of a new University strategy which is based upon the foundations of transparency, the assumption of
particular fiscal responsibilities, the creation of alternative forms of revenue, program decisions, long term sustainability, and strategic planning.</t>
  </si>
  <si>
    <t>The necessary point of departure for the Board of Governors and the University is a balanced budget, year in and out, and to ensure that
Nipissing University is not only surviving but thriving 25 years from now. Nipissing University has not balanced its budget in eight years. A
number of factors have influenced this issue and continue to have a residual impact on University revenues.</t>
  </si>
  <si>
    <t>While the University has experienced challenges with tuition cuts/freezes and static corridor funding, at the same time, the University has not, in
many respects, fulfilled its responsibility for establishing and developing alternative forms of revenue that are common streams at other
universities. For example, Nipissing has resisted recruiting even modest percentages of international students during an era when the majority of
universities in Canada secured significant tuition revenues from international students. These revenues cannot be generated overnight.</t>
  </si>
  <si>
    <t>The University's endowments remain at a relatively minimal level of approximately $12m, which provides limited offsets to operational
expenses. The donation levels of both major donors and small gifts from donors and alumni remain at very low levels. Due to the significant
reductions to resources over the past eight years, various units are suffering from a staff shortage in areas particular to generating forms of
revenue, while failing to invest significantly in academic programs and program development.</t>
  </si>
  <si>
    <t>To exacerbate a particularly challenging fiscal environment, the pandemic has wreaked havoc on the University's costs and revenue generation
simultaneously.</t>
  </si>
  <si>
    <t>Nipissing University is travelling uphill to energize and establish its potential in international student recruitment, ancillary services, donations,
alumni support, and the reconfiguration of its academic structures and programs through the strategic planning process.</t>
  </si>
  <si>
    <t>Fortunately, Nipissing University does not have significant long-term debt and unmanageable costs of borrowing, nor does it have an aging
infrastructure. The 2022-23 budget demonstrates the long-term residual impacts of government policies, the unintended consequences of those
policies, and specific University decisions which have rendered the University's capacity for generating alternative revenues extremely limited.
However, this budget, albeit a deficit budget, demonstrates a more hopeful scenario for the present and the future. A deficit of any kind is
unacceptable. However, Nipissing University cannot move the Province to effect meaningful change within and beyond its boundaries in one
year. The deficit reflects the limitations imposed by the Province, but it also reflects new investments in revenue generating activities and
meaningful policy and program changes on campus.</t>
  </si>
  <si>
    <t>nipissing_2022_1</t>
  </si>
  <si>
    <t>nipissing_2022</t>
  </si>
  <si>
    <t>nipissing_2022_2</t>
  </si>
  <si>
    <t>nipissing_2022_3</t>
  </si>
  <si>
    <t>nipissing_2022_4</t>
  </si>
  <si>
    <t>nipissing_2022_5</t>
  </si>
  <si>
    <t>nipissing_2022_6</t>
  </si>
  <si>
    <t>nipissing_2022_7</t>
  </si>
  <si>
    <t>nipissing_2021</t>
  </si>
  <si>
    <t>Nipissing University is a vibrant, young, ready-to-grow 21st century university with century old roots in the
community it serves, and has a mandate to address the needs of Northern Ontario and continues to have a special
focus on serving the North in the North. It is the third largest employer in the North Bay area with a calculated
annual economic impact of $130.9 million locally, $163 million nationally, and is an essential economic driver for
the region.</t>
  </si>
  <si>
    <t>nipissing_2021_1</t>
  </si>
  <si>
    <t>As in previous years, this budget was created in collaboration with budget holders across the University. Nipissing
continues to work towards a balanced budget in order to ensure future sustainability. As a direct result of the
COVID-19 pandemic, this budget includes a $1.5M funding deficit. Through a variety of strategies, we believe that
this budget deficit can be eliminated before year end.</t>
  </si>
  <si>
    <t>As per the Province’s announcement last month, domestic tuition fees remain frozen for 2021-22. At present, we
do not have any information on the domestic tuition framework for future years. The impact of the government’s
tuition framework on Nipissing for 2021-22 is a revenue shortfall of $3 million compared to previous
projections. While we look forward to discussions with the Ministry regarding our corridor, our current
assumption is that provincial grant funding will remain as outlined in the budget documents for 2021-22.</t>
  </si>
  <si>
    <t>The COVID-19 pandemic continues to cause significant uncertainty, and it is within this context that this budget
was created. We do not know at this time what level of on-campus instruction will take place in the fall of 2021.
As a direct result of the pandemic, we forecast a revenue shortfall in ancillary operations of $1.2M and an
international tuition shortfall of $2M. In the preparation of this budget, we were able to realize cost reductions of
$1.7M to address this shortfall, and we will work towards eliminating the deficit before the end of fiscal 2022. We
will be closely monitoring the impact of the pandemic on our operations and will implement mitigation strategies
as required. A more precise estimate of COVID-19 related financial impacts will be determined in the early fall
when detailed enrolment rates are known. A budget update will be submitted to the Board of Governors at that
time.</t>
  </si>
  <si>
    <t>Over the next several months, we will continue our work to implement sustainability strategies to increase and
diversify our revenue streams. These strategies will include such things as internationalization, strategic
enrolment, research revenue, continuing education/micro-credentials, conference services and fundraising plans.
We will also continue our work on cost containment across all areas of the University. In September 2021, we will
provide the Board of Governors with a detailed plan to bring the Operating/Ancillary budget into balance.</t>
  </si>
  <si>
    <t>nipissing_2021_2</t>
  </si>
  <si>
    <t>nipissing_2021_3</t>
  </si>
  <si>
    <t>nipissing_2021_4</t>
  </si>
  <si>
    <t>nipissing_2021_5</t>
  </si>
  <si>
    <t>nipissing_2020_1</t>
  </si>
  <si>
    <t>nipissing_2020</t>
  </si>
  <si>
    <t xml:space="preserve">Nipissing University is a vibrant, young, ready-to-grow 21st century university with century old roots in the community it serves, and has a mandate to address the needs of Northern Ontario and continues to have a special focus on serving the North in the North. It is the third largest employer in the North Bay area with a calculated annual economic impact of $130.9 million locally, $163 million nationally, and is an essential economic driver for the region. </t>
  </si>
  <si>
    <t>The following budget submission has been prepared with input from across the university as we continue to work towards a balanced budget, which has been a focus over the past 5 years. Before we learned of the Province’s tuition reduction/freeze, we were projecting a modest surplus in our Operating Fund of $1.7M for 2020-21. While we continue to work towards balancing the operating budget, this report highlights that the University continues to budget a funding deficit.</t>
  </si>
  <si>
    <t>As per the Province’s announcement last year, domestic tuition fees, which were rolled back 10% in 2019-20, will remain frozen for 2020-21. At present, we do not have any information on the domestic tuition framework for future years. The impact of the government’s tuition framework for 2019-20 and 2020-21 was a revenue shortfall of $3.5 million in 2019-20 and $4.2 million in 2020-21 compared to the budget projections at that time. While we await the Provincial Budget later this spring, our current assumption is that provincial grant funding will remain as outlined in the budget documents for 2020-21.</t>
  </si>
  <si>
    <t>As the COVID-19 pandemic has created economic and social turmoil, we expect financial implications will continue to evolve over the coming months. The Ontario post-secondary education sector is experiencing uncertainties including concerns about fall 2020 enrollment levels (in particular international enrollments).</t>
  </si>
  <si>
    <t xml:space="preserve">
We are proposing that we continue with the budget recommendations in this document with the understanding that we will need to re- align expenditures to match revenues over the next several months. We will be closely monitoring the impact of the pandemic on our operations and will implement mitigation strategies as required. A more precise estimate of COVID-19 related financial impacts will be determined in the early fall when detailed enrollment rates are known. At that time, a budget update will be submitted to the Board of Governors.</t>
  </si>
  <si>
    <t>nipissing_2020_2</t>
  </si>
  <si>
    <t>nipissing_2020_3</t>
  </si>
  <si>
    <t>nipissing_2020_4</t>
  </si>
  <si>
    <t>nipissing_2020_5</t>
  </si>
  <si>
    <t>queens_2017_4</t>
  </si>
  <si>
    <t>queens_2017_5</t>
  </si>
  <si>
    <t>queens_2017_7</t>
  </si>
  <si>
    <t>queens_2018_3</t>
  </si>
  <si>
    <t>queens_2018_4</t>
  </si>
  <si>
    <t>queens_2018_5</t>
  </si>
  <si>
    <t>queens_2018_8</t>
  </si>
  <si>
    <t>queens_2019_3</t>
  </si>
  <si>
    <t>queens_2019_4</t>
  </si>
  <si>
    <t>queens_2020_1</t>
  </si>
  <si>
    <t>queens_2020_2</t>
  </si>
  <si>
    <t>queens_2020_3</t>
  </si>
  <si>
    <t>queens_2020_4</t>
  </si>
  <si>
    <t>queens_2020_7</t>
  </si>
  <si>
    <t>queens_2021_3</t>
  </si>
  <si>
    <t>queens_2021_6</t>
  </si>
  <si>
    <t>queens_2023_6</t>
  </si>
  <si>
    <t>queens_2025_5</t>
  </si>
  <si>
    <t>uoft_2017_1</t>
  </si>
  <si>
    <t>uoft_2017_3</t>
  </si>
  <si>
    <t>uoft_2017_4</t>
  </si>
  <si>
    <t>uoft_2017_5</t>
  </si>
  <si>
    <t>uoft_2017_7</t>
  </si>
  <si>
    <t>uoft_2017_9</t>
  </si>
  <si>
    <t>uoft_2017_12</t>
  </si>
  <si>
    <t>uoft_2017_13</t>
  </si>
  <si>
    <t>uoft_2017_16</t>
  </si>
  <si>
    <t>uoft_2017_18</t>
  </si>
  <si>
    <t>uoft_2018_1</t>
  </si>
  <si>
    <t>uoft_2018_2</t>
  </si>
  <si>
    <t>uoft_2018_4</t>
  </si>
  <si>
    <t>uoft_2018_9</t>
  </si>
  <si>
    <t>uoft_2018_10</t>
  </si>
  <si>
    <t>uoft_2018_11</t>
  </si>
  <si>
    <t>uoft_2018_12</t>
  </si>
  <si>
    <t>uoft_2018_13</t>
  </si>
  <si>
    <t>uoft_2018_15</t>
  </si>
  <si>
    <t>uoft_2018_16</t>
  </si>
  <si>
    <t>uoft_2018_18</t>
  </si>
  <si>
    <t>uoft_2018_20</t>
  </si>
  <si>
    <t>uoft_2018_23</t>
  </si>
  <si>
    <t>uoft_2019_1</t>
  </si>
  <si>
    <t>uoft_2019_2</t>
  </si>
  <si>
    <t>uoft_2019_3</t>
  </si>
  <si>
    <t>uoft_2019_5</t>
  </si>
  <si>
    <t>uoft_2019_6</t>
  </si>
  <si>
    <t>uoft_2019_8</t>
  </si>
  <si>
    <t>uoft_2020_1</t>
  </si>
  <si>
    <t>uoft_2020_3</t>
  </si>
  <si>
    <t>uoft_2020_4</t>
  </si>
  <si>
    <t>uoft_2020_7</t>
  </si>
  <si>
    <t>uoft_2020_8</t>
  </si>
  <si>
    <t>uoft_2020_10</t>
  </si>
  <si>
    <t>uoft_2021_1</t>
  </si>
  <si>
    <t>uoft_2021_2</t>
  </si>
  <si>
    <t>uoft_2021_3</t>
  </si>
  <si>
    <t>uoft_2021_4</t>
  </si>
  <si>
    <t>uoft_2021_5</t>
  </si>
  <si>
    <t>uoft_2021_7</t>
  </si>
  <si>
    <t>uoft_2021_10</t>
  </si>
  <si>
    <t>uoft_2021_11</t>
  </si>
  <si>
    <t>uoft_2021_14</t>
  </si>
  <si>
    <t>uoft_2021_17</t>
  </si>
  <si>
    <t>uoft_2022_1</t>
  </si>
  <si>
    <t>uoft_2022_2</t>
  </si>
  <si>
    <t>uoft_2022_3</t>
  </si>
  <si>
    <t>uoft_2022_4</t>
  </si>
  <si>
    <t>uoft_2022_5</t>
  </si>
  <si>
    <t>uoft_2022_6</t>
  </si>
  <si>
    <t>uoft_2022_7</t>
  </si>
  <si>
    <t>uoft_2022_9</t>
  </si>
  <si>
    <t>uoft_2022_12</t>
  </si>
  <si>
    <t>uoft_2022_13</t>
  </si>
  <si>
    <t>uoft_2022_15</t>
  </si>
  <si>
    <t>uoft_2022_18</t>
  </si>
  <si>
    <t>uoft_2022_20</t>
  </si>
  <si>
    <t>uoft_2022_23</t>
  </si>
  <si>
    <t>uoft_2023_1</t>
  </si>
  <si>
    <t>uoft_2023_3</t>
  </si>
  <si>
    <t>uoft_2023_2</t>
  </si>
  <si>
    <t>uoft_2023_4</t>
  </si>
  <si>
    <t>uoft_2023_5</t>
  </si>
  <si>
    <t>uoft_2023_7</t>
  </si>
  <si>
    <t>uoft_2023_8</t>
  </si>
  <si>
    <t>uoft_2023_9</t>
  </si>
  <si>
    <t>uoft_2023_10</t>
  </si>
  <si>
    <t>uoft_2023_11</t>
  </si>
  <si>
    <t>uoft_2023_13</t>
  </si>
  <si>
    <t>uoft_2023_16</t>
  </si>
  <si>
    <t>uoft_2023_17</t>
  </si>
  <si>
    <t>uoft_2023_18</t>
  </si>
  <si>
    <t>uoft_2023_20</t>
  </si>
  <si>
    <t>uoft_2023_21</t>
  </si>
  <si>
    <t>uoft_2023_22</t>
  </si>
  <si>
    <t>uoft_2023_24</t>
  </si>
  <si>
    <t>uoft_2023_25</t>
  </si>
  <si>
    <t>uoft_2024_1</t>
  </si>
  <si>
    <t>uoft_2024_2</t>
  </si>
  <si>
    <t>uoft_2024_5</t>
  </si>
  <si>
    <t>uoft_2024_6</t>
  </si>
  <si>
    <t>uoft_2024_7</t>
  </si>
  <si>
    <t>uoft_2024_9</t>
  </si>
  <si>
    <t>uoft_2024_10</t>
  </si>
  <si>
    <t>uoft_2024_13</t>
  </si>
  <si>
    <t>uoft_2024_16</t>
  </si>
  <si>
    <t>uoft_2024_19</t>
  </si>
  <si>
    <t>uoft_2024_20</t>
  </si>
  <si>
    <t>uoft_2024_22</t>
  </si>
  <si>
    <t>uoft_2024_23</t>
  </si>
  <si>
    <t>uoft_2024_24</t>
  </si>
  <si>
    <t>uoft_2024_25</t>
  </si>
  <si>
    <t>uoft_2024_26</t>
  </si>
  <si>
    <t>uoft_2024_27</t>
  </si>
  <si>
    <t>uoft_2024_28</t>
  </si>
  <si>
    <t>uoft_2024_30</t>
  </si>
  <si>
    <t>uoft_2024_35</t>
  </si>
  <si>
    <t>uoft_2024_36</t>
  </si>
  <si>
    <t>uoft_2024_37</t>
  </si>
  <si>
    <t>uoft_2025_8</t>
  </si>
  <si>
    <t>uoft_2025_9</t>
  </si>
  <si>
    <t>uoft_2025_10</t>
  </si>
  <si>
    <t>uoft_2025_11</t>
  </si>
  <si>
    <t>uoft_2025_12</t>
  </si>
  <si>
    <t>uoft_2025_13</t>
  </si>
  <si>
    <t>uoft_2025_14</t>
  </si>
  <si>
    <t>uoft_2025_15</t>
  </si>
  <si>
    <t>uoft_2025_17</t>
  </si>
  <si>
    <t>uoft_2025_19</t>
  </si>
  <si>
    <t>uoft_2025_20</t>
  </si>
  <si>
    <t>uoft_2025_21</t>
  </si>
  <si>
    <t>uoft_2025_22</t>
  </si>
  <si>
    <t>uoft_2025_24</t>
  </si>
  <si>
    <t>uoft_2025_25</t>
  </si>
  <si>
    <t>uoft_2025_27</t>
  </si>
  <si>
    <t>uoft_2025_29</t>
  </si>
  <si>
    <t>uoft_2025_31</t>
  </si>
  <si>
    <t>uoft_2025_32</t>
  </si>
  <si>
    <t>uoft_2025_33</t>
  </si>
  <si>
    <t>uoft_2025_34</t>
  </si>
  <si>
    <t>uoft_2025_39</t>
  </si>
  <si>
    <t>uoft_2025_40</t>
  </si>
  <si>
    <t>uoft_2025_41</t>
  </si>
  <si>
    <t>uoft_2025_42</t>
  </si>
  <si>
    <t>windsor_2019_1</t>
  </si>
  <si>
    <t>windsor_2019_2</t>
  </si>
  <si>
    <t>windsor_2019_3</t>
  </si>
  <si>
    <t>windsor_2019_4</t>
  </si>
  <si>
    <t>windsor_2019_7</t>
  </si>
  <si>
    <t>windsor_2025_3</t>
  </si>
  <si>
    <t>carleton_2019_1</t>
  </si>
  <si>
    <t>carleton_2019_3</t>
  </si>
  <si>
    <t>carleton_2019_4</t>
  </si>
  <si>
    <t>carleton_2019_6</t>
  </si>
  <si>
    <t>carleton_2020_1</t>
  </si>
  <si>
    <t>carleton_2020_2</t>
  </si>
  <si>
    <t>carleton_2020_3</t>
  </si>
  <si>
    <t>carleton_2021_1</t>
  </si>
  <si>
    <t>carleton_2021_3</t>
  </si>
  <si>
    <t>carleton_2021_5</t>
  </si>
  <si>
    <t>carleton_2022_3</t>
  </si>
  <si>
    <t>carleton_2022_4</t>
  </si>
  <si>
    <t>carleton_2022_6</t>
  </si>
  <si>
    <t>carleton_2023_1</t>
  </si>
  <si>
    <t>carleton_2023_2</t>
  </si>
  <si>
    <t>carleton_2023_6</t>
  </si>
  <si>
    <t>carleton_2023_7</t>
  </si>
  <si>
    <t>carleton_2023_8</t>
  </si>
  <si>
    <t>carleton_2023_9</t>
  </si>
  <si>
    <t>carleton_2024_1</t>
  </si>
  <si>
    <t>carleton_2024_8</t>
  </si>
  <si>
    <t>carleton_2025_7</t>
  </si>
  <si>
    <t>carleton_2025_8</t>
  </si>
  <si>
    <t>carleton_2025_10</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</si>
  <si>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are discussions with each university within the Strategic Mandate Agreement (SMA) process to negotiate what, if any growth funding will be available for both flow-through growth on previous expansion and new programs that in good faith were submitted and approved and will begin within the period covered by this SMA period (2017-18 through to 2019-20). </t>
  </si>
  <si>
    <t>For the purposes of this budget the assumption was made that the negotiations with the Ministry on the funding of both flow through growth and new growth that was included in the budget would be successful and therefore the revenues related to the growth over and above the 2016-17 actual enrolment level has been included but is a possible risk to the budget. The monetary risk to the budget in 2017-18 is $1.5M. </t>
  </si>
  <si>
    <t>The government announced a four-year tuition framework in March 2013. This limited tuition fee growth to an institutional average of 3%. This tuition framework was due to expire after 2016-17. In December 2016, MAESD announced a extension of the same tuition framework for an additional two years. For the purposes of this budget the same tuition framework was assumed for the 2019-20 year as no better information is available. </t>
  </si>
  <si>
    <t>During 2017-18, the Ministry of Advanced Education and Skills Development (MAESD) began the implementation of a new funding model that includeds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 </t>
  </si>
  <si>
    <t>As part of the implementation of the new grant funding formula for universities, the Ministry committed to at a minimum maintain the 2016-17 funding level for all universities for the duration of the second round of Strategic Mandate Agreements (SMA) which encompasses 2017-18 to 2019-20. The Ministry has re-introduced the enrolment corridor funding methodology which would ensure grant revenue remains constant if enrolment remains within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 </t>
  </si>
  <si>
    <t>The Ministry has allocated one-time only funding for 2017-18 relating to the flow through growth. For the purposes of this budget the assumption was made that this one-time funding would be included in the base funding for 2018-19 onward. No growth beyond the 2017-18 enrolment level has been assumed in government grant. The inclusion of the one-time only 2017-18 funding is a possible risk to the budget. The monetary risk to the budget in 2018-19 is $1.9M. For the SMA 2 period all funding within the differentiation bin is being allocated based on enrolment. The intent of the Ministry is that these funds will be distributed based on outcomes based metrics for SMA 3 which will start in 2020-21 assuming there is no change in policy.</t>
  </si>
  <si>
    <t>Previously, all institutions were requested to move to approving tuition fees two years ahead to facilitate the implementation of net-tuition billing. As a result, we had intended on bringing fees for 2019-20 to March board. However, due to the delay in the announcement of the next tuition framework we have post-poned the approval of the fees for 2019-20 until the Ministry announces what the new tuition framework will be for 2019-20. </t>
  </si>
  <si>
    <t>During 2017-18, the Ministry of Training, Colleges and Universities (MTCU)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</si>
  <si>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As part of the implementation of the new grant funding formula for universities, the Ministry
committed to at a minimum maintain the 2016-17 funding level for all universities for the duration of
the second round of SMA which concludes in 2019-20. The Ministry has re-introduced the enrolment
corridor funding methodology which would ensure grant revenue remains constant if enrolment
remains within +/- 3% of the enrolment mid-point (initially being set at the 2016-17 level). In parallel,
there were discussions with each university within the SMA 2 process to negotiate what, if any growth
funding will be available for both flow-through growth on previous expansion and new programs that
in good faith were submitted and approved and will begin within the period covered by this SMA
period (2017-18 through to 2019-20).</t>
  </si>
  <si>
    <t>Subsequent to the March board meeting, the finalization and approval of the 2020-21 budget was
altered as the University found itself grappling with the impacts of the COVID-19 crisis. The total effects
of this pandemic were not yet fully understood, and the exact end state of the emergency measures
were very much unknown. Nevertheless, the emergency measures in place and on-going physical
distancing requirements were expected to impact University operations.</t>
  </si>
  <si>
    <t>Given the fluidity of the situation and the uncertainty of the impact on operations at the time, the
Board was asked to approve the 2020-21 budget developed in detail prior to COVID-19. The Principal
and Vice-Chancellor and the Provost and Vice-principal (Academic) presented the alternate enrolment
scenarios to the Board at the May meeting, along with the potential budget implications.
Subsequently, the University continued to monitor the situation and once better information was
available over the summer and into September 2020 on enrolments and other budget impacts, an
update was provided to the Board at the September 25th, 2020 meeting of the Capital Assets and
Finance committee.</t>
  </si>
  <si>
    <t>The committee was presented with information demonstrating that, overall, operating revenue was
not expected to be significantly different than what was projected in the previously approved budget;
therefore, no changes were recommended for the 2020-21 budget. Any variances to the budget are to
be reported in the regular financial updates to the Board in the December 2020, March 2021, and May
2021 meetings.</t>
  </si>
  <si>
    <t>As a result, the remainder of this document is prepared to document the 2020-21 budget approved by
the Board describing the process and other aspects related to areas such as, student financial
assistance, compensation, investment, capital, pension, research, trust and endowment, and ancillary
operations all planned in a pre-COVID context.</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</si>
  <si>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bin which is linked to enrolment, a quality and differentiation bin
which has outcomes based metrics linked to it, and a special purposes bin which contains targeted
grants for initiatives such as disability supports, French language, clinical programs etc.</t>
  </si>
  <si>
    <t>During 2018-19, the Ministry of Colleges and Universities (MCU) began the implementation of a new
funding model that includes a framework under which future grant funding may be more strongly
linked to outcomes, rather than solely to enrolment. This resulted in the creation of three funding
“bins” for universities: An enrolment envelope which is linked to enrolment, a performance/outcomesbased
envelope which has outcomes based metrics linked to it, and a special purposes envelope which
contains targeted grants for initiatives such as disability supports, French language, clinical programs
etc.</t>
  </si>
  <si>
    <t>On April 30, 2021, the Ministry announced the tuition framework for 2021-22. The framework
continues the previously announced framework with a tuition freeze at the 2020-21 levels for
domestic funding-eligible programs, except the framework permits increasing tuition for domestic outof-
province students by up to three percent. Due to the timing of the announcement, the budget
presented here does not reflect the impact of any such increases the university may subsequently elect
to introduce. For 2021-22, the budget appropriately assumes a 0% increase for domestic fundingeligible
programs. Tuition fees will be adjusted based on any changes to the tuition framework beyond
2021-22.</t>
  </si>
  <si>
    <t>The province made a number of announcements late in fiscal year 2022-23, applicable to future years,
which are outlined in the Government Grant section of this report. These announcements confirm
activation of performance-based funding linked to SMA3 to start in 2023-24 at a system-wide
proportion of ten per cent for Year 4 (2023-24). However, additional funding has been announced
linked to growth in the undergraduate and postgraduate medical spaces and nursing spaces which is
expected to be provided outside of the corridor and performance-based funding envelopes.</t>
  </si>
  <si>
    <t>On January 5, 2024, the ministry confirmed that at steady state, Queen’s University will be allocated 34
new undergraduate and 40 new postgraduate positions as part of the expansion of medical education
in Ontario. This enrolment and associated grant revenue is outside of the corridor and performancebased
funding envelopes and is incorporated into the enrolment plans and operating budget.</t>
  </si>
  <si>
    <t>Canada, and the world, is facing considerable political, immigration and trade uncertainty with the new US administration, the UK’s withdrawal from the European Union, and rising European populism. Much remains to be seen in terms of the impact on Canadian universities.</t>
  </si>
  <si>
    <t>The Province of Ontario is undergoing a shift in its approach to funding universities and colleges. In 2013 the Province of Ontario released its differentiation policy framework with the goal of shifting the focus away from funding based primarily on enrolment growth, reducing unnecessary duplication and ensuring institutional mandates align with government priorities. The differentiation framework is being operationalized through the introduction of a Strategic Mandate Agreement for each institution, which “outlines the role the University currently performs in Ontario’s postsecondary education system and how it will build on its current strengths to achieve its vision and help drive system-wide objectives and government priorities.” Future funding is expected to be increasingly directed towards achievement of excellence metrics, rather than enrolment numbers.</t>
  </si>
  <si>
    <t>The Province of Ontario is entering a period of significant decline in the 18-20 year-old population, primarily in the northern part of the province where the government has expressed concern about the sustainability of universities. In the Greater Toronto Area, projections for this age group call for a slight decline to 2021 and growth of over 20% to 2035. As a result of these demographics, undergraduate growth across the province will be more closely managed, likely through negotiated undergraduate targets; this is a noteworthy departure from the relatively unrestricted approach to undergraduate growth in the last decade.</t>
  </si>
  <si>
    <t>In 2014 the University of Toronto negotiated its first Strategic Mandate Agreement (SMA1) with the Ministry of Advanced Education and Skills Development (MAESD). SMA1 recognized the University’s strength across a broad array of programs and included an allocation of graduate expansion spaces and conversion of undergraduate teacher education spaces to additional graduate teacher education spaces. SMA1 continued to rely on enrolment growth as the key driver (&gt; 90% at UofT) for provincial grant allocations. SMA1 will conclude on April 30, 2017; discussions have begun with MAESD on SMA2, which will cover the 3-year period 2017-18 to 2019-20.</t>
  </si>
  <si>
    <t>The government has suggested that the new formula will likely include three envelopes:
1. The core operating grant, linked to enrolment
2. The differentiation envelope, linked to SMA metrics
3. Special purpose grants</t>
  </si>
  <si>
    <t>For the 2016-17 academic year, across an undergraduate population of 61,000 undergraduate students (FTEs), actual results came within 152 FTE of plan, a variance of 0.2%, spread across all three campuses. Our plans call for UTM to increase undergraduate enrolment by about 500 FTE over the next three years and then hold steady for a period after that; UTSC plans growth of about 1,000 undergraduate students over the next five years; the St. George campus is projecting a decline of about 500 FTE in undergraduate enrolment over five years, all as specified in the University’s Towards 2030 plan. The growth will be accompanied by considerable capital investment and faculty hiring at the three campuses.</t>
  </si>
  <si>
    <t>A full discussion of tuition fees is contained in the annual Tuition Fee Report 2017-18, and a full discussion of student assistance in the annual Student Aid Report 2015-16, both which accompany this report when presented to the Business Board of Governing Council. It should be noted that the 2015-16 year is the most recent year for which the University and the province have complete information on student assistance. Key highlights of the reports are noted below.</t>
  </si>
  <si>
    <t>Tuition fees at the University of Toronto are determined in accordance with the University’s Tuition Fee Policy, the Statement of Commitment Regarding International Students and the Provincial Government’s Tuition Framework which ran for a four-year period to 2016-17 and was recently extended to 2018-19. The long range budget projections assume the provincial Tuition Framework will remain unchanged over the final three years of the planning period.</t>
  </si>
  <si>
    <t>The 2016 Ontario budget announced a fundamental restructuring of the provincial financial aid system, to begin in 2017-18. These changes are discussed later in this report.</t>
  </si>
  <si>
    <t>In the 2014 federal budget, the government positioned postsecondary research within their Science, Technology and Innovation strategy. The federal budget announced the creation of the Canada First Research Excellence Fund (CFREF), a $1.5 billion fund over ten years. The objective of the fund is to “help Canada’s postsecondary institutions excel globally in research areas that create long-term economic advantages for Canada.” In July 2015 the University of Toronto was awarded the largest research grant in our history under the CFREF program. The $114 million grant is spread over seven years, whereby the University and its partners, which include the Hospital for Sick Children, the University Health Network, and Mount Sinai Hospital to deliver a new program, called Medicine by Design. The initiative and the funding build on years of support for U of T’s regenerative medicine researchers from federal granting councils, the Canada Foundation for Innovation and support from the Canada Research Chairs and Canada Excellence Research Chairs programs. The University did not receive funding in the second round of CFREF awards.</t>
  </si>
  <si>
    <t>The Canadian economy grew strongly in 2017. Global economic growth continues to strengthen, and the US economy remains robust. Still, Canada remains subject to considerable political, immigration and trade uncertainty, including uncertainty regarding the outcome of ongoing NAFTA renegotiations. Much remains to be seen in terms of the impact on Canadian universities.</t>
  </si>
  <si>
    <r>
      <t>The Bank of Canada Monetary Policy report released in January 2018</t>
    </r>
    <r>
      <rPr>
        <sz val="7"/>
        <color theme="1"/>
        <rFont val="Calibri"/>
        <family val="2"/>
      </rPr>
      <t xml:space="preserve">3 </t>
    </r>
    <r>
      <rPr>
        <sz val="11"/>
        <color theme="1"/>
        <rFont val="Calibri"/>
        <family val="2"/>
      </rPr>
      <t>projects ongoing growth in economic activity in Canada, with modest growth in real GDP of 2.2% in 2018 and 1.6% in 2019. Inflation is expected to remain close to 2% over the planning period. </t>
    </r>
  </si>
  <si>
    <t>The Province of Ontario is entering a period of decline in the 18-20 year-old population, primarily in the northern part of the province where the government has expressed concern about the sustainability of universities. In the Greater Toronto Area, projections call for a slight decline in this age group to 2021, followed by a period of growth of approximately 20% to 2036. As a result of these demographics, undergraduate growth across the province will be more closely managed through negotiated enrolment targets; this is a noteworthy departure from the relatively unrestricted approach to undergraduate growth in the last decade.</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</si>
  <si>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t>
  </si>
  <si>
    <t>The agreement begins the transition to the new funding framework, including stable funding for enrolment within a negotiated enrolment corridor. Funding for enrolment will remain stable provided the University maintains a five-year average enrolment within ±3% of its negotiated target.</t>
  </si>
  <si>
    <t>In addition, the University will receive differentiation funding tied to performance in priority areas such as student experience; innovation, economic development and community engagement; research excellence and impact; access and equity; and innovative teaching. The differentiation envelope will be revenue-neutral throughout the period of SMA2 (2017-2020) while the Province consults with the sector to refine metrics and targets, which will be tied to funding for SMA3 (2020-2023).</t>
  </si>
  <si>
    <t>Fall 2017 undergraduate enrolment results came within just 1 FTE of plan, a variance of 0.002% across all three campuses. This reflects the net impact of a positive variance of 815 (+6.1%) in international enrolment, offset by a negative variance of 814 (-1.7%) in domestic enrolment versus the 2017-18 budget plan. Domestic enrolment growth targets for 2017-18 were set before the outcome of SMA2 negotiations was known.</t>
  </si>
  <si>
    <t>Plans call for undergraduate enrolment growth of 600 FTE (domestic and international students) over the next five years at each of UTM and UTSC; the St. George campus is projecting a decline of about 1,700 FTE over the same period, all as specified in the University’s Towards 2030 plan. Domestic enrolment will be held roughly constant until 2019-20 at UTM and UTSC, and reduced at the St. George campus, as specified in SMA2. Plans call for International enrolment growth of 1,142 FTE at all three campuses over the planning period.</t>
  </si>
  <si>
    <t>The SMA2 establishes an enrolment planning framework for the next three years, including funding for 631 new master’s and 198 new doctoral student spaces by Fall 2019. In response to Ontario’s changing demographics, the University and Province have also agreed to a reduction of 1,800 domestic undergraduate spaces at the St. George Campus. Domestic undergraduate enrolment at the University of Toronto Scarborough and University of Toronto Mississauga will be held constant at current levels over the period of the agreement. </t>
  </si>
  <si>
    <t>Tuition fees at the University of Toronto are determined in accordance with the University’s Tuition Fee Policy, the Statement of Commitment Regarding International Students, and the provincial government’s Tuition Fee Framework 2013-14 to 2016-17, which has been extended to 2018-19 to support a major reform in OSAP. The long range budget projections assume the current Tuition Fee Framework will remain unchanged in 2019-20 and beyond.</t>
  </si>
  <si>
    <t>At the University of Toronto approximately 55% of full time domestic undergraduate students receive support from the provincial needs-based assistance program (OSAP). Within that population many students also receive funding from the University’s need-based financial aid program, called University of Toronto Advanced Planning for Students (UTAPS). When taking all of these grant and bursary programs (not loans) into consideration, OSAP-eligible students in 2016-17 paid, on average, just 47% of the posted tuition rate.</t>
  </si>
  <si>
    <t>In November of 2017, the federal Minister of Science announced a series of changes to the Canada Research Chairs program, including a revised distribution of Chairs across the three federal research granting councils. This change resulted in an increased allocation of Chairs to the University of Toronto and its affiliated hospital partners. The University of Toronto CRC Equity, Diversity, and Inclusion Action Plan will guide our efforts in ensuring the representation of individuals from the federally designated groups — persons with disabilities, Indigenous peoples, visible minorities and women — among our Canada Research Chairholders.</t>
  </si>
  <si>
    <t>A new Progressive Conservative government was sworn in at
Queen’s Park in June 2018. The new government immediately
established an Independent Financial Commission of Inquiry
to evaluate the previous government’s accounting practices and
update the Province’s baseline fiscal outlook. The Commission
reported a deficit of $15 billion for 2018–19, up from the
$6.7 billion planned deficit in the Provincial Budget 2018.</t>
  </si>
  <si>
    <t>The new government also engaged EY Canada to conduct a
line-by-line audit of provincial spending, spanning 15 years of
expenditures in both the public service and transfer payments
to broader public sector organizations. The review concluded
that expenditures had grown by 3.0% annually in real terms,
and that the pace of growth exceeded the rate of population
growth in the province.</t>
  </si>
  <si>
    <t>According to Ontario’s fall economic outlook, the government
is now projecting a deficit of $14.5 billion for 2018–19, which
represents a positive variance of $0.5 billion from the report
of the Commission in August 2018. This change is a result
of $3.2 billion in program savings, offset by $2.7 billion
in tax reductions, including the elimination of the previous
government’s cap-and-trade program.</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</si>
  <si>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unregulated, and will therefore be
unaffected. The announcement represents a reduction of
approximately $65 million in budgeted revenue over 2018–19.</t>
  </si>
  <si>
    <t>At the same time, the Minister of Training, Colleges and
Universities announced a new framework for ancillary fees.
Changes to the ancillary fee framework will allow students to
opt-out of the fees that fund some services and activities, while
protecting fees that fund mandatory core services and facilities
such as athletics, recreation, and health and counselling
services. At the time of writing this report, details have not
been provided regarding which specific fees will fall into each
of these categories.</t>
  </si>
  <si>
    <t>Fiscal year 2019–20 is the third and final year of the University’s (SMA2)4. The SMA2 sets out a multi-year enrolment plan,
including funding for 631 new master’s and 198 new doctoral
student spaces by Fall 2019. In response to Ontario’s changing
demographics, the University and the Province agreed to reduce
domestic undergraduate enrolment by 1,800 domestic students
at the St. George Campus, and to hold constant the level of
domestic undergraduate enrolment at the University of Toronto
Scarborough and University of Toronto Mississauga over the
period of the agreement. Enrolment funding will remain stable
through 2019–20 provided the University maintains a five-year
average enrolment within ±3% of its negotiated target.
current Strategic Mandate Agreement with the Province</t>
  </si>
  <si>
    <t>According to Ontario’s fall economic outlook, the government is projecting a deficit of $9.0 billion for 2019-20, which represents a positive variance of $1.3 billion from the deficit target set out in the 2019 Provincial Budget. This change is primarily due to economic growth and higher than planned tax revenues.</t>
  </si>
  <si>
    <t>On January 17, 2019, the Ontario government announced a 10 per cent cut to domestic tuition fees beginning in 2019-20, and a freeze at that level for 2020-21. The tuition fee reduction applies to domestic students enrolled in all programs that are funded via the provincial operating grant, including direct entry undergraduate, second entry and professional master’s, and doctoral stream programs. Tuition paid by international students is unaffected. The announcement represents a reduction of $113 million in projected domestic fee revenue for 2020-21 relative to the previous long range budget guidelines that assumed the former tuition framework would remain in place.</t>
  </si>
  <si>
    <t>At the same time, the Minister of Colleges and Universities announced a new framework for ancillary fees. Changes to the ancillary fee framework allowed students to opt-out of incidental fees that fund some services and activities, while protecting fees that fund mandatory core services and facilities such as athletics, recreation, and health and counselling services. This new provision, called the “Student Choice Initiative” was implemented in Fall 2019. In November 2019, Ontario’s Divisional Court struck down this new provision in the ancillary fee framework, finding it inconsistent with universities’ autonomous governance. At the time of writing this report, an appeal of this decision is pending. At this time, incidental fees are being assessed for Winter 2020 for all students. For students who opted-out prior to the system suspension on November 25, the University is awaiting the court’s decision.</t>
  </si>
  <si>
    <t>Fiscal year 2020-21 will be the first year of the University’s third Strategic Mandate Agreement with the Province (SMA3). In the 2019 Ontario Budget, the Government announced that an increased percentage of funding for colleges and universities will be tied to performance outcomes. Under SMA3, performance based funding will gradually rise from 25 per cent of total Provincial operating grants (5.6% of total revenue) in 2020-21 to 60 per cent of operating grants (11.7% of total revenue) by 2024-25. Funding will be conditional on achieving performance targets on a series of metrics.</t>
  </si>
  <si>
    <t>The number of performance indicators will be phased in, from six in 2020-21 to 10 in 2024-25. Targets will be established by the Ministry based on previous performance, taking into consideration the variability of performance in recent years. Performance metrics include six measures of graduate skills and job outcomes, and four measures of economic and community impact. They include:
•
Graduate Employment Rate in a Related Field
•
Enrolment in Areas of Institutional Strength/Focus
•
Graduation Rate
•
Experiential Learning
•
Graduate Employment Earnings
•
Skills and Competencies
•
Community/Local Impact
•
Economic Impact
•
Research Funding and Capacity: Federal Tri-Agency Funding Secured
•
Innovation: Research Revenue from Private Sector Sources</t>
  </si>
  <si>
    <t>The SMA3 will also set out a multi-year enrolment plan. In response to Ontario’s changing demographics, the University and the Province have agreed to hold constant the level of funding for domestic undergraduate enrolment at the University of Toronto over the period of the agreement. Enrolment funding will remain stable through 2024-25 provided the University maintains a five-year average enrolment within ±3% of its enrolment target.</t>
  </si>
  <si>
    <t>Last year’s budget was developed prior to the outbreak of COVID-19, and was based on assumptions of normal levels of enrolment and on-campus activity. Despite the significant uncertainty created by the COVID-19 pandemic, the University was able to successfully deliver the vast majority of academic programs in 2020-21 in alternative formats, adapting to fast-changing public health regulations as necessary. The incoming undergraduate class for Fall 2020 was 0.2% larger than that of Fall 2019, including the largest incoming cohort of international undergraduate students in the University’s history. Many students from around the globe began their studies remotely, with the intention of attending classes on campus when in-person teaching resumes. While the overall enrolment results were positive, there was some variability in enrolment at the level of individual programs, with modest enrolment reductions in professional undergraduate and graduate programs in particular.</t>
  </si>
  <si>
    <t>As the University worked to address the challenges of COVID-19, there were significant cost increases in many areas, including repatriating students who were overseas during the initial outbreak in Spring 2020, emergency financial support for students dealing with loss of employment opportunities and unexpected expenses caused by the pandemic, quarantine costs for international students entering Canada, changes to instructional design and IT systems to enable online course delivery, and environmental health and safety costs to support the safe re-opening of research labs and workplaces. Many of these were one-time expenditures, partially offset by savings in planned travel costs and lower occupancy costs due to reduced on-campus activity. Some expenses, such as support for new IT platforms and innovative teaching methods, will continue to be needed in future years and have been incorporated into the long range plan.</t>
  </si>
  <si>
    <t>Levels of on-campus activity were significantly reduced, and campus services such as residences, food, and parking were particularly hard hit. Service ancillaries implemented significant cost-saving strategies, but the magnitude of revenue reductions made it impossible to avoid financial losses in many cases. Under normal circumstances, service ancillaries are expected to operate without subsidy from the University’s operating budget and rely solely on revenue from the services they provide. These campus services are crucial to ensuring that students, faculty, and staff are able to participate in University life on all three campuses, and the University may need to support some ancillaries as they develop a path to recovery over the coming years.</t>
  </si>
  <si>
    <t>Given the extent and extraordinary circumstances of the ancillary losses in 2020-21, the University is proposing to allocate up to $50 million of deficit spending room to ancillary operations. Deficit spending will be allowed only where it is necessary to do so, after considering cost containment strategies, levels of reserves, and funding for critical infrastructure projects. Units with sufficient reserves will continue without need for deficit spending, so it is possible that the full amount will not be required. This approach is intended to ensure that the level of the ancillary budget deficit will be only as high as absolutely necessary.</t>
  </si>
  <si>
    <t>Ancillary units will be expected to eliminate any deficits over a five-year period. The University will work with each unit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after consultation with the academic divisions whose faculty, staff, and students benefit from these services.</t>
  </si>
  <si>
    <t>The University’s third Strategic Mandate Agreement with the Province (SMA3)3 came into effect on April 1, 2020 and covers the period 2020-2025. With the implementation of SMA3, a significant portion of existing operating grant revenue will be re-directed to a differentiation envelope tied to performance metrics. Performance-based funding will gradually increase from 25 per cent of total Provincial operating grants (5.9% of total revenue) in 2020-21 to 60 per cent of operating grants (11.9% of total revenue) by 2024-25.</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</si>
  <si>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t>
  </si>
  <si>
    <t>According to the Ontario Budget released in November 20204, the Government is not planning any material new investments in the post-secondary education sector over the next three years, including no inflationary increases to the University’s operating grant. Areas of priority investment for the Government include: development, delivery, and expansion of Ontario’s micro-credentials strategy; supporting the ongoing cost of the Ontario Student Assistance Program (OSAP); and continued investment in deferred maintenance.</t>
  </si>
  <si>
    <t>The student fee framework announced in 2019 also allowed
students to opt-out of incidental fees that fund some services
and activities, while protecting fees that fund mandatory
core services and facilities such as athletics, recreation, and
health and counselling services. This new provision in the
fee framework, called the “Student Choice Initiative” was
implemented in Fall 2019. In November 2019, Ontario’s
Divisional Court struck down this new provision, finding it
inconsistent with universities’ autonomous governance. At
this time, a Government appeal of this decision is pending.
In the interim, implementation of ancillary fee opt-outs have
been suspended.</t>
  </si>
  <si>
    <t>As with most federal research funding programs, the CRC
program places significant emphasis on equity, diversity and
inclusion (EDI). The CRC Equity, Diversity and Inclusion
Action Plan5 guides the University’s efforts in ensuring the
representation of individuals from the federally designated
groups — persons with disabilities, Indigenous peoples,
visible minorities, and women — among Canada Research
Chair holders.</t>
  </si>
  <si>
    <t>The ongoing COVID-19 pandemic continues to evolve as new variants emerge, requiring flexibility in planning for operations. With the rollout of vaccines and associated relaxing of public health measures, the University moved to deliver approximately 50% of courses in person in the Fall 2021 session with plans to increase this for the start of the Winter 2022 session. However, in response to the fast spread of the Omicron variant in December, these plans were adjusted and the increase in on-campus activity was delayed until later in the session. Experience gained throughout the pandemic has allowed the University to quickly pivot as necessary to changing public health measures while ensuring continuity of academic programs for our students.</t>
  </si>
  <si>
    <t>The University continues to plan for a gradual increase in campus activities over the planning period. We have led the way in requiring vaccinations with over 99% of students, faculty and staff fully vaccinated as of February 2022 – a critical element to facilitate greater on-campus activity.</t>
  </si>
  <si>
    <t>Demand for the University’s programs continues to be very strong with larger domestic and international undergraduate applicant pools for Fall 2021, leading to a 10.8% increase in intake compared to last year. However, this increase was largely offset by lower retention rates for domestic continuing students across many of the direct entry divisions, resulting in a small overall increase of 0.2% in undergraduate enrolment vs Fall 2020. Divisions are investigating the reasons behind the decrease in retention rates to determine if this is a temporary pandemic-related shift or if there are longer term issues to be addressed. Graduate enrolment increased by 4% vs. last year with demand for professional masters and doctoral programs particularly strong.
Summer enrolment activity</t>
  </si>
  <si>
    <t>Summer enrolment activity continues to be significantly higher than pre-pandemic levels, although down slightly from the peak in 2020 in the early stages of the pandemic. Students have shown increasing interest in taking courses across all three terms which allows for a broader set of offerings through the summer session, reduced pressure on courses through the Fall/Winter, and more activity on campuses over the summer.</t>
  </si>
  <si>
    <t>Ancillary operations provide important services that contribute to the quality of the student experience. In order to support their continued operations, the University’s 2021-22 budget plan included up to $50 million of deficit spending room for ancillary operations such as residences, food, and parking services to provide flexibility for multi-year plans to recover from the financial impacts of the pandemic. Deficit spending will be allowed only where it is necessary to do so, after considering cost containment strategies, levels of reserves, and funding for critical infrastructure projects. Ancillary units will be expected to eliminate any deficits over a five-year period.</t>
  </si>
  <si>
    <t>Under this plan, ancillary operations established deficit budgets for 2021-22 as they anticipated continued reduced occupancy in residences and in on-campus activities. Campus residences have rebounded more quickly than anticipated with high occupancy rates at most facilities in Fall 2021, although the impact of emerging variants continues to pose some risk to short-term occupancy plans. Food and parking services are also ahead of plan but to a lesser extent given the continued reduction in on-campus activity this year.</t>
  </si>
  <si>
    <t>The University is working with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</si>
  <si>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third Strategic Mandate Agreement with the Province (SMA3)3 came into effect on April 1, 2020 and covers the period 2020-2025. With the implementation of SMA3, a significant portion of existing operating grant revenue is being re-directed to a differentiation envelope tied to performance metrics. Performance-based funding will gradually increase from 25 per cent of total Provincial operating grants (6% of total revenue) in 2020-21 to 60 per cent of operating grants (12% of total revenue) by 2024-25.</t>
  </si>
  <si>
    <t>In the context of the COVID-19 pandemic, the government has confirmed that no performance-based funding will be at risk until at least the third year of the agreement which, because of the slip year nature of funding impacts, would be the University’s 2023-24 fiscal year. The Ministry will engage in an annual review of performance outcomes and will evaluate potential COVID-19 impacts on targets for future years.</t>
  </si>
  <si>
    <t>Areas of priority investment for the Government include expansion of Nursing enrolment, which may lead to a small amount of enrolment growth funding for the University; supporting the ongoing cost of the Ontario Student Assistance Program (OSAP), including extension of eligibility to some micro-credential programs; and continued investment in addressing deferred maintenance.</t>
  </si>
  <si>
    <t>At this time, no domestic fee framework has been announced
for the 2022-23 fiscal year. The University has conservatively
assumed an extension of the existing framework, including a
freeze for the 2022-23 budget year. This one-year extension
of the domestic tuition fee freeze would further reduce
tuition fee revenue by $28 million in 2022-23 relative to the
University’s previous long range budget plans from prior to
the 2019-20 Framework.</t>
  </si>
  <si>
    <t>The student fee framework announced in 2019 included
a new provision called the “Student Choice Initiative” that
allowed students to opt-out of incidental fees that fund
some student services and activities, while protecting fees
that fund mandatory core services and facilities such as
athletics, recreation, and health and counselling services.
However, in November 2019, Ontario’s Divisional Court
struck down this new provision, finding it inconsistent with
universities’ autonomous governance. In August 2021,
Ontario’s Court of Appeal dismissed the Government’s
bid to overturn the decision to strike down the provision.
As a result, the University will continue to suspend
implementation of this policy.</t>
  </si>
  <si>
    <t>As with most federal research funding programs, the CRC
program places significant emphasis on equity, diversity and
inclusion (EDI) and has established representation targets
that must be achieved by 2029, with interim targets along
the way. The University’s CRC Equity, Diversity and Inclusion
Action Plan6 guides the University’s efforts in ensuring the
representation of individuals from the federally designated
groups — persons with disabilities, Indigenous peoples,
visible minorities, and women — among Canada Research
Chair holders. The Division of the Vice-President Research
and Innovation closely monitors progress toward the required
targets and works with academic divisions and hospitals to
ensure that the targets are met.</t>
  </si>
  <si>
    <t>The University has successfully navigated through the challenges of the COVID-19 global pandemic and this year we had our biggest back to school ever, welcoming over 90,000 students to our three campuses, many for the first time in their academic careers. Throughout the pandemic, our faculty, librarians, and staff worked tirelessly to ensure operational continuity while maintaining excellence in our academic and research programs and our students demonstrated outstanding resiliency as have adapted to changes required to meet public health measures. Demand for our programs remained strong throughout and our scholars had an outsized impact on pandemic-related research and through contributions to health care and public health planning.</t>
  </si>
  <si>
    <t>While our ancillary operations were impacted by the reduced activity on our campuses, they are rebounding faster than anticipated. Residences are back to full occupancy this year and other services such as food and transportation are making steady progress as on-campus activity increases. These units are now able to turn their focus away from crisis management and back towards planning for the future.</t>
  </si>
  <si>
    <t>As is often the case with historic events like this, the pandemic has led to innovations that will benefit all as we move forward. In March 2022, the Provost established the new University Resilience Project Team (RPT) to build upon the work and insights gained over the last two years, capitalize on the innovations developed during the pandemic, and build strategies for long-term institutional resilience. Over the course of this year, the team has consulted with a wide array of stakeholders from all divisions across our three campuses and have developed recommendations across themes of Navigation, Engagement, and Future Proofing.</t>
  </si>
  <si>
    <t>The University expects to continue as an in-person institution, although, we recognize that there are benefits and demand for a selection of online courses going forward. To leverage the lessons learned during the pandemic, the University has implemented an “Online by Design” initiative to support faculty in developing courses designed from the ground up for an online learning environment.</t>
  </si>
  <si>
    <t>We continue to implement changes to increase our capacity to meet student mental health needs. Our much improved continuum of mental health supports to both domestic and international students has led to a three-fold increase in mental health service interactions since 2019-20, trending towards 41,000 interactions across in-person and internet-based service models this year. Additionally, in collaboration with CAMH, the University has launched an acute care navigation pathway to serve complex and high need students. In the first four months of this service, U of T and CAMH collaborated to identify and serve over 100 students seen in the Emergency Department and Inpatient Units. Through this innovative partnership, we have achieved important learnings and are well positioned to further develop this service in 2023-24. Progress across mental health is well aligned with the recommendations of the Presidential and Provostial Task Force of 2019.
Demand for the University’s programs continues to be</t>
  </si>
  <si>
    <t>Overall, undergraduate enrolment was about (1.2%) below target this year – although, still 364 FTEs above last year – primarily because of the lower than planned intake.</t>
  </si>
  <si>
    <t>Many divisions experienced some softening in graduate intakes this year with overall graduate enrolment coming in (2.8%) below plan, although still within our funded enrolment corridor. Plans included significant growth over Fall 2021 so, while enrolment was under target, divisions still saw year over year growth of 0.9%.</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</si>
  <si>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</si>
  <si>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The University’s 2021-22 budget plan included up to $50 million of deficit spending room for ancillary operations such as residences, food, and parking services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in the first two years of the pandemic and are ahead of their five-year plans.</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</si>
  <si>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</si>
  <si>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The University’s third Strategic Mandate Agreement with the Province (SMA3)3 came into effect on April 1, 2020 and covers the period 2020-2025. With the implementation of SMA3, the Government is shifting a significant portion of existing operating grant revenue to a differentiation envelope that will be linked to performance metrics. Over the five years, the Differentiation Envelope portion of funding will increase from 25 per cent of total
Provincial operating grants (6% of total revenue) in 2020-21 to 60 per cent of operating grants (12% of total revenue) by 2024-25.</t>
  </si>
  <si>
    <t>The SMA3 also sets out a multi-year enrolment plan. In response to Ontario’s changing demographics, the University and the Province have agreed to hold constant the level of domestic undergraduate enrolment at the University of Toronto over the period of the agreement. The University will be eligible for full enrolment funding provided it maintains a five-year average enrolment within ±3% of its target. This excludes separately funded
enrolment expansions in nursing and the Scarborough Academy of Medicine &amp; Integrated Health discussed later in this document.</t>
  </si>
  <si>
    <t>According to the 2022 Ontario Budget released in April 20224 and follow up November 2022 Fall Economic Statement5 the Government is not planning any inflationary increases to the University’s operating grant over the next three years.</t>
  </si>
  <si>
    <t>Nursing education continues to be a priority area for the Government which funded additional spaces at colleges and universities in 2021 and again in 2022. Under this program, the University received 30 additional spaces for our undergraduate BScN program for Fall 2022 entry (17% increase in intake). Given the continuing high demand for nursing graduates in the health care sector, the University is anticipating that this expansion will continue over the planning period.</t>
  </si>
  <si>
    <t>In May 2022, the Government announced new expansion funding for the Scarborough Academy of Medicine and Integrated Health (SAMIH) that will be located at the University of Toronto Scarborough (UTSC) campus. SAMIH will be a collaboration between UTSC, the Temerty Faculty of Medicine, the Lawrence S. Bloomberg Faculty of Nursing, and the Leslie Dan Faculty of Pharmacy. It will serve as a hub for undergraduate health education and health professional training. At full capacity, the SAMIH will prepare the following number of graduates on an annual basis:
• 30 physicians (with potential to expand to 50 in the future)
• 30 physician assistants
• 30 nurse practitioners
• 40 physical therapists
• 300 undergraduates in life sciences</t>
  </si>
  <si>
    <t>In addition, the Government has allocated an additional 45 postgraduate medical resident spaces to the University as part of the SAMIH expansion. </t>
  </si>
  <si>
    <t>SAMIH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 </t>
  </si>
  <si>
    <t>Changes to domestic tuition fees in publicly 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institutions that contravene the framework. The frameworks only apply to tuition for students for which the Government provides operating grant funding, so do not apply to majority of international students, non-publicly funded programs such as Executive MBA, and continuing education programs. </t>
  </si>
  <si>
    <t>On January 17, 2019, the Ontario government announced a 10 per cent cut to domestic tuition fees for 2019-20, and a freeze at that level for 2020-21. The freeze was subsequently extended for two additional years to 2022-23. Tuition paid by international students was unaffected. </t>
  </si>
  <si>
    <t>Approximately 87% of the University’s operating revenue is related to enrolment through student fees and operating grants. Demand for the University’s programs continues to be very strong with overall enrolment growing to 99,794 undergraduate and graduate students taking 88,652 FTEs of course activity in Fall 2023, a 2,355 FTE increase over the previous year.</t>
  </si>
  <si>
    <t>We continue to see strong domestic and international applicant pools to our direct-entry undergraduate programs, with growth of 3.3% in the incoming class to 16,361 in Fall 2023, although (2.3%) below the plan for this year which had assumed a bit more growth. Domestic intake was 269 above target which offset a (657) negative variance on international intake – although, both domestic and international intake increased over last year. In 2023-24, we have also seen an increase in retention rates of continuing students, which resulted in higher upper-year enrolment than expected based on historical rates. This very positive result means that overall undergraduate domestic and international enrolment slightly exceeded the budget plan by a combined 1.1%. </t>
  </si>
  <si>
    <t>Many divisions continued to experience some softening in graduate intakes again this year with overall graduate enrolment coming in (2.8%) below plan, although still within our funded enrolment corridor. Fall 2023 graduate enrolment across all years of study was 20,424 FTEs, essentially unchanged from 2022. </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</si>
  <si>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 </t>
  </si>
  <si>
    <t>Geopolitical issues continue to present some risk to our international enrolment plans. We are seeing some impact from the recent tensions in the Canada-India relationship on demand with applications from that country for Fall 2024 down by about 41% compared to last year. Applicants from China are also down about 7% as of February. This volatility demonstrates why the University’s diversification strategy to build and increase connections with a broader range of international countries is so important. </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</si>
  <si>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over the past year. This decision removed the “no-catch up” restrictions in the Act which, when combined with high inflation rates, has led to large top-ups to the already negotiated Bill 124 1% increases such as:
+6.5% over three years for OPSEU employees with public colleges
+6.25% over two years for Ontario Power Workers
+6.25% retro over two years for Ontario Hospital Paramedical Employees</t>
  </si>
  <si>
    <t>While the University does not have any reopener clauses in its agreements, the final year of the Bill 124 period agreement with our Faculty &amp; Librarians (2022) was in arbitration when the Court made its decision. As a result, negotiation resumed on this final year and the Arbitrator ultimately awarded a 7% increase in addition to the 1% already negotiated. This 7% special increase was subsequently included in the 2023 agreement with USW and other administrative staff. The University is anticipating that this special increase will ultimately cost about $125 million above what was planned for this year. </t>
  </si>
  <si>
    <t>As of the writing of this report, the Government has not yet formally responded to the BRP’s recommendations. However, they have signaled that the domestic tuition freeze will be extended for another year and they are considering operating grant support for colleges and universities. As noted later in this report, the Budget assumes continuation of the domestic tuition freeze to 2024-25 and increased operating grants to offset the financial impact. </t>
  </si>
  <si>
    <t>Under the SMA3 performance-based funding formula, each university is measured against its own past performance, not against other institutions. As Canada’s leading research-intensive university, performance-based funding allows the University to benchmark its strengths in areas such as innovation, research funding, and graduate
employment, and have funding reflect its achievements in these areas. The Province has defined ten performance metrics for funding purposes and the University has allocated its performance-based funding envelope across these metrics, with an option to adjust each year in response to changing priorities.</t>
  </si>
  <si>
    <t>Nursing education continues to be a priority area for the Government, which has funded additional spaces at colleges and universities since 2021. Under this program, the University received 55 additional spaces for our undergraduate BScN program in Fall 2024 entry (31% increase in intake over 2020). Given the continuing high demand for nursing graduates in the health care sector, the University is anticipating that this expansion will continue over the planning period. </t>
  </si>
  <si>
    <t>In addition, in 2022-23, the Government committed $124.7 million over three years to significantly increase funding for nursing clinical operations at colleges and universities. Under this initiative, the University’s allocation for nursing clinical funding has roughly tripled to $1.1 million per year, which will help with operating costs for running these programs. We are hopeful that the Government will continue funding at this level beyond the initial three-year commitment. And the University continues to advocate for increased clinical funding in other program areas, in particular dentistry, where the essential in-house clinics require significant subsidies from other operating revenues. </t>
  </si>
  <si>
    <t>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</si>
  <si>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In addition, 30 MN Nurse Practitioner spaces will be delivered through SAMIH. </t>
  </si>
  <si>
    <t>In 2023-24, the Government continued its on-going $10.5 million annual funding for mental health services at colleges and universities – from which the University received $365k. This funding supports campus-based mental health services, access to the Good2Talk helpline for professional counselling, information, and mental health referrals for post-secondary students, and the development of new partnerships and mental health resources to build a connected and comprehensive mental health system in Ontario. </t>
  </si>
  <si>
    <t>However, the Government repositioned the $5 million in additional funding provided in 2022-23 into a two-year, project-based program for 2023-24 and 2024-25. The University has submitted a proposal for funding but has not received the results as of the writing of this report. </t>
  </si>
  <si>
    <t>In 2019-20, the Ontario government announced a 10 per cent cut to domestic tuition fees and has subsequently frozen fees at these levels for four years to 2023-24. Tuition paid by international students was unaffected. The cumulative impact of the 10% cut and four-year freeze is a $195 million reduction in annual operating revenue to the University as of 2023-24 compared to the 3% average framework in place prior to 2019-20. </t>
  </si>
  <si>
    <t>We will revisit these plans, if necessary, when the Government formally announces its framework for 2024-25.</t>
  </si>
  <si>
    <t>Ancillary services across all three campuses make important contributions to the student and campus experience through residences, food operations, parking, and other services for student, faculty, and staff. These self-funding units rely on on-campus activity and faced significant financial challenges during the pandemic. </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</si>
  <si>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</si>
  <si>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 </t>
  </si>
  <si>
    <t>It is important to note that the University separately
manages domestic and international enrolment spaces.
Each pool has separate targets and we endeavour to fill all
of our funded domestic spaces each year. We do not fill
domestic spaces with international students. In fact, in
2024 we admitted more domestic students than funded for
given the very strong demand and softening of the
Budget Report 2025-26 7 University of Toronto
international market. Although, this is only a temporary
measure as we cannot sustain this growth on domestic
tuition revenue alone.</t>
  </si>
  <si>
    <t>Many divisions continued to experience some softening in
graduate intakes again this year with overall graduate
enrolment coming in 0.7% below plan, although still 1.9%
higher than 2023-24. We are seeing some shifts in the
market for professional masters programs and divisions are
developing new programs and modifications to respond to
demand. One area of significant change is in the Rotman
School of Management, which is are planning a new
advanced standing option for the MBA (ie. shortened
program) and management programs for working
professionals and students from non-business
backgrounds.</t>
  </si>
  <si>
    <t>Summer enrolment activity continues to be higher than
pre-pandemic levels, although not at the level of the peak
in 2020 in the early stages of the pandemic. Students have
shown continued interest in taking courses across all three
terms, which allows for a broader set of offerings through
the summer session, reduced pressure on courses through
the Fall/Winter, and more activity on campuses over the
summer.</t>
  </si>
  <si>
    <t>Geopolitical issues continue to present some risk to our
international enrolment plans. We are seeing a continued
impact on demand resulting from the tensions in the
Canada-India relationship with applications from that
country for Fall 2025 down by almost two-thirds compared
to 2023. This volatility demonstrates why the University’s
diversification strategy to build and increase connections
with a broader range of international countries is so
important.</t>
  </si>
  <si>
    <t>The November 9, 2022 decision by the Ontario Superior
Court of Justice to strike down the Government’s
“Protecting a Sustainable Public Sector for Future
Generations Act, 2019”, commonly known as Bill 124, has
had a significant impact on Ontario broader public sector
compensation and continues to impact the University’s
budget plan.</t>
  </si>
  <si>
    <t>The final year of the Bill 124 period agreement with our
Faculty &amp; Librarians (2022) was in arbitration when the
Court made its decision. As a result, negotiation resumed
on this final year and the Arbitrator ultimately awarded a
7% increase in addition to the 1% already negotiated
under the Bill 124 constraints. Negotiations with the
Faculty Association on the next agreement, fully post-Bill
124, continue.</t>
  </si>
  <si>
    <t>This 7% special increase was subsequently included in
post-Bill 124 negotiated agreements with other employee
groups and for other administrative staff. The University is
anticipating that this special increase will ultimately cost
about $125 million above what was planned.</t>
  </si>
  <si>
    <t>In response, divisions have had to review their hiring plans,
contingencies, capital plans, and other priorities. It is
taking several years for divisions to fully absorb this
extraordinary increase in base costs, which is limiting
funding available for other priorities. The multi-year
smoothing introduced to manage this incremental cost
impact to shared service budgets is requiring additional
funds from the 2025-26 budget beyond what will be
needed to fund next year’s compensation increases.</t>
  </si>
  <si>
    <t>The University’s fourth Strategic Mandate Agreement with
the Province (SMA4) will come into effect on April 1st,
2025 and continue for five years. This follows the 2020-
2025 SMA32 that introduced a new performance-based
funding model. The University is currently working with the
Province to finalize the SMA4, which is expected to include
the following features:
• Continuation of the SMA3 performance-based
funding framework but with eight metrics, down from
the 10 included in SMA3. One of the two SMA3
research metrics is being eliminated under SMA4
and the Skills &amp; Competencies metric will be
discontinued.
• Enrolment-related metrics will now be focused on
domestic students and exclude international.
• 5% of funding will now be linked to meeting certain
reporting deadlines, engaging with MCU on work to
develop efficiencies and new skills &amp; competencies
metrics, and attesting to a commitment to research
security. These elements are still under development
as of the writing of this report.</t>
  </si>
  <si>
    <t>The SMA3 also set out a multi-year enrolment plan where
the Province held constant the level of funded domestic
enrolment at the University of Toronto over the period of
the agreement. The University has been eligible for full
enrolment funding provided it maintained a five-year
average enrolment within ±3% of its target. This excluded
separately funded enrolment expansions in nursing and
the Scarborough Academy of Medicine &amp; Integrated Health
discussed later in this document.</t>
  </si>
  <si>
    <t>The funded enrolment corridor is not expected to change
for the first two years of SMA4. However, the Government
has indicated an interest in expanding enrolments in
science, technology, engineering, and math (STEM) and
the University has submitted a proposal to expand
programs by 4,850 undergraduates and 565 masters
students in areas such as engineering (including a new
undergraduate biomedical engineering program),
computer science, life &amp; physical sciences, data sciences,
kinesiology, and information studies. At this stage, this
proposed enrolment growth has not yet been factored into
the University’s long-range budget plan.</t>
  </si>
  <si>
    <t>In March 2023, the Government created a Blue Ribbon
Panel3 of postsecondary education experts to provide
advice on securing the financial sustainability of the sector.
The Panel recommended unfreezing domestic tuition, an
immediate 10% increase in operating grant funding, and
consideration of future enrolment growth funding to meet
demand.</t>
  </si>
  <si>
    <t>In response, the Government created a three-year
Postsecondary Education Financial Sustainability Fund
with a 7% phased-in increase to operating grants: 3% in
2024-25, 2% in 2025-26, and 2% in 2026-27. However,
the Government has not yet committed to continuing this
additional funding beyond 2026-27. They are planning a
funding review over the next two years that could inform
decisions on future funding.</t>
  </si>
  <si>
    <t>Changes to domestic tuition fees in publicly-funded
programs at Ontario colleges and universities are subject to
frameworks provided by the Provincial Government. Under
these frameworks, the Government sets limits on increases
to fees (and in some cases, requires reductions or freezes)
and retains the option to reduce operating grant funding to
Figure 4: 2025-26 Domestic Tuition Fees
institutions that contravene the framework. The frameworks
only apply to tuition for students for which the Government
provides operating grant funding, so do not apply to the
majority of international students, non-publicly funded
programs such as Executive MBA, and continuing
education programs.</t>
  </si>
  <si>
    <t>In 2019-20, the Ontario government required a 10 per cent
cut to domestic tuition fees and has subsequently frozen
fees at these lower levels out to at least 2026-27.</t>
  </si>
  <si>
    <t>In 2023-24, the Government approved multi-year plans to
increase fees for some programs where they were
significantly lower than the comparative sector average.
This applies to our MA, MSc, and MSc in Applied
Computing programs (more information is provided later in
this report).</t>
  </si>
  <si>
    <t>Nursing education continues to be a priority area for the
Government, which has funded additional spaces at
colleges and universities since 2021. Under this program,
the University received 55 additional spaces for our
undergraduate BScN program (31% increase in intake
over 2020). Given the continuing high demand for nursing
graduates in the health care sector, the University is
anticipating that this expansion will continue over the
planning period.</t>
  </si>
  <si>
    <t>In May 2022, the Government announced expansion
funding for the new Scarborough Academy of Medicine
and Integrated Health (SAMIH) that will be located at the
University of Toronto Scarborough (UTSC) campus. SAMIH
is a collaboration between UTSC, the Temerty Faculty of
Medicine, the Lawrence Bloomberg Faculty of Nursing,
and the Leslie Dan Faculty of Pharmacy. It will serve as a
hub for undergraduate health education and health
professional training. In 2023, the Government announced
a further expansion of some medical programs. In total,
between the two expansions, the University will receive
growth funding for:
• 44 MD spaces
• 55 postgraduate resident spaces
• 26 physician assistant spaces
• 40 MSc physical therapy spaces
• 300 graduates from undergraduate programs in
life sciences at UTSC</t>
  </si>
  <si>
    <t>In addition, 30 MN Nurse Practitioner spaces will be
delivered through SAMIH.</t>
  </si>
  <si>
    <t>The home for SAMIH is currently under construction and
the Academy will be supported through a partnership with
The Scarborough Health Network, Lakeridge Health,
Ontario Shores Centre for Mental Health Science and
Michael Garron Hospital. Community-based agencies and
health care facilities such as Family Health Teams and
Community Health Centres will also be important
collaborators.</t>
  </si>
  <si>
    <t>In addition to the base and expansion operating grant
funding described above, the Provincial Government also
provides Special Purpose Funding for a number of targeted
initiatives each year such as mental health support
programs, accessibility &amp; accommodation supports,
campus safety, access &amp; outreach programs, Indigenous
student bursaries, and others. In total, the University
received $5.5 million in special purpose funding in 2023-
24. Allocations for many of these programs are announced
in-year and often flow through the restricted fund portion of
the University’s systems given the specific nature of the
eligible expenditures. However, the annual operating
budget does include a provision for Accessibility Funding,
assumed to be $3.8 million for 2025-26.</t>
  </si>
  <si>
    <t>Similarly, the Provincial Government provides support
through Ontario Graduate Scholarships and the QEII
Graduate Scholarships in Science and Technology.
However, these awards have remained frozen in value and
the number available has not kept pace with the rapid
growth in graduate enrolment.</t>
  </si>
  <si>
    <t>Ancillary services across all three campuses make
important contributions to the student and campus
experience through residences, food operations, parking,
and other services for student, faculty, and staff. These
self-funded units rely on on-campus activity and faced
significant financial challenges during the pandemic.</t>
  </si>
  <si>
    <t>The University’s 2021-22 budget plan included up to $50
million of deficit spending room for ancillary operations to
provide flexibility for multi-year plans to recover from the
financial impacts of the pandemic. Ancillary units are
expected to eliminate any deficits over a five-year period.
Ancillary operations are making significant progress in their
recovery from the financial challenges incurred during the
pandemic and are ahead of their five-year plans.
Residences are back to full occupancy; however,
Transportation and Food Services are continuing to adjust
to the new post-pandemic environment of expanded hybrid
work options that is translating to lower on-campus activity
in some areas.</t>
  </si>
  <si>
    <t>Deficit spending has been allowed only where it is
necessary to do so, after considering cost containment
strategies, levels of reserves, and funding for critical
infrastructure projects. The University continues to work
with ancillary units impacted by reduced on-campus
activity to assess their financial health and may provide
support from operating reserves to assist with annual
deficit reductions in cases where further cost containment
would jeopardize the unit’s ongoing sustainability or critical
infrastructure renewal. The University continues to present
a balanced operating budget, and any subsidies to
ancillary units will be provided from existing operating
reserves.</t>
  </si>
  <si>
    <t>windsor_2019_11</t>
  </si>
  <si>
    <t>carleton_2021_8</t>
  </si>
  <si>
    <t>carleton_2022_8</t>
  </si>
  <si>
    <t>On January 17, 2019, The Honourable Merrilee Fullerton, Minister of Training, Colleges and Universities for the government of Ontario, announced that:
• All domestic tuition rates will be decreased by 10% and frozen at that level for 2020/21;
• The Ontario Student Assistance Program (OSAP) will be refocused to ensure it remains sustainable and viable for future students while directing a greater proportion of OSAP funding to families with the greatest financial need;
• A Student Choice Initiative will be put into place that would:
o Ensure transparency regarding the fees that students are expected to pay;
o Bring consistency and simplicity to how students can opt-out of ancillary fees;
o Ensure students have more choice regarding the services and activities they wish to support.</t>
  </si>
  <si>
    <t>The new tuition fee framework will provide funding-eligible students in all years of study with a 10% reduction in tuition fees in 2019/20 as compared to 2018/19. During the 2020/21 tuition fee freeze, institutions will be expected to charge the same full-time and part-time tuition fees that they charged in 2019/20 for each program and year of study, with students enrolled in the first year of a program in 2020/21 paying the same tuition as students enrolled in first year of the program in 2019/20.</t>
  </si>
  <si>
    <t>The financial impact of the 10% rollback to UWindsor in 2019/20 is a shortfall in tuition revenue of approximately $10 million. </t>
  </si>
  <si>
    <t>A number of changes to OSAP were announced, including:
• Focusing OSAP on students who have demonstrated financial need;
• Eliminating the non-needs based portion of the Ontario Student Grant;
• Increasing the number of years from 4 to 6 when defining “independent” students;
• Factoring parental income into the OSAP needs assessment for students up to 6 years removed from high school; and
• Beginning to charge interest during the six-month grace period after graduation.</t>
  </si>
  <si>
    <t>On April 12, 2019, UWindsor received a memo from the Ministry of Training, Colleges and Universities (MTCU) announcing the cancellation of the Graduate Enrolment Expansion Capital Program as of 2019/20. Grant payments were initiated in 2007/08 and were expected to continue for 20 years to support the infrastructure required to accommodate the government’s planned expansion of funded graduate spaces in Ontario</t>
  </si>
  <si>
    <t>MTCU has indicated that 6 of the 10 metrics will be aligned with priorities in skills and job outcomes, including such measures as graduate earnings; experiential learning; skills and competencies; graduate employment; institutional strength; and graduation rates. Four of the metrics will be related to economic and community impacts, including research funding and capacity; innovation; impact in the local community; and a negotiated institution-specific economic impact metric.</t>
  </si>
  <si>
    <t>Last fall, Immigration, Refugees, and Citizenship Canada (IRCC) introduced new requirements for international student visas. Specifically, study permit caps were reduced by 10%, including graduate students and linking to the provincial attestation letter (PAL) program. Additionally, enhanced verification processes were implemented; designated learning institutions must now directly confirm each applicant’s letter of acceptance with the IRCC. Financial requirements have also been enhanced, and new language proficiency benchmarks have been introduced.</t>
  </si>
  <si>
    <t>Carleton University’s budget planning process formally begins in the fall with input from the Board
of Governors and discussions with faculty and staff about emerging priorities and future pressures.
The budget continues to be influenced by the university’s five-year Strategic Integrated Plan (SIP):
Sustainable Communities – Global Prosperities. The development of a new SIP will begin in fall
2019 and the university will continue to focus on established priorities to take us through the 2019-
2020 budget cycle. As the new SIP comes together, it will create the opportunity for campus
stakeholders to participate in setting the vision, goals, and strategic direction for future years.</t>
  </si>
  <si>
    <t>As well, in 2018, the Provost and Vice-President (Academic) was named the university’s Chief
Budget Officer and the former Financial Planning Group (FPG) was renamed the Provost Budget
Working Group (PBWG). The new committee oversees the annual budget process and is chaired
by the Provost and Vice-President (Academic) and co-chaired by the Vice-President (Finance and
Administration).</t>
  </si>
  <si>
    <t>In August 2017, Carleton signed a new Strategic Mandate Agreement (SMA2) with the Ministry of
Training, Colleges and Universities (MTCU), which included a new model for enrolment-based core
funding (using a corridor approach). The new funding model also consolidates a number of existing
grants into three major categories: Enrolment, Student Success, and Special Purpose.</t>
  </si>
  <si>
    <t>Prior to negotiating the new Strategic Mandate Agreement, Carleton created Strategic
Transformation Groups (STGs), which have aligned the university’s operating priorities with SMA2
metrics. The work by the STGs in these areas continues. The five STGs are:
 Graduation and retention
 Research culture
 Employability
 Collaboration and community engagement
 Internationalization</t>
  </si>
  <si>
    <t>Carleton University’s annual budget planning process formally begins in the fall with the approval of
the process and assumptions by the Finance committee of the Board of Governors. In line with the
approved process, the 2020-21 operating budget was developed under the direction of the Provost
and Vice-President (Academic) with substantial advice from the Provost’s Budget Working Group
(PBWG).</t>
  </si>
  <si>
    <t>Our five-year Strategic Integrated Plan (SIP): Sustainable Communities – Global Prosperities
continues to influence our strategic investment decisions. In addition, this year, the University has
launched a new Strategic Integrated Planning process and the ideas gathered throughout the
consultations have also contributed to defining our annual budget priorities for the year.</t>
  </si>
  <si>
    <t>Indeed, in the initial Open Consultation Phase, the Strategic Integrated Planning (SIP) Task Force
hosted more than 50 consultations and had more than 1,000 conversations with faculty, staff,
students, community partners and alumni members about Carleton’s strengths and vision for the
future. This comprehensive input led to the Themed Consultation phase where the Carleton
community was engaged in specific conversations about particular emergent themes. In early 2020,
the draft Strategic Integrated Plan was distributed widely to the Carleton community in order to invite
feedback and comments. Once the document is finalized, it will be presented to Senate and the
Board of Governors for approval.</t>
  </si>
  <si>
    <t>Carleton’s 2021-22 operating budget supports the university’s plans for the coming year and recommends the resource allocations required to execute those plans. It also reflects the university’s alignment of its strategic planning, risk assessments and annual planning activities. The primary goal of this budget is to advance the three directions of our Strategic Integrated Plan: Share Knowledge, Shape the Future; Serve Ottawa, Serve the World; and Strive for Wellness, Strive for Sustainability. It also aims to provide resources for responding to the ongoing global public health crisis, while maintaining medium and long-term financial stability</t>
  </si>
  <si>
    <t>The COVID-19 pandemic is expected to have a lasting economic, psychological and social impact. For Carleton, this could translate into changes in the way we deliver on our academic mission and how we approach new challenges related to student recruitment. Enrolment patterns are expected to shift in both the short and long term to reflect increased demand for graduate programs in areas that respond to human adaptations in commerce, technology, and wellness and wellbeing. Research interest and funding is also expected to shift in addressing new post-pandemic issues. In the short-term, we are seeing more steady enrolment at the graduate level and a modest decrease in first-year undergraduate student intake. At the time of writing, it remains unclear how much on-campus activity will be possible in the fall of 2021 at Carleton, along with all other Canadian post-secondary education institutions.</t>
  </si>
  <si>
    <t>The 2021-22 budgeted expenses cover compulsory increases, such as negotiated salaries and benefits, utilities, contracted increases and discretionary allocations to support the university’s operating priorities. As determined by the Strategic Integrated Planning Committee, Carleton’s 2021-22 priorities are intended to support the directions of our Strategic Integrated Plan and continue to respond to the global public health crisis.</t>
  </si>
  <si>
    <t>Carleton will continue to make use of its COVID-related contingency funds to allow for in-year investments that respond to operational impacts created by the public health crisis. Process changes, such as the centralization of the approval and renewal of faculty positions, continue to ensure that one of the university’s most important strategic resources are deployed effectively.</t>
  </si>
  <si>
    <t>The COVID-19 pandemic is expected to have a lasting economic, psychological and social impact. For Carleton, this could translate into changes in the way we deliver on our academic mission and how we approach new challenges related to student recruitment. Enrolment patterns are expected to shift in both the short and long term to reflec increased demand for graduate programs in areas that respond to human adaptations in commerce, technology, the environment, and wellness. Research interest and funding is also expecteed to shift in addressing emerging post-pandemic issues..</t>
  </si>
  <si>
    <t>Since the pandemic began, we have seen more steady enrolment growth at the graduate level, and have slowly but steadily been recovering from the drop in first-year undergraduate intake in the Fall of 2020. Past growth flowing through, along with increased retention rates, largely offset those declines during the pandemic. The goal will be to eventually return to pre-pandemic undergraduate intake levels, which will be made possible with a return to significant in-person recruitment</t>
  </si>
  <si>
    <t xml:space="preserve">The 2022-23 budgeted expenses cover compulsory increases, such as negotiated salaries and benefits, utilities, contracted increases and discretionary allocations to support the university’s operating priorities. </t>
  </si>
  <si>
    <t>An additional $5.9 million has been allocated to University Budgets to support operational requirements such as IT, utilities, maintenance, cleaning, and insurance (a total of $2.7 million), benefit costs ($1.4 milliion), undergraduate and graduate student aid ($1.3 million) and library acquisitions ($0.5 million)</t>
  </si>
  <si>
    <t>Carleton University is pleased to present its operating budget for the 2023-24 academic year. This budget supports the university’s plans for the coming year through an alignment of the university’s strategic planning, risk assessment, operational planning and budgeting activities. The primary goal of this budget, as recommended by the Provost’s Budget Working Group (PBWG), is to advance the three directions of our Strategic Integrated Plan: Share Knowledge, Shape the Future; Serve Ottawa, Serve the World; and Strive for Wellness, Strive for Sustainability as well as to encourage innovation in recruitment, retention, programming, and curriculum.</t>
  </si>
  <si>
    <t>Carleton has experienced much success over the years. Our Equity, Diversity and Inclusion (EDI) Action Plan, Coordinated Accessibility Strategy and Kinàmàgawin (Learning Together) Indigenous initiatives strategy are well underway. We have undertaken a rebranding exercise to realign our key messages, storytelling, branding and marketing to enhance the university’s reputation at the regional, national and international levels. Our research activities continue to soar, with the university receiving a record-breaking $97.4 million in external funding and $37.5 million in Tri-Agency funding towards tackling some of the world’s most pressing issues. We continue to support multidisciplinary research clusters, provide pathways to student success, enhance accessibility for all and establish partnerships with purpose. As the second most sustainable university in Canada, we continue to lead in sustainability and emphasize wellness and mental health in everything we do.</t>
  </si>
  <si>
    <t>Students will continue to be supported by enhancements to mental health programs. A new Mental Health and Wellness website has been launched, featuring an interactive Wellness Services Navigator, to help students find tools and resources to understand, manage and improve their mental health and wellness while at university. The 2023-24 operating budget continues includes funding to support sexual violence prevention and individuals making disclosures and reports of sexual violence.</t>
  </si>
  <si>
    <t xml:space="preserve">
Budget priorities in Faculty RPCs include curriculum renewal; developing new and emerging programs; hiring of tenure stream faculty as well as instructors; recruitment; capital investments in teaching and research infrastructure; investments to support researchers; and expanding experiential learning opportunities.</t>
  </si>
  <si>
    <t>Priorities for central support services over the next few years include: new tools and initiatives to support high-impact practices in teaching and learning; investments to address information security risks; increasing capacity in student recruitment; enhancing student services; additional funding to support researchers and sustain research growth; funding to maintain the library’s acquisition and collection activities; and critical spending on deferred building maintenance and IT infrastructure evergreening.</t>
  </si>
  <si>
    <t>In addition to these institutional priorities, central contingenicies will provide support to RPCs by funding compensation and benefit increases as we exit Bill 124.</t>
  </si>
  <si>
    <t>Carleton University is pleased to present the operating budget for the 2024-25 academic year. This report describes the University’s current strategic context and fiscal environment, highlighting the key assumptions that underlie its long-term financial plan. This budget is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 These priorities provide institutional context for divisional academic planning, which, in turn, leads to investment in specific initiatives and activities throughout the University.</t>
  </si>
  <si>
    <t>Other financial pressures include the University’s deferred maintenance obligation which continues to grow; as well, our Enterprise Resource Planning system is nearing a point at which we will need to evaluate options for replacement.</t>
  </si>
  <si>
    <t>The University’s operating budget continues to be shaped by the three directions of our Strategic Integrated Plan and five operating priorities set by the Strategic Integrated Planning Committee (SIPC). These priorities have focused on increased efforts in undergraduate recruitment to ensure a broad and diverse population of students in the learning ecosystem; investments in initiatives aimed at student success and retention; development of new programs and program renewal that will help students become graduates who will make significant impacts on their communities and the world; exploration of new online markets to provide greater reach and flexibility in the delivery of our teaching mission; and service rationalization and process modernization initiatives designed to further our operational excellence efforts.</t>
  </si>
  <si>
    <t>We plan to continue investing in strategically important programs such as the Bachelor of Nursing, Bachelor of Engineering (Mechatronics), Bachelor of Data Science, Bachelor of Cybersecurity, Bachelor of Accounting, Master of Biotechnology, and Master of Science in Clinical Trials in response to changes in societal needs and demands. Lastly, the University plans to allocate limited resources to continue support of our learning and research environments. After investment, the net base budget reduction is nearly $24 million.</t>
  </si>
  <si>
    <t>As shown in Section 3 of this report, the 2025-26 Operating Budget meets the objective set out by the Board of Governors that a budget be developed within the framework presented in November 2024.</t>
  </si>
  <si>
    <t>Class Binary</t>
  </si>
  <si>
    <t xml:space="preserve">no perceived resource dependence </t>
  </si>
  <si>
    <t>perceived resource 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</si>
</sst>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2"/>
      <color theme="1"/>
      <name val="Aptos Narrow"/>
      <family val="2"/>
      <scheme val="minor"/>
    </font>
    <font>
      <b/>
      <sz val="12"/>
      <color theme="1"/>
      <name val="Aptos Narrow"/>
      <scheme val="minor"/>
    </font>
    <font>
      <sz val="12"/>
      <color theme="1"/>
      <name val="Calibri"/>
      <family val="2"/>
    </font>
    <font>
      <sz val="12"/>
      <color theme="1"/>
      <name val="Helvetica"/>
      <family val="2"/>
    </font>
    <font>
      <sz val="11"/>
      <color theme="1"/>
      <name val="Calibri"/>
      <family val="2"/>
    </font>
    <font>
      <sz val="9"/>
      <color rgb="FF211D1E"/>
      <name val="Helvetica"/>
      <family val="2"/>
    </font>
    <font>
      <sz val="5"/>
      <color rgb="FF211D1E"/>
      <name val="Helvetica"/>
      <family val="2"/>
    </font>
    <font>
      <sz val="9"/>
      <color theme="1"/>
      <name val="Helvetica"/>
      <family val="2"/>
    </font>
    <font>
      <vertAlign val="superscript"/>
      <sz val="6"/>
      <color theme="1"/>
      <name val="Helvetica"/>
      <family val="2"/>
    </font>
    <font>
      <i/>
      <sz val="9"/>
      <color theme="1"/>
      <name val="Helvetica"/>
      <family val="2"/>
    </font>
    <font>
      <i/>
      <vertAlign val="superscript"/>
      <sz val="6"/>
      <color theme="1"/>
      <name val="Helvetica"/>
      <family val="2"/>
    </font>
    <font>
      <sz val="8"/>
      <name val="Aptos Narrow"/>
      <family val="2"/>
      <scheme val="minor"/>
    </font>
    <font>
      <sz val="12"/>
      <color rgb="FF000000"/>
      <name val="Aptos Narrow"/>
      <family val="2"/>
      <scheme val="minor"/>
    </font>
    <font>
      <sz val="11"/>
      <color rgb="FFFF0000"/>
      <name val="Calibri"/>
      <family val="2"/>
    </font>
    <font>
      <sz val="14"/>
      <color rgb="FF000000"/>
      <name val="-webkit-standard"/>
    </font>
    <font>
      <sz val="12"/>
      <color theme="1"/>
      <name val="Aptos Narrow"/>
      <scheme val="minor"/>
    </font>
    <font>
      <sz val="11"/>
      <color theme="1"/>
      <name val="FuturaStd"/>
    </font>
    <font>
      <sz val="7"/>
      <color theme="1"/>
      <name val="Calibri"/>
      <family val="2"/>
    </font>
  </fonts>
  <fills count="9">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5" tint="0.79998168889431442"/>
        <bgColor indexed="64"/>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2" fillId="0" borderId="0" xfId="0" applyFont="1" applyAlignment="1">
      <alignment shrinkToFit="1"/>
    </xf>
    <xf numFmtId="0" fontId="3" fillId="0" borderId="0" xfId="0" applyFont="1" applyAlignment="1">
      <alignment shrinkToFit="1"/>
    </xf>
    <xf numFmtId="0" fontId="0" fillId="0" borderId="0" xfId="0" applyAlignment="1">
      <alignment horizontal="right" shrinkToFit="1"/>
    </xf>
    <xf numFmtId="0" fontId="0" fillId="0" borderId="0" xfId="0" applyAlignment="1">
      <alignment shrinkToFit="1"/>
    </xf>
    <xf numFmtId="0" fontId="4" fillId="0" borderId="0" xfId="0" applyFont="1" applyAlignment="1">
      <alignment shrinkToFit="1"/>
    </xf>
    <xf numFmtId="0" fontId="5" fillId="0" borderId="0" xfId="0" applyFont="1" applyAlignment="1">
      <alignment shrinkToFit="1"/>
    </xf>
    <xf numFmtId="0" fontId="1" fillId="2" borderId="0" xfId="0" applyFont="1" applyFill="1" applyAlignment="1">
      <alignment horizontal="left"/>
    </xf>
    <xf numFmtId="0" fontId="0" fillId="2" borderId="0" xfId="0" applyFill="1" applyAlignment="1">
      <alignment horizontal="left"/>
    </xf>
    <xf numFmtId="0" fontId="7" fillId="0" borderId="0" xfId="0" applyFont="1" applyAlignment="1">
      <alignment shrinkToFit="1"/>
    </xf>
    <xf numFmtId="0" fontId="1" fillId="6" borderId="0" xfId="0" applyFont="1" applyFill="1"/>
    <xf numFmtId="0" fontId="12" fillId="0" borderId="0" xfId="0" applyFont="1"/>
    <xf numFmtId="0" fontId="1" fillId="7" borderId="0" xfId="0" applyFont="1" applyFill="1"/>
    <xf numFmtId="0" fontId="1" fillId="2" borderId="0" xfId="0" applyFont="1" applyFill="1"/>
    <xf numFmtId="0" fontId="0" fillId="2" borderId="0" xfId="0" applyFill="1"/>
    <xf numFmtId="0" fontId="1" fillId="2" borderId="0" xfId="0" applyFont="1" applyFill="1" applyAlignment="1">
      <alignment horizontal="right"/>
    </xf>
    <xf numFmtId="0" fontId="0" fillId="2" borderId="0" xfId="0" applyFill="1" applyAlignment="1">
      <alignment horizontal="right"/>
    </xf>
    <xf numFmtId="0" fontId="4" fillId="0" borderId="0" xfId="0" applyFont="1"/>
    <xf numFmtId="0" fontId="14" fillId="0" borderId="0" xfId="0" applyFont="1"/>
    <xf numFmtId="0" fontId="14" fillId="0" borderId="0" xfId="0" applyFont="1" applyAlignment="1">
      <alignment shrinkToFit="1"/>
    </xf>
    <xf numFmtId="0" fontId="16" fillId="0" borderId="0" xfId="0" applyFont="1"/>
    <xf numFmtId="0" fontId="0" fillId="0" borderId="0" xfId="0" applyFill="1" applyAlignment="1">
      <alignment horizontal="right"/>
    </xf>
    <xf numFmtId="0" fontId="0" fillId="8" borderId="0" xfId="0" applyFill="1" applyAlignment="1">
      <alignment horizontal="right"/>
    </xf>
    <xf numFmtId="0" fontId="15"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645"/>
  <sheetViews>
    <sheetView tabSelected="1" zoomScaleNormal="100" workbookViewId="0">
      <selection activeCell="C633" sqref="C633"/>
    </sheetView>
  </sheetViews>
  <sheetFormatPr baseColWidth="10" defaultRowHeight="16"/>
  <cols>
    <col min="1" max="1" width="12.33203125" customWidth="1"/>
    <col min="2" max="2" width="16.33203125" customWidth="1"/>
    <col min="3" max="3" width="14.6640625" customWidth="1"/>
    <col min="4" max="5" width="15" style="13" hidden="1" customWidth="1"/>
    <col min="6" max="6" width="15" style="13" customWidth="1"/>
    <col min="7" max="7" width="15" style="21" customWidth="1"/>
    <col min="8" max="8" width="15" style="13" customWidth="1"/>
    <col min="9" max="9" width="10.83203125" customWidth="1"/>
    <col min="10" max="10" width="12" customWidth="1"/>
    <col min="11" max="11" width="18" customWidth="1"/>
    <col min="12" max="12" width="16.5" customWidth="1"/>
    <col min="13" max="13" width="10.83203125" customWidth="1"/>
    <col min="14" max="15" width="19" customWidth="1"/>
    <col min="16" max="16" width="12.5" customWidth="1"/>
    <col min="17" max="17" width="12.1640625" customWidth="1"/>
    <col min="18" max="18" width="12.5" customWidth="1"/>
    <col min="19" max="21" width="10.83203125" customWidth="1"/>
  </cols>
  <sheetData>
    <row r="1" spans="1:21">
      <c r="A1" s="2" t="s">
        <v>0</v>
      </c>
      <c r="B1" s="2" t="s">
        <v>1</v>
      </c>
      <c r="C1" s="5" t="s">
        <v>2</v>
      </c>
      <c r="D1" s="12" t="s">
        <v>412</v>
      </c>
      <c r="E1" s="12" t="s">
        <v>413</v>
      </c>
      <c r="F1" s="12" t="s">
        <v>393</v>
      </c>
      <c r="G1" s="20" t="s">
        <v>394</v>
      </c>
      <c r="H1" s="12" t="s">
        <v>407</v>
      </c>
      <c r="I1" s="3" t="s">
        <v>5</v>
      </c>
      <c r="J1" s="3" t="s">
        <v>6</v>
      </c>
      <c r="K1" s="3" t="s">
        <v>3</v>
      </c>
      <c r="L1" s="3" t="s">
        <v>12</v>
      </c>
      <c r="M1" s="3" t="s">
        <v>4</v>
      </c>
      <c r="N1" s="3" t="s">
        <v>14</v>
      </c>
      <c r="O1" s="3" t="s">
        <v>15</v>
      </c>
      <c r="P1" s="3" t="s">
        <v>192</v>
      </c>
      <c r="Q1" s="3" t="s">
        <v>193</v>
      </c>
      <c r="R1" s="3" t="s">
        <v>194</v>
      </c>
      <c r="S1" s="3" t="s">
        <v>195</v>
      </c>
      <c r="T1" s="3" t="s">
        <v>215</v>
      </c>
      <c r="U1" s="3" t="s">
        <v>216</v>
      </c>
    </row>
    <row r="2" spans="1:21" ht="28" customHeight="1">
      <c r="A2" s="4" t="s">
        <v>9</v>
      </c>
      <c r="B2" s="4" t="s">
        <v>10</v>
      </c>
      <c r="C2" s="6" t="s">
        <v>16</v>
      </c>
      <c r="D2" s="13">
        <v>1</v>
      </c>
      <c r="E2" s="13" t="s">
        <v>395</v>
      </c>
      <c r="F2" s="13">
        <v>1</v>
      </c>
      <c r="G2" s="21">
        <v>1</v>
      </c>
      <c r="H2" s="13">
        <v>2</v>
      </c>
      <c r="I2" s="4">
        <v>1</v>
      </c>
      <c r="J2" s="4">
        <v>9</v>
      </c>
      <c r="K2" s="4" t="s">
        <v>11</v>
      </c>
      <c r="L2" s="4" t="s">
        <v>13</v>
      </c>
      <c r="M2" s="4">
        <v>2017</v>
      </c>
      <c r="N2" s="4">
        <v>1</v>
      </c>
      <c r="O2" s="4">
        <v>0</v>
      </c>
    </row>
    <row r="3" spans="1:21" ht="20" customHeight="1">
      <c r="A3" s="4" t="s">
        <v>9</v>
      </c>
      <c r="B3" s="4" t="s">
        <v>22</v>
      </c>
      <c r="C3" s="6" t="s">
        <v>17</v>
      </c>
      <c r="D3" s="13">
        <v>1</v>
      </c>
      <c r="E3" s="13" t="s">
        <v>399</v>
      </c>
      <c r="F3" s="13">
        <v>1</v>
      </c>
      <c r="G3" s="21">
        <v>1</v>
      </c>
      <c r="H3" s="13">
        <v>2</v>
      </c>
      <c r="I3" s="4">
        <v>2</v>
      </c>
      <c r="J3" s="4">
        <v>9</v>
      </c>
      <c r="K3" s="4" t="s">
        <v>11</v>
      </c>
      <c r="L3" s="4" t="s">
        <v>13</v>
      </c>
      <c r="M3" s="4">
        <v>2017</v>
      </c>
      <c r="N3" s="4">
        <v>1</v>
      </c>
      <c r="O3" s="4">
        <v>0</v>
      </c>
    </row>
    <row r="4" spans="1:21" ht="22" customHeight="1">
      <c r="A4" s="4" t="s">
        <v>9</v>
      </c>
      <c r="B4" s="4" t="s">
        <v>23</v>
      </c>
      <c r="C4" s="6" t="s">
        <v>18</v>
      </c>
      <c r="D4" s="13">
        <v>1</v>
      </c>
      <c r="E4" s="13" t="s">
        <v>397</v>
      </c>
      <c r="F4" s="13">
        <v>1</v>
      </c>
      <c r="G4" s="21">
        <v>0</v>
      </c>
      <c r="H4" s="13">
        <v>2</v>
      </c>
      <c r="I4" s="4">
        <v>3</v>
      </c>
      <c r="J4" s="4">
        <v>9</v>
      </c>
      <c r="K4" s="4" t="s">
        <v>11</v>
      </c>
      <c r="L4" s="4" t="s">
        <v>13</v>
      </c>
      <c r="M4" s="4">
        <v>2017</v>
      </c>
      <c r="N4" s="4">
        <v>1</v>
      </c>
      <c r="O4" s="4">
        <v>0</v>
      </c>
    </row>
    <row r="5" spans="1:21" ht="22" customHeight="1">
      <c r="A5" s="4" t="s">
        <v>9</v>
      </c>
      <c r="B5" s="4" t="s">
        <v>1027</v>
      </c>
      <c r="C5" s="6" t="s">
        <v>1200</v>
      </c>
      <c r="F5" s="13">
        <v>0</v>
      </c>
      <c r="I5" s="4"/>
      <c r="J5" s="4"/>
      <c r="K5" s="4"/>
      <c r="L5" s="4"/>
      <c r="M5" s="4"/>
      <c r="N5" s="4"/>
      <c r="O5" s="4"/>
    </row>
    <row r="6" spans="1:21" ht="22" customHeight="1">
      <c r="A6" s="4" t="s">
        <v>9</v>
      </c>
      <c r="B6" s="4" t="s">
        <v>1028</v>
      </c>
      <c r="C6" s="6" t="s">
        <v>1201</v>
      </c>
      <c r="F6" s="13">
        <v>0</v>
      </c>
      <c r="I6" s="4"/>
      <c r="J6" s="4"/>
      <c r="K6" s="4"/>
      <c r="L6" s="4"/>
      <c r="M6" s="4"/>
      <c r="N6" s="4"/>
      <c r="O6" s="4"/>
    </row>
    <row r="7" spans="1:21">
      <c r="A7" s="4" t="s">
        <v>9</v>
      </c>
      <c r="B7" s="4" t="s">
        <v>24</v>
      </c>
      <c r="C7" s="6" t="s">
        <v>19</v>
      </c>
      <c r="D7" s="13">
        <v>1</v>
      </c>
      <c r="E7" s="13" t="s">
        <v>399</v>
      </c>
      <c r="F7" s="13">
        <v>1</v>
      </c>
      <c r="G7" s="21">
        <v>0</v>
      </c>
      <c r="H7" s="13">
        <v>1</v>
      </c>
      <c r="I7" s="4">
        <v>6</v>
      </c>
      <c r="J7" s="4">
        <v>9</v>
      </c>
      <c r="K7" s="4" t="s">
        <v>11</v>
      </c>
      <c r="L7" s="4" t="s">
        <v>13</v>
      </c>
      <c r="M7" s="4">
        <v>2017</v>
      </c>
      <c r="N7" s="4">
        <v>1</v>
      </c>
      <c r="O7" s="4">
        <v>0</v>
      </c>
    </row>
    <row r="8" spans="1:21">
      <c r="A8" s="4" t="s">
        <v>9</v>
      </c>
      <c r="B8" s="4" t="s">
        <v>1029</v>
      </c>
      <c r="C8" s="6" t="s">
        <v>1202</v>
      </c>
      <c r="F8" s="13">
        <v>0</v>
      </c>
      <c r="I8" s="4"/>
      <c r="J8" s="4"/>
      <c r="K8" s="4"/>
      <c r="L8" s="4"/>
      <c r="M8" s="4"/>
      <c r="N8" s="4"/>
      <c r="O8" s="4"/>
    </row>
    <row r="9" spans="1:21">
      <c r="A9" s="4" t="s">
        <v>9</v>
      </c>
      <c r="B9" s="4" t="s">
        <v>25</v>
      </c>
      <c r="C9" s="6" t="s">
        <v>20</v>
      </c>
      <c r="D9" s="13">
        <v>1</v>
      </c>
      <c r="E9" s="13" t="s">
        <v>399</v>
      </c>
      <c r="F9" s="13">
        <v>1</v>
      </c>
      <c r="G9" s="21">
        <v>1</v>
      </c>
      <c r="H9" s="13">
        <v>2</v>
      </c>
      <c r="I9" s="4">
        <v>8</v>
      </c>
      <c r="J9" s="4">
        <v>9</v>
      </c>
      <c r="K9" s="4" t="s">
        <v>11</v>
      </c>
      <c r="L9" s="4" t="s">
        <v>13</v>
      </c>
      <c r="M9" s="4">
        <v>2017</v>
      </c>
      <c r="N9" s="4">
        <v>1</v>
      </c>
      <c r="O9" s="4">
        <v>0</v>
      </c>
    </row>
    <row r="10" spans="1:21">
      <c r="A10" s="4" t="s">
        <v>9</v>
      </c>
      <c r="B10" s="4" t="s">
        <v>26</v>
      </c>
      <c r="C10" s="6" t="s">
        <v>21</v>
      </c>
      <c r="D10" s="13">
        <v>0</v>
      </c>
      <c r="F10" s="13">
        <v>1</v>
      </c>
      <c r="G10" s="21">
        <v>0</v>
      </c>
      <c r="H10" s="13">
        <v>1</v>
      </c>
      <c r="I10" s="4">
        <v>9</v>
      </c>
      <c r="J10" s="4">
        <v>9</v>
      </c>
      <c r="K10" s="4" t="s">
        <v>11</v>
      </c>
      <c r="L10" s="4" t="s">
        <v>13</v>
      </c>
      <c r="M10" s="4">
        <v>2017</v>
      </c>
      <c r="N10" s="4">
        <v>1</v>
      </c>
      <c r="O10" s="4">
        <v>0</v>
      </c>
    </row>
    <row r="11" spans="1:21">
      <c r="A11" s="4" t="s">
        <v>8</v>
      </c>
      <c r="B11" s="4" t="s">
        <v>27</v>
      </c>
      <c r="C11" s="6" t="s">
        <v>28</v>
      </c>
      <c r="D11" s="13">
        <v>1</v>
      </c>
      <c r="E11" s="13" t="s">
        <v>395</v>
      </c>
      <c r="F11" s="13">
        <v>1</v>
      </c>
      <c r="G11" s="21">
        <v>1</v>
      </c>
      <c r="H11" s="13">
        <v>2</v>
      </c>
      <c r="I11" s="4">
        <v>1</v>
      </c>
      <c r="J11" s="4">
        <v>9</v>
      </c>
      <c r="K11" s="4" t="s">
        <v>11</v>
      </c>
      <c r="L11" s="4" t="s">
        <v>13</v>
      </c>
      <c r="M11" s="4">
        <v>2018</v>
      </c>
      <c r="N11" s="4">
        <v>1</v>
      </c>
      <c r="O11" s="4">
        <v>0</v>
      </c>
    </row>
    <row r="12" spans="1:21">
      <c r="A12" s="4" t="s">
        <v>8</v>
      </c>
      <c r="B12" s="4" t="s">
        <v>33</v>
      </c>
      <c r="C12" s="6" t="s">
        <v>29</v>
      </c>
      <c r="D12" s="13">
        <v>1</v>
      </c>
      <c r="E12" s="13" t="s">
        <v>399</v>
      </c>
      <c r="F12" s="13">
        <v>1</v>
      </c>
      <c r="G12" s="21">
        <v>1</v>
      </c>
      <c r="H12" s="13">
        <v>2</v>
      </c>
      <c r="I12" s="4">
        <v>2</v>
      </c>
      <c r="J12" s="4">
        <v>9</v>
      </c>
      <c r="K12" s="4" t="s">
        <v>11</v>
      </c>
      <c r="L12" s="4" t="s">
        <v>13</v>
      </c>
      <c r="M12" s="4">
        <v>2018</v>
      </c>
      <c r="N12" s="4">
        <v>1</v>
      </c>
      <c r="O12" s="4">
        <v>0</v>
      </c>
    </row>
    <row r="13" spans="1:21">
      <c r="A13" s="4" t="s">
        <v>8</v>
      </c>
      <c r="B13" s="4" t="s">
        <v>1030</v>
      </c>
      <c r="C13" s="6" t="s">
        <v>1203</v>
      </c>
      <c r="F13" s="13">
        <v>0</v>
      </c>
      <c r="I13" s="4"/>
      <c r="J13" s="4"/>
      <c r="K13" s="4"/>
      <c r="L13" s="4"/>
      <c r="M13" s="4"/>
      <c r="N13" s="4"/>
      <c r="O13" s="4"/>
    </row>
    <row r="14" spans="1:21">
      <c r="A14" s="4" t="s">
        <v>8</v>
      </c>
      <c r="B14" s="4" t="s">
        <v>1031</v>
      </c>
      <c r="C14" s="6" t="s">
        <v>1204</v>
      </c>
      <c r="F14" s="13">
        <v>0</v>
      </c>
      <c r="I14" s="4"/>
      <c r="J14" s="4"/>
      <c r="K14" s="4"/>
      <c r="L14" s="4"/>
      <c r="M14" s="4"/>
      <c r="N14" s="4"/>
      <c r="O14" s="4"/>
    </row>
    <row r="15" spans="1:21">
      <c r="A15" s="4" t="s">
        <v>8</v>
      </c>
      <c r="B15" s="4" t="s">
        <v>1032</v>
      </c>
      <c r="C15" s="6" t="s">
        <v>1205</v>
      </c>
      <c r="F15" s="13">
        <v>0</v>
      </c>
      <c r="I15" s="4"/>
      <c r="J15" s="4"/>
      <c r="K15" s="4"/>
      <c r="L15" s="4"/>
      <c r="M15" s="4"/>
      <c r="N15" s="4"/>
      <c r="O15" s="4"/>
    </row>
    <row r="16" spans="1:21">
      <c r="A16" s="4" t="s">
        <v>8</v>
      </c>
      <c r="B16" s="4" t="s">
        <v>34</v>
      </c>
      <c r="C16" s="6" t="s">
        <v>30</v>
      </c>
      <c r="D16" s="13">
        <v>1</v>
      </c>
      <c r="E16" s="13" t="s">
        <v>399</v>
      </c>
      <c r="F16" s="13">
        <v>1</v>
      </c>
      <c r="G16" s="21">
        <v>0</v>
      </c>
      <c r="H16" s="13">
        <v>1</v>
      </c>
      <c r="I16" s="4">
        <v>6</v>
      </c>
      <c r="J16" s="4">
        <v>9</v>
      </c>
      <c r="K16" s="4" t="s">
        <v>11</v>
      </c>
      <c r="L16" s="4" t="s">
        <v>13</v>
      </c>
      <c r="M16" s="4">
        <v>2018</v>
      </c>
      <c r="N16" s="4">
        <v>1</v>
      </c>
      <c r="O16" s="4">
        <v>0</v>
      </c>
    </row>
    <row r="17" spans="1:15">
      <c r="A17" s="4" t="s">
        <v>8</v>
      </c>
      <c r="B17" s="4" t="s">
        <v>35</v>
      </c>
      <c r="C17" s="6" t="s">
        <v>31</v>
      </c>
      <c r="D17" s="13">
        <v>1</v>
      </c>
      <c r="E17" s="13" t="s">
        <v>399</v>
      </c>
      <c r="F17" s="13">
        <v>1</v>
      </c>
      <c r="G17" s="21">
        <v>1</v>
      </c>
      <c r="H17" s="13">
        <v>2</v>
      </c>
      <c r="I17" s="4">
        <v>7</v>
      </c>
      <c r="J17" s="4">
        <v>9</v>
      </c>
      <c r="K17" s="4" t="s">
        <v>11</v>
      </c>
      <c r="L17" s="4" t="s">
        <v>13</v>
      </c>
      <c r="M17" s="4">
        <v>2018</v>
      </c>
      <c r="N17" s="4">
        <v>1</v>
      </c>
      <c r="O17" s="4">
        <v>0</v>
      </c>
    </row>
    <row r="18" spans="1:15">
      <c r="A18" s="4" t="s">
        <v>8</v>
      </c>
      <c r="B18" s="4" t="s">
        <v>1033</v>
      </c>
      <c r="C18" s="6" t="s">
        <v>1206</v>
      </c>
      <c r="F18" s="13">
        <v>0</v>
      </c>
      <c r="I18" s="4"/>
      <c r="J18" s="4"/>
      <c r="K18" s="4"/>
      <c r="L18" s="4"/>
      <c r="M18" s="4"/>
      <c r="N18" s="4"/>
      <c r="O18" s="4"/>
    </row>
    <row r="19" spans="1:15">
      <c r="A19" s="4" t="s">
        <v>8</v>
      </c>
      <c r="B19" s="4" t="s">
        <v>36</v>
      </c>
      <c r="C19" s="6" t="s">
        <v>32</v>
      </c>
      <c r="D19" s="13">
        <v>0</v>
      </c>
      <c r="F19" s="13">
        <v>1</v>
      </c>
      <c r="G19" s="21">
        <v>0</v>
      </c>
      <c r="H19" s="13">
        <v>1</v>
      </c>
      <c r="I19" s="4">
        <v>9</v>
      </c>
      <c r="J19" s="4">
        <v>9</v>
      </c>
      <c r="K19" s="4" t="s">
        <v>11</v>
      </c>
      <c r="L19" s="4" t="s">
        <v>13</v>
      </c>
      <c r="M19" s="4">
        <v>2018</v>
      </c>
      <c r="N19" s="4">
        <v>1</v>
      </c>
      <c r="O19" s="4">
        <v>0</v>
      </c>
    </row>
    <row r="20" spans="1:15">
      <c r="A20" s="4" t="s">
        <v>7</v>
      </c>
      <c r="B20" s="4" t="s">
        <v>37</v>
      </c>
      <c r="C20" s="7" t="s">
        <v>39</v>
      </c>
      <c r="D20" s="13">
        <v>1</v>
      </c>
      <c r="E20" s="13" t="s">
        <v>395</v>
      </c>
      <c r="F20" s="13">
        <v>1</v>
      </c>
      <c r="G20" s="21">
        <v>1</v>
      </c>
      <c r="H20" s="13">
        <v>2</v>
      </c>
      <c r="I20" s="4">
        <v>1</v>
      </c>
      <c r="J20" s="4">
        <v>7</v>
      </c>
      <c r="K20" s="4" t="s">
        <v>11</v>
      </c>
      <c r="L20" s="4" t="s">
        <v>13</v>
      </c>
      <c r="M20" s="4">
        <v>2019</v>
      </c>
      <c r="N20" s="4">
        <v>1</v>
      </c>
      <c r="O20" s="4">
        <v>1</v>
      </c>
    </row>
    <row r="21" spans="1:15">
      <c r="A21" s="4" t="s">
        <v>7</v>
      </c>
      <c r="B21" s="4" t="s">
        <v>44</v>
      </c>
      <c r="C21" s="7" t="s">
        <v>40</v>
      </c>
      <c r="D21" s="13">
        <v>1</v>
      </c>
      <c r="E21" s="13" t="s">
        <v>399</v>
      </c>
      <c r="F21" s="13">
        <v>1</v>
      </c>
      <c r="G21" s="21">
        <v>1</v>
      </c>
      <c r="H21" s="13">
        <v>2</v>
      </c>
      <c r="I21" s="4">
        <v>2</v>
      </c>
      <c r="J21" s="4">
        <v>7</v>
      </c>
      <c r="K21" s="4" t="s">
        <v>11</v>
      </c>
      <c r="L21" s="4" t="s">
        <v>13</v>
      </c>
      <c r="M21" s="4">
        <v>2019</v>
      </c>
      <c r="N21" s="4">
        <v>1</v>
      </c>
      <c r="O21" s="4">
        <v>1</v>
      </c>
    </row>
    <row r="22" spans="1:15">
      <c r="A22" s="4" t="s">
        <v>7</v>
      </c>
      <c r="B22" s="4" t="s">
        <v>1034</v>
      </c>
      <c r="C22" s="7" t="s">
        <v>1207</v>
      </c>
      <c r="F22" s="13">
        <v>0</v>
      </c>
      <c r="I22" s="4"/>
      <c r="J22" s="4"/>
      <c r="K22" s="4"/>
      <c r="L22" s="4"/>
      <c r="M22" s="4"/>
      <c r="N22" s="4"/>
      <c r="O22" s="4"/>
    </row>
    <row r="23" spans="1:15">
      <c r="A23" s="4" t="s">
        <v>7</v>
      </c>
      <c r="B23" s="4" t="s">
        <v>1035</v>
      </c>
      <c r="C23" s="7" t="s">
        <v>1208</v>
      </c>
      <c r="F23" s="13">
        <v>0</v>
      </c>
      <c r="I23" s="4"/>
      <c r="J23" s="4"/>
      <c r="K23" s="4"/>
      <c r="L23" s="4"/>
      <c r="M23" s="4"/>
      <c r="N23" s="4"/>
      <c r="O23" s="4"/>
    </row>
    <row r="24" spans="1:15">
      <c r="A24" s="4" t="s">
        <v>7</v>
      </c>
      <c r="B24" s="4" t="s">
        <v>45</v>
      </c>
      <c r="C24" s="8" t="s">
        <v>41</v>
      </c>
      <c r="D24" s="13">
        <v>1</v>
      </c>
      <c r="E24" s="13" t="s">
        <v>399</v>
      </c>
      <c r="F24" s="13">
        <v>1</v>
      </c>
      <c r="G24" s="21">
        <v>0</v>
      </c>
      <c r="H24" s="13">
        <v>1</v>
      </c>
      <c r="I24" s="4">
        <v>5</v>
      </c>
      <c r="J24" s="4">
        <v>7</v>
      </c>
      <c r="K24" s="4" t="s">
        <v>11</v>
      </c>
      <c r="L24" s="4" t="s">
        <v>13</v>
      </c>
      <c r="M24" s="4">
        <v>2019</v>
      </c>
      <c r="N24" s="4">
        <v>1</v>
      </c>
      <c r="O24" s="4">
        <v>1</v>
      </c>
    </row>
    <row r="25" spans="1:15">
      <c r="A25" s="4" t="s">
        <v>7</v>
      </c>
      <c r="B25" s="4" t="s">
        <v>46</v>
      </c>
      <c r="C25" s="8" t="s">
        <v>42</v>
      </c>
      <c r="D25" s="13">
        <v>1</v>
      </c>
      <c r="E25" s="13" t="s">
        <v>399</v>
      </c>
      <c r="F25" s="13">
        <v>1</v>
      </c>
      <c r="G25" s="21">
        <v>0</v>
      </c>
      <c r="H25" s="13">
        <v>2</v>
      </c>
      <c r="I25" s="4">
        <v>6</v>
      </c>
      <c r="J25" s="4">
        <v>7</v>
      </c>
      <c r="K25" s="4" t="s">
        <v>11</v>
      </c>
      <c r="L25" s="4" t="s">
        <v>13</v>
      </c>
      <c r="M25" s="4">
        <v>2019</v>
      </c>
      <c r="N25" s="4">
        <v>1</v>
      </c>
      <c r="O25" s="4">
        <v>1</v>
      </c>
    </row>
    <row r="26" spans="1:15">
      <c r="A26" s="4" t="s">
        <v>7</v>
      </c>
      <c r="B26" s="4" t="s">
        <v>47</v>
      </c>
      <c r="C26" s="8" t="s">
        <v>43</v>
      </c>
      <c r="D26" s="13">
        <v>0</v>
      </c>
      <c r="F26" s="13">
        <v>1</v>
      </c>
      <c r="G26" s="21">
        <v>0</v>
      </c>
      <c r="H26" s="13">
        <v>1</v>
      </c>
      <c r="I26" s="4">
        <v>7</v>
      </c>
      <c r="J26" s="4">
        <v>7</v>
      </c>
      <c r="K26" s="4" t="s">
        <v>11</v>
      </c>
      <c r="L26" s="4" t="s">
        <v>13</v>
      </c>
      <c r="M26" s="4">
        <v>2019</v>
      </c>
      <c r="N26" s="4">
        <v>1</v>
      </c>
      <c r="O26" s="4">
        <v>1</v>
      </c>
    </row>
    <row r="27" spans="1:15">
      <c r="A27" s="4" t="s">
        <v>38</v>
      </c>
      <c r="B27" s="4" t="s">
        <v>1036</v>
      </c>
      <c r="C27" s="8" t="s">
        <v>1209</v>
      </c>
      <c r="F27" s="13">
        <v>0</v>
      </c>
      <c r="I27" s="4"/>
      <c r="J27" s="4"/>
      <c r="K27" s="4"/>
      <c r="L27" s="4"/>
      <c r="M27" s="4"/>
      <c r="N27" s="4"/>
      <c r="O27" s="4"/>
    </row>
    <row r="28" spans="1:15">
      <c r="A28" s="4" t="s">
        <v>38</v>
      </c>
      <c r="B28" s="4" t="s">
        <v>1037</v>
      </c>
      <c r="C28" s="8" t="s">
        <v>1210</v>
      </c>
      <c r="F28" s="13">
        <v>0</v>
      </c>
      <c r="I28" s="4"/>
      <c r="J28" s="4"/>
      <c r="K28" s="4"/>
      <c r="L28" s="4"/>
      <c r="M28" s="4"/>
      <c r="N28" s="4"/>
      <c r="O28" s="4"/>
    </row>
    <row r="29" spans="1:15">
      <c r="A29" s="4" t="s">
        <v>38</v>
      </c>
      <c r="B29" s="4" t="s">
        <v>1038</v>
      </c>
      <c r="C29" s="8" t="s">
        <v>1211</v>
      </c>
      <c r="F29" s="13">
        <v>0</v>
      </c>
      <c r="I29" s="4"/>
      <c r="J29" s="4"/>
      <c r="K29" s="4"/>
      <c r="L29" s="4"/>
      <c r="M29" s="4"/>
      <c r="N29" s="4"/>
      <c r="O29" s="4"/>
    </row>
    <row r="30" spans="1:15">
      <c r="A30" s="4" t="s">
        <v>38</v>
      </c>
      <c r="B30" s="4" t="s">
        <v>1039</v>
      </c>
      <c r="C30" s="8" t="s">
        <v>1212</v>
      </c>
      <c r="F30" s="13">
        <v>0</v>
      </c>
      <c r="I30" s="4"/>
      <c r="J30" s="4"/>
      <c r="K30" s="4"/>
      <c r="L30" s="4"/>
      <c r="M30" s="4"/>
      <c r="N30" s="4"/>
      <c r="O30" s="4"/>
    </row>
    <row r="31" spans="1:15">
      <c r="A31" s="4" t="s">
        <v>38</v>
      </c>
      <c r="B31" s="4" t="s">
        <v>52</v>
      </c>
      <c r="C31" s="8" t="s">
        <v>48</v>
      </c>
      <c r="D31" s="13">
        <v>1</v>
      </c>
      <c r="E31" s="13" t="s">
        <v>395</v>
      </c>
      <c r="F31" s="13">
        <v>1</v>
      </c>
      <c r="G31" s="21">
        <v>1</v>
      </c>
      <c r="H31" s="13">
        <v>2</v>
      </c>
      <c r="I31" s="4">
        <v>5</v>
      </c>
      <c r="J31" s="4">
        <v>10</v>
      </c>
      <c r="K31" s="4" t="s">
        <v>11</v>
      </c>
      <c r="L31" s="4" t="s">
        <v>13</v>
      </c>
      <c r="M31" s="4">
        <v>2020</v>
      </c>
      <c r="N31" s="4">
        <v>1</v>
      </c>
      <c r="O31" s="4">
        <v>1</v>
      </c>
    </row>
    <row r="32" spans="1:15">
      <c r="A32" s="4" t="s">
        <v>38</v>
      </c>
      <c r="B32" s="4" t="s">
        <v>53</v>
      </c>
      <c r="C32" s="8" t="s">
        <v>49</v>
      </c>
      <c r="D32" s="13">
        <v>1</v>
      </c>
      <c r="E32" s="13" t="s">
        <v>399</v>
      </c>
      <c r="F32" s="13">
        <v>1</v>
      </c>
      <c r="G32" s="21">
        <v>1</v>
      </c>
      <c r="H32" s="13">
        <v>2</v>
      </c>
      <c r="I32" s="4">
        <v>6</v>
      </c>
      <c r="J32" s="4">
        <v>10</v>
      </c>
      <c r="K32" s="4" t="s">
        <v>11</v>
      </c>
      <c r="L32" s="4" t="s">
        <v>13</v>
      </c>
      <c r="M32" s="4">
        <v>2020</v>
      </c>
      <c r="N32" s="4">
        <v>1</v>
      </c>
      <c r="O32" s="4">
        <v>1</v>
      </c>
    </row>
    <row r="33" spans="1:15">
      <c r="A33" s="4" t="s">
        <v>38</v>
      </c>
      <c r="B33" s="4" t="s">
        <v>1040</v>
      </c>
      <c r="C33" s="8" t="s">
        <v>1213</v>
      </c>
      <c r="F33" s="13">
        <v>0</v>
      </c>
      <c r="I33" s="4"/>
      <c r="J33" s="4"/>
      <c r="K33" s="4"/>
      <c r="L33" s="4"/>
      <c r="M33" s="4"/>
      <c r="N33" s="4"/>
      <c r="O33" s="4"/>
    </row>
    <row r="34" spans="1:15">
      <c r="A34" s="4" t="s">
        <v>38</v>
      </c>
      <c r="B34" s="4" t="s">
        <v>54</v>
      </c>
      <c r="C34" s="8" t="s">
        <v>269</v>
      </c>
      <c r="D34" s="13">
        <v>1</v>
      </c>
      <c r="E34" s="13" t="s">
        <v>395</v>
      </c>
      <c r="F34" s="13">
        <v>1</v>
      </c>
      <c r="G34" s="21">
        <v>0</v>
      </c>
      <c r="H34" s="13">
        <v>2</v>
      </c>
      <c r="I34" s="4">
        <v>8</v>
      </c>
      <c r="J34" s="4">
        <v>10</v>
      </c>
      <c r="K34" s="4" t="s">
        <v>11</v>
      </c>
      <c r="L34" s="4" t="s">
        <v>13</v>
      </c>
      <c r="M34" s="4">
        <v>2020</v>
      </c>
      <c r="N34" s="4">
        <v>1</v>
      </c>
      <c r="O34" s="4">
        <v>1</v>
      </c>
    </row>
    <row r="35" spans="1:15">
      <c r="A35" s="4" t="s">
        <v>38</v>
      </c>
      <c r="B35" s="4" t="s">
        <v>55</v>
      </c>
      <c r="C35" s="8" t="s">
        <v>50</v>
      </c>
      <c r="D35" s="13">
        <v>1</v>
      </c>
      <c r="E35" s="13" t="s">
        <v>399</v>
      </c>
      <c r="F35" s="13">
        <v>1</v>
      </c>
      <c r="G35" s="21">
        <v>0</v>
      </c>
      <c r="H35" s="13">
        <v>1</v>
      </c>
      <c r="I35" s="4">
        <v>9</v>
      </c>
      <c r="J35" s="4">
        <v>10</v>
      </c>
      <c r="K35" s="4" t="s">
        <v>11</v>
      </c>
      <c r="L35" s="4" t="s">
        <v>13</v>
      </c>
      <c r="M35" s="4">
        <v>2020</v>
      </c>
      <c r="N35" s="4">
        <v>1</v>
      </c>
      <c r="O35" s="4">
        <v>1</v>
      </c>
    </row>
    <row r="36" spans="1:15">
      <c r="A36" s="4" t="s">
        <v>38</v>
      </c>
      <c r="B36" s="4" t="s">
        <v>268</v>
      </c>
      <c r="C36" s="8" t="s">
        <v>51</v>
      </c>
      <c r="D36" s="13">
        <v>1</v>
      </c>
      <c r="E36" s="13" t="s">
        <v>399</v>
      </c>
      <c r="F36" s="13">
        <v>1</v>
      </c>
      <c r="G36" s="21">
        <v>0</v>
      </c>
      <c r="H36" s="13">
        <v>2</v>
      </c>
      <c r="I36" s="4">
        <v>10</v>
      </c>
      <c r="J36" s="4">
        <v>10</v>
      </c>
      <c r="K36" s="4" t="s">
        <v>11</v>
      </c>
      <c r="L36" s="4" t="s">
        <v>13</v>
      </c>
      <c r="M36" s="4">
        <v>2020</v>
      </c>
      <c r="N36" s="4">
        <v>1</v>
      </c>
      <c r="O36" s="4">
        <v>1</v>
      </c>
    </row>
    <row r="37" spans="1:15">
      <c r="A37" s="4" t="s">
        <v>56</v>
      </c>
      <c r="B37" s="4" t="s">
        <v>57</v>
      </c>
      <c r="C37" s="8" t="s">
        <v>58</v>
      </c>
      <c r="D37" s="13">
        <v>1</v>
      </c>
      <c r="E37" s="13" t="s">
        <v>395</v>
      </c>
      <c r="F37" s="13">
        <v>1</v>
      </c>
      <c r="G37" s="21">
        <v>1</v>
      </c>
      <c r="H37" s="13">
        <v>2</v>
      </c>
      <c r="I37" s="4">
        <v>1</v>
      </c>
      <c r="J37" s="4">
        <v>6</v>
      </c>
      <c r="K37" s="4" t="s">
        <v>11</v>
      </c>
      <c r="L37" s="4" t="s">
        <v>13</v>
      </c>
      <c r="M37" s="4">
        <v>2021</v>
      </c>
      <c r="N37" s="4">
        <v>1</v>
      </c>
      <c r="O37" s="4">
        <v>1</v>
      </c>
    </row>
    <row r="38" spans="1:15">
      <c r="A38" s="4" t="s">
        <v>56</v>
      </c>
      <c r="B38" s="4" t="s">
        <v>61</v>
      </c>
      <c r="C38" s="8" t="s">
        <v>49</v>
      </c>
      <c r="D38" s="13">
        <v>1</v>
      </c>
      <c r="E38" s="13" t="s">
        <v>399</v>
      </c>
      <c r="F38" s="13">
        <v>1</v>
      </c>
      <c r="G38" s="21">
        <v>1</v>
      </c>
      <c r="H38" s="13">
        <v>2</v>
      </c>
      <c r="I38" s="4">
        <v>2</v>
      </c>
      <c r="J38" s="4">
        <v>6</v>
      </c>
      <c r="K38" s="4" t="s">
        <v>11</v>
      </c>
      <c r="L38" s="4" t="s">
        <v>13</v>
      </c>
      <c r="M38" s="4">
        <v>2021</v>
      </c>
      <c r="N38" s="4">
        <v>1</v>
      </c>
      <c r="O38" s="4">
        <v>1</v>
      </c>
    </row>
    <row r="39" spans="1:15">
      <c r="A39" s="4" t="s">
        <v>56</v>
      </c>
      <c r="B39" s="4" t="s">
        <v>1041</v>
      </c>
      <c r="C39" s="9" t="s">
        <v>1214</v>
      </c>
      <c r="F39" s="13">
        <v>0</v>
      </c>
      <c r="I39" s="4"/>
      <c r="J39" s="4"/>
      <c r="K39" s="4"/>
      <c r="L39" s="4"/>
      <c r="M39" s="4"/>
      <c r="N39" s="4"/>
      <c r="O39" s="4"/>
    </row>
    <row r="40" spans="1:15">
      <c r="A40" s="4" t="s">
        <v>56</v>
      </c>
      <c r="B40" s="4" t="s">
        <v>62</v>
      </c>
      <c r="C40" s="9" t="s">
        <v>59</v>
      </c>
      <c r="D40" s="13">
        <v>1</v>
      </c>
      <c r="E40" s="13" t="s">
        <v>395</v>
      </c>
      <c r="F40" s="13">
        <v>1</v>
      </c>
      <c r="G40" s="21">
        <v>1</v>
      </c>
      <c r="H40" s="13">
        <v>2</v>
      </c>
      <c r="I40" s="4">
        <v>4</v>
      </c>
      <c r="J40" s="4">
        <v>6</v>
      </c>
      <c r="K40" s="4" t="s">
        <v>11</v>
      </c>
      <c r="L40" s="4" t="s">
        <v>13</v>
      </c>
      <c r="M40" s="4">
        <v>2021</v>
      </c>
      <c r="N40" s="4">
        <v>1</v>
      </c>
      <c r="O40" s="4">
        <v>1</v>
      </c>
    </row>
    <row r="41" spans="1:15">
      <c r="A41" s="4" t="s">
        <v>56</v>
      </c>
      <c r="B41" s="4" t="s">
        <v>63</v>
      </c>
      <c r="C41" s="9" t="s">
        <v>60</v>
      </c>
      <c r="D41" s="13">
        <v>1</v>
      </c>
      <c r="E41" s="13" t="s">
        <v>399</v>
      </c>
      <c r="F41" s="13">
        <v>1</v>
      </c>
      <c r="G41" s="21">
        <v>0</v>
      </c>
      <c r="H41" s="13">
        <v>1</v>
      </c>
      <c r="I41" s="4">
        <v>5</v>
      </c>
      <c r="J41" s="4">
        <v>6</v>
      </c>
      <c r="K41" s="4" t="s">
        <v>11</v>
      </c>
      <c r="L41" s="4" t="s">
        <v>13</v>
      </c>
      <c r="M41" s="4">
        <v>2021</v>
      </c>
      <c r="N41" s="4">
        <v>1</v>
      </c>
      <c r="O41" s="4">
        <v>1</v>
      </c>
    </row>
    <row r="42" spans="1:15">
      <c r="A42" s="4" t="s">
        <v>56</v>
      </c>
      <c r="B42" s="4" t="s">
        <v>1042</v>
      </c>
      <c r="C42" s="9" t="s">
        <v>1215</v>
      </c>
      <c r="F42" s="13">
        <v>0</v>
      </c>
      <c r="I42" s="4"/>
      <c r="J42" s="4"/>
      <c r="K42" s="4"/>
      <c r="L42" s="4"/>
      <c r="M42" s="4"/>
      <c r="N42" s="4"/>
      <c r="O42" s="4"/>
    </row>
    <row r="43" spans="1:15">
      <c r="A43" s="4" t="s">
        <v>64</v>
      </c>
      <c r="B43" s="4" t="s">
        <v>65</v>
      </c>
      <c r="C43" s="9" t="s">
        <v>58</v>
      </c>
      <c r="D43" s="13">
        <v>1</v>
      </c>
      <c r="E43" s="13" t="s">
        <v>395</v>
      </c>
      <c r="F43" s="13">
        <v>1</v>
      </c>
      <c r="G43" s="21">
        <v>1</v>
      </c>
      <c r="H43" s="13">
        <v>2</v>
      </c>
      <c r="I43" s="4">
        <v>1</v>
      </c>
      <c r="J43" s="4">
        <v>7</v>
      </c>
      <c r="K43" s="4" t="s">
        <v>11</v>
      </c>
      <c r="L43" s="4" t="s">
        <v>13</v>
      </c>
      <c r="M43" s="4">
        <v>2022</v>
      </c>
      <c r="N43" s="4">
        <v>1</v>
      </c>
      <c r="O43" s="4">
        <v>1</v>
      </c>
    </row>
    <row r="44" spans="1:15">
      <c r="A44" s="4" t="s">
        <v>64</v>
      </c>
      <c r="B44" s="4" t="s">
        <v>71</v>
      </c>
      <c r="C44" s="9" t="s">
        <v>49</v>
      </c>
      <c r="D44" s="13">
        <v>1</v>
      </c>
      <c r="E44" s="13" t="s">
        <v>399</v>
      </c>
      <c r="F44" s="13">
        <v>1</v>
      </c>
      <c r="G44" s="21">
        <v>1</v>
      </c>
      <c r="H44" s="13">
        <v>2</v>
      </c>
      <c r="I44" s="4">
        <v>2</v>
      </c>
      <c r="J44" s="4">
        <v>7</v>
      </c>
      <c r="K44" s="4" t="s">
        <v>11</v>
      </c>
      <c r="L44" s="4" t="s">
        <v>13</v>
      </c>
      <c r="M44" s="4">
        <v>2022</v>
      </c>
      <c r="N44" s="4">
        <v>1</v>
      </c>
      <c r="O44" s="4">
        <v>1</v>
      </c>
    </row>
    <row r="45" spans="1:15">
      <c r="A45" s="4" t="s">
        <v>64</v>
      </c>
      <c r="B45" s="4" t="s">
        <v>72</v>
      </c>
      <c r="C45" s="9" t="s">
        <v>66</v>
      </c>
      <c r="D45" s="13">
        <v>1</v>
      </c>
      <c r="E45" s="13" t="s">
        <v>399</v>
      </c>
      <c r="F45" s="13">
        <v>1</v>
      </c>
      <c r="G45" s="21">
        <v>1</v>
      </c>
      <c r="H45" s="13">
        <v>2</v>
      </c>
      <c r="I45" s="4">
        <v>3</v>
      </c>
      <c r="J45" s="4">
        <v>7</v>
      </c>
      <c r="K45" s="4" t="s">
        <v>11</v>
      </c>
      <c r="L45" s="4" t="s">
        <v>13</v>
      </c>
      <c r="M45" s="4">
        <v>2022</v>
      </c>
      <c r="N45" s="4">
        <v>1</v>
      </c>
      <c r="O45" s="4">
        <v>1</v>
      </c>
    </row>
    <row r="46" spans="1:15">
      <c r="A46" s="4" t="s">
        <v>64</v>
      </c>
      <c r="B46" s="4" t="s">
        <v>73</v>
      </c>
      <c r="C46" s="9" t="s">
        <v>67</v>
      </c>
      <c r="D46" s="13">
        <v>1</v>
      </c>
      <c r="E46" s="13" t="s">
        <v>399</v>
      </c>
      <c r="F46" s="13">
        <v>1</v>
      </c>
      <c r="G46" s="21">
        <v>0</v>
      </c>
      <c r="H46" s="13">
        <v>2</v>
      </c>
      <c r="I46" s="4">
        <v>4</v>
      </c>
      <c r="J46" s="4">
        <v>7</v>
      </c>
      <c r="K46" s="4" t="s">
        <v>11</v>
      </c>
      <c r="L46" s="4" t="s">
        <v>13</v>
      </c>
      <c r="M46" s="4">
        <v>2022</v>
      </c>
      <c r="N46" s="4">
        <v>1</v>
      </c>
      <c r="O46" s="4">
        <v>1</v>
      </c>
    </row>
    <row r="47" spans="1:15">
      <c r="A47" s="4" t="s">
        <v>64</v>
      </c>
      <c r="B47" s="4" t="s">
        <v>74</v>
      </c>
      <c r="C47" s="9" t="s">
        <v>68</v>
      </c>
      <c r="D47" s="13">
        <v>1</v>
      </c>
      <c r="E47" s="13" t="s">
        <v>397</v>
      </c>
      <c r="F47" s="13">
        <v>1</v>
      </c>
      <c r="G47" s="21">
        <v>0</v>
      </c>
      <c r="H47" s="13">
        <v>2</v>
      </c>
      <c r="I47" s="4">
        <v>5</v>
      </c>
      <c r="J47" s="4">
        <v>7</v>
      </c>
      <c r="K47" s="4" t="s">
        <v>11</v>
      </c>
      <c r="L47" s="4" t="s">
        <v>13</v>
      </c>
      <c r="M47" s="4">
        <v>2022</v>
      </c>
      <c r="N47" s="4">
        <v>1</v>
      </c>
      <c r="O47" s="4">
        <v>1</v>
      </c>
    </row>
    <row r="48" spans="1:15">
      <c r="A48" s="4" t="s">
        <v>64</v>
      </c>
      <c r="B48" s="4" t="s">
        <v>75</v>
      </c>
      <c r="C48" s="9" t="s">
        <v>69</v>
      </c>
      <c r="D48" s="13">
        <v>1</v>
      </c>
      <c r="E48" s="13" t="s">
        <v>399</v>
      </c>
      <c r="F48" s="13">
        <v>1</v>
      </c>
      <c r="G48" s="21">
        <v>0</v>
      </c>
      <c r="H48" s="13">
        <v>1</v>
      </c>
      <c r="I48" s="4">
        <v>6</v>
      </c>
      <c r="J48" s="4">
        <v>7</v>
      </c>
      <c r="K48" s="4" t="s">
        <v>11</v>
      </c>
      <c r="L48" s="4" t="s">
        <v>13</v>
      </c>
      <c r="M48" s="4">
        <v>2022</v>
      </c>
      <c r="N48" s="4">
        <v>1</v>
      </c>
      <c r="O48" s="4">
        <v>1</v>
      </c>
    </row>
    <row r="49" spans="1:15">
      <c r="A49" s="4" t="s">
        <v>64</v>
      </c>
      <c r="B49" s="4" t="s">
        <v>76</v>
      </c>
      <c r="C49" s="9" t="s">
        <v>70</v>
      </c>
      <c r="D49" s="13">
        <v>1</v>
      </c>
      <c r="E49" s="13" t="s">
        <v>399</v>
      </c>
      <c r="F49" s="13">
        <v>1</v>
      </c>
      <c r="G49" s="21">
        <v>1</v>
      </c>
      <c r="H49" s="13">
        <v>2</v>
      </c>
      <c r="I49" s="4">
        <v>7</v>
      </c>
      <c r="J49" s="4">
        <v>7</v>
      </c>
      <c r="K49" s="4" t="s">
        <v>11</v>
      </c>
      <c r="L49" s="4" t="s">
        <v>13</v>
      </c>
      <c r="M49" s="4">
        <v>2022</v>
      </c>
      <c r="N49" s="4">
        <v>1</v>
      </c>
      <c r="O49" s="4">
        <v>1</v>
      </c>
    </row>
    <row r="50" spans="1:15">
      <c r="A50" s="4" t="s">
        <v>77</v>
      </c>
      <c r="B50" s="4" t="s">
        <v>78</v>
      </c>
      <c r="C50" s="9" t="s">
        <v>79</v>
      </c>
      <c r="D50" s="13">
        <v>1</v>
      </c>
      <c r="E50" s="13" t="s">
        <v>395</v>
      </c>
      <c r="F50" s="13">
        <v>1</v>
      </c>
      <c r="G50" s="21">
        <v>1</v>
      </c>
      <c r="H50" s="13">
        <v>2</v>
      </c>
      <c r="I50" s="4">
        <v>1</v>
      </c>
      <c r="J50" s="4">
        <v>8</v>
      </c>
      <c r="K50" s="4" t="s">
        <v>11</v>
      </c>
      <c r="L50" s="4" t="s">
        <v>13</v>
      </c>
      <c r="M50" s="4">
        <v>2023</v>
      </c>
      <c r="N50" s="4">
        <v>1</v>
      </c>
      <c r="O50" s="4">
        <v>1</v>
      </c>
    </row>
    <row r="51" spans="1:15">
      <c r="A51" s="4" t="s">
        <v>77</v>
      </c>
      <c r="B51" s="4" t="s">
        <v>86</v>
      </c>
      <c r="C51" s="9" t="s">
        <v>80</v>
      </c>
      <c r="D51" s="13">
        <v>1</v>
      </c>
      <c r="E51" s="13" t="s">
        <v>399</v>
      </c>
      <c r="F51" s="13">
        <v>1</v>
      </c>
      <c r="G51" s="21">
        <v>1</v>
      </c>
      <c r="H51" s="13">
        <v>2</v>
      </c>
      <c r="I51" s="4">
        <v>2</v>
      </c>
      <c r="J51" s="4">
        <v>8</v>
      </c>
      <c r="K51" s="4" t="s">
        <v>11</v>
      </c>
      <c r="L51" s="4" t="s">
        <v>13</v>
      </c>
      <c r="M51" s="4">
        <v>2023</v>
      </c>
      <c r="N51" s="4">
        <v>1</v>
      </c>
      <c r="O51" s="4">
        <v>1</v>
      </c>
    </row>
    <row r="52" spans="1:15">
      <c r="A52" s="4" t="s">
        <v>77</v>
      </c>
      <c r="B52" s="4" t="s">
        <v>87</v>
      </c>
      <c r="C52" s="9" t="s">
        <v>81</v>
      </c>
      <c r="D52" s="13">
        <v>1</v>
      </c>
      <c r="E52" s="13" t="s">
        <v>399</v>
      </c>
      <c r="F52" s="13">
        <v>1</v>
      </c>
      <c r="G52" s="21">
        <v>0</v>
      </c>
      <c r="H52" s="13">
        <v>2</v>
      </c>
      <c r="I52" s="4">
        <v>3</v>
      </c>
      <c r="J52" s="4">
        <v>8</v>
      </c>
      <c r="K52" s="4" t="s">
        <v>11</v>
      </c>
      <c r="L52" s="4" t="s">
        <v>13</v>
      </c>
      <c r="M52" s="4">
        <v>2023</v>
      </c>
      <c r="N52" s="4">
        <v>1</v>
      </c>
      <c r="O52" s="4">
        <v>1</v>
      </c>
    </row>
    <row r="53" spans="1:15">
      <c r="A53" s="4" t="s">
        <v>77</v>
      </c>
      <c r="B53" s="4" t="s">
        <v>88</v>
      </c>
      <c r="C53" s="9" t="s">
        <v>82</v>
      </c>
      <c r="D53" s="13">
        <v>1</v>
      </c>
      <c r="E53" s="13" t="s">
        <v>399</v>
      </c>
      <c r="F53" s="13">
        <v>1</v>
      </c>
      <c r="G53" s="21">
        <v>1</v>
      </c>
      <c r="H53" s="13">
        <v>2</v>
      </c>
      <c r="I53" s="4">
        <v>4</v>
      </c>
      <c r="J53" s="4">
        <v>8</v>
      </c>
      <c r="K53" s="4" t="s">
        <v>11</v>
      </c>
      <c r="L53" s="4" t="s">
        <v>13</v>
      </c>
      <c r="M53" s="4">
        <v>2023</v>
      </c>
      <c r="N53" s="4">
        <v>1</v>
      </c>
      <c r="O53" s="4">
        <v>1</v>
      </c>
    </row>
    <row r="54" spans="1:15">
      <c r="A54" s="4" t="s">
        <v>77</v>
      </c>
      <c r="B54" s="4" t="s">
        <v>89</v>
      </c>
      <c r="C54" s="9" t="s">
        <v>83</v>
      </c>
      <c r="D54" s="13">
        <v>1</v>
      </c>
      <c r="E54" s="13" t="s">
        <v>399</v>
      </c>
      <c r="F54" s="13">
        <v>1</v>
      </c>
      <c r="G54" s="21">
        <v>0</v>
      </c>
      <c r="H54" s="13">
        <v>2</v>
      </c>
      <c r="I54" s="4">
        <v>5</v>
      </c>
      <c r="J54" s="4">
        <v>8</v>
      </c>
      <c r="K54" s="4" t="s">
        <v>11</v>
      </c>
      <c r="L54" s="4" t="s">
        <v>13</v>
      </c>
      <c r="M54" s="4">
        <v>2023</v>
      </c>
      <c r="N54" s="4">
        <v>1</v>
      </c>
      <c r="O54" s="4">
        <v>1</v>
      </c>
    </row>
    <row r="55" spans="1:15">
      <c r="A55" s="4" t="s">
        <v>77</v>
      </c>
      <c r="B55" s="4" t="s">
        <v>1043</v>
      </c>
      <c r="C55" s="9" t="s">
        <v>1216</v>
      </c>
      <c r="F55" s="13">
        <v>0</v>
      </c>
      <c r="I55" s="4"/>
      <c r="J55" s="4"/>
      <c r="K55" s="4"/>
      <c r="L55" s="4"/>
      <c r="M55" s="4"/>
      <c r="N55" s="4"/>
      <c r="O55" s="4"/>
    </row>
    <row r="56" spans="1:15">
      <c r="A56" s="4" t="s">
        <v>77</v>
      </c>
      <c r="B56" s="4" t="s">
        <v>90</v>
      </c>
      <c r="C56" s="9" t="s">
        <v>84</v>
      </c>
      <c r="D56" s="13">
        <v>1</v>
      </c>
      <c r="E56" s="13" t="s">
        <v>399</v>
      </c>
      <c r="F56" s="13">
        <v>1</v>
      </c>
      <c r="G56" s="21">
        <v>0</v>
      </c>
      <c r="H56" s="13">
        <v>1</v>
      </c>
      <c r="I56" s="4">
        <v>7</v>
      </c>
      <c r="J56" s="4">
        <v>8</v>
      </c>
      <c r="K56" s="4" t="s">
        <v>11</v>
      </c>
      <c r="L56" s="4" t="s">
        <v>13</v>
      </c>
      <c r="M56" s="4">
        <v>2023</v>
      </c>
      <c r="N56" s="4">
        <v>1</v>
      </c>
      <c r="O56" s="4">
        <v>1</v>
      </c>
    </row>
    <row r="57" spans="1:15">
      <c r="A57" s="4" t="s">
        <v>77</v>
      </c>
      <c r="B57" s="4" t="s">
        <v>91</v>
      </c>
      <c r="C57" s="9" t="s">
        <v>85</v>
      </c>
      <c r="D57" s="13">
        <v>1</v>
      </c>
      <c r="E57" s="13" t="s">
        <v>399</v>
      </c>
      <c r="F57" s="13">
        <v>1</v>
      </c>
      <c r="G57" s="21">
        <v>1</v>
      </c>
      <c r="H57" s="13">
        <v>2</v>
      </c>
      <c r="I57" s="4">
        <v>8</v>
      </c>
      <c r="J57" s="4">
        <v>8</v>
      </c>
      <c r="K57" s="4" t="s">
        <v>11</v>
      </c>
      <c r="L57" s="4" t="s">
        <v>13</v>
      </c>
      <c r="M57" s="4">
        <v>2023</v>
      </c>
      <c r="N57" s="4">
        <v>1</v>
      </c>
      <c r="O57" s="4">
        <v>1</v>
      </c>
    </row>
    <row r="58" spans="1:15">
      <c r="A58" s="4" t="s">
        <v>92</v>
      </c>
      <c r="B58" s="4" t="s">
        <v>93</v>
      </c>
      <c r="C58" s="9" t="s">
        <v>94</v>
      </c>
      <c r="D58" s="13">
        <v>1</v>
      </c>
      <c r="E58" s="13" t="s">
        <v>395</v>
      </c>
      <c r="F58" s="13">
        <v>1</v>
      </c>
      <c r="G58" s="21">
        <v>1</v>
      </c>
      <c r="H58" s="13">
        <v>2</v>
      </c>
      <c r="I58" s="4">
        <v>1</v>
      </c>
      <c r="J58" s="4">
        <v>8</v>
      </c>
      <c r="K58" s="4" t="s">
        <v>11</v>
      </c>
      <c r="L58" s="4" t="s">
        <v>13</v>
      </c>
      <c r="M58" s="4">
        <v>2024</v>
      </c>
      <c r="N58" s="4">
        <v>1</v>
      </c>
      <c r="O58" s="4">
        <v>1</v>
      </c>
    </row>
    <row r="59" spans="1:15">
      <c r="A59" s="4" t="s">
        <v>92</v>
      </c>
      <c r="B59" s="4" t="s">
        <v>101</v>
      </c>
      <c r="C59" s="9" t="s">
        <v>95</v>
      </c>
      <c r="D59" s="13">
        <v>1</v>
      </c>
      <c r="E59" s="13" t="s">
        <v>399</v>
      </c>
      <c r="F59" s="13">
        <v>1</v>
      </c>
      <c r="G59" s="21">
        <v>1</v>
      </c>
      <c r="H59" s="13">
        <v>2</v>
      </c>
      <c r="I59" s="4">
        <v>2</v>
      </c>
      <c r="J59" s="4">
        <v>8</v>
      </c>
      <c r="K59" s="4" t="s">
        <v>11</v>
      </c>
      <c r="L59" s="4" t="s">
        <v>13</v>
      </c>
      <c r="M59" s="4">
        <v>2024</v>
      </c>
      <c r="N59" s="4">
        <v>1</v>
      </c>
      <c r="O59" s="4">
        <v>1</v>
      </c>
    </row>
    <row r="60" spans="1:15">
      <c r="A60" s="4" t="s">
        <v>92</v>
      </c>
      <c r="B60" s="4" t="s">
        <v>102</v>
      </c>
      <c r="C60" s="9" t="s">
        <v>96</v>
      </c>
      <c r="D60" s="13">
        <v>1</v>
      </c>
      <c r="E60" s="13" t="s">
        <v>399</v>
      </c>
      <c r="F60" s="13">
        <v>1</v>
      </c>
      <c r="G60" s="21">
        <v>1</v>
      </c>
      <c r="H60" s="13">
        <v>2</v>
      </c>
      <c r="I60" s="4">
        <v>3</v>
      </c>
      <c r="J60" s="4">
        <v>8</v>
      </c>
      <c r="K60" s="4" t="s">
        <v>11</v>
      </c>
      <c r="L60" s="4" t="s">
        <v>13</v>
      </c>
      <c r="M60" s="4">
        <v>2024</v>
      </c>
      <c r="N60" s="4">
        <v>1</v>
      </c>
      <c r="O60" s="4">
        <v>1</v>
      </c>
    </row>
    <row r="61" spans="1:15">
      <c r="A61" s="4" t="s">
        <v>92</v>
      </c>
      <c r="B61" s="4" t="s">
        <v>103</v>
      </c>
      <c r="C61" s="9" t="s">
        <v>83</v>
      </c>
      <c r="D61" s="13">
        <v>1</v>
      </c>
      <c r="E61" s="13" t="s">
        <v>399</v>
      </c>
      <c r="F61" s="13">
        <v>1</v>
      </c>
      <c r="G61" s="21">
        <v>0</v>
      </c>
      <c r="H61" s="13">
        <v>2</v>
      </c>
      <c r="I61" s="4">
        <v>4</v>
      </c>
      <c r="J61" s="4">
        <v>8</v>
      </c>
      <c r="K61" s="4" t="s">
        <v>11</v>
      </c>
      <c r="L61" s="4" t="s">
        <v>13</v>
      </c>
      <c r="M61" s="4">
        <v>2024</v>
      </c>
      <c r="N61" s="4">
        <v>1</v>
      </c>
      <c r="O61" s="4">
        <v>1</v>
      </c>
    </row>
    <row r="62" spans="1:15">
      <c r="A62" s="4" t="s">
        <v>92</v>
      </c>
      <c r="B62" s="4" t="s">
        <v>104</v>
      </c>
      <c r="C62" s="9" t="s">
        <v>97</v>
      </c>
      <c r="D62" s="13">
        <v>1</v>
      </c>
      <c r="E62" s="13" t="s">
        <v>397</v>
      </c>
      <c r="F62" s="13">
        <v>1</v>
      </c>
      <c r="G62" s="21">
        <v>0</v>
      </c>
      <c r="H62" s="13">
        <v>2</v>
      </c>
      <c r="I62" s="4">
        <v>5</v>
      </c>
      <c r="J62" s="4">
        <v>8</v>
      </c>
      <c r="K62" s="4" t="s">
        <v>11</v>
      </c>
      <c r="L62" s="4" t="s">
        <v>13</v>
      </c>
      <c r="M62" s="4">
        <v>2024</v>
      </c>
      <c r="N62" s="4">
        <v>1</v>
      </c>
      <c r="O62" s="4">
        <v>1</v>
      </c>
    </row>
    <row r="63" spans="1:15">
      <c r="A63" s="4" t="s">
        <v>92</v>
      </c>
      <c r="B63" s="4" t="s">
        <v>105</v>
      </c>
      <c r="C63" s="9" t="s">
        <v>98</v>
      </c>
      <c r="D63" s="13">
        <v>1</v>
      </c>
      <c r="E63" s="13" t="s">
        <v>399</v>
      </c>
      <c r="F63" s="13">
        <v>1</v>
      </c>
      <c r="G63" s="21">
        <v>0</v>
      </c>
      <c r="H63" s="13">
        <v>1</v>
      </c>
      <c r="I63" s="4">
        <v>6</v>
      </c>
      <c r="J63" s="4">
        <v>8</v>
      </c>
      <c r="K63" s="4" t="s">
        <v>11</v>
      </c>
      <c r="L63" s="4" t="s">
        <v>13</v>
      </c>
      <c r="M63" s="4">
        <v>2024</v>
      </c>
      <c r="N63" s="4">
        <v>1</v>
      </c>
      <c r="O63" s="4">
        <v>1</v>
      </c>
    </row>
    <row r="64" spans="1:15">
      <c r="A64" s="4" t="s">
        <v>92</v>
      </c>
      <c r="B64" s="4" t="s">
        <v>106</v>
      </c>
      <c r="C64" s="9" t="s">
        <v>99</v>
      </c>
      <c r="D64" s="13">
        <v>1</v>
      </c>
      <c r="E64" s="13" t="s">
        <v>399</v>
      </c>
      <c r="F64" s="13">
        <v>1</v>
      </c>
      <c r="G64" s="21">
        <v>1</v>
      </c>
      <c r="H64" s="13">
        <v>2</v>
      </c>
      <c r="I64" s="4">
        <v>7</v>
      </c>
      <c r="J64" s="4">
        <v>8</v>
      </c>
      <c r="K64" s="4" t="s">
        <v>11</v>
      </c>
      <c r="L64" s="4" t="s">
        <v>13</v>
      </c>
      <c r="M64" s="4">
        <v>2024</v>
      </c>
      <c r="N64" s="4">
        <v>1</v>
      </c>
      <c r="O64" s="4">
        <v>1</v>
      </c>
    </row>
    <row r="65" spans="1:15">
      <c r="A65" s="4" t="s">
        <v>92</v>
      </c>
      <c r="B65" s="4" t="s">
        <v>107</v>
      </c>
      <c r="C65" s="9" t="s">
        <v>100</v>
      </c>
      <c r="D65" s="13">
        <v>1</v>
      </c>
      <c r="E65" s="13" t="s">
        <v>399</v>
      </c>
      <c r="F65" s="13">
        <v>1</v>
      </c>
      <c r="G65" s="21">
        <v>1</v>
      </c>
      <c r="H65" s="13">
        <v>2</v>
      </c>
      <c r="I65" s="4">
        <v>8</v>
      </c>
      <c r="J65" s="4">
        <v>8</v>
      </c>
      <c r="K65" s="4" t="s">
        <v>11</v>
      </c>
      <c r="L65" s="4" t="s">
        <v>13</v>
      </c>
      <c r="M65" s="4">
        <v>2024</v>
      </c>
      <c r="N65" s="4">
        <v>1</v>
      </c>
      <c r="O65" s="4">
        <v>1</v>
      </c>
    </row>
    <row r="66" spans="1:15">
      <c r="A66" s="4" t="s">
        <v>108</v>
      </c>
      <c r="B66" s="4" t="s">
        <v>109</v>
      </c>
      <c r="C66" s="9" t="s">
        <v>110</v>
      </c>
      <c r="D66" s="13">
        <v>1</v>
      </c>
      <c r="E66" s="13" t="s">
        <v>395</v>
      </c>
      <c r="F66" s="13">
        <v>1</v>
      </c>
      <c r="G66" s="21">
        <v>1</v>
      </c>
      <c r="H66" s="13">
        <v>2</v>
      </c>
      <c r="I66" s="4">
        <v>1</v>
      </c>
      <c r="J66" s="4">
        <v>8</v>
      </c>
      <c r="K66" s="4" t="s">
        <v>11</v>
      </c>
      <c r="L66" s="4" t="s">
        <v>13</v>
      </c>
      <c r="M66" s="4">
        <v>2025</v>
      </c>
      <c r="N66" s="4">
        <v>1</v>
      </c>
      <c r="O66" s="4">
        <v>1</v>
      </c>
    </row>
    <row r="67" spans="1:15">
      <c r="A67" s="4" t="s">
        <v>108</v>
      </c>
      <c r="B67" s="4" t="s">
        <v>117</v>
      </c>
      <c r="C67" s="9" t="s">
        <v>111</v>
      </c>
      <c r="D67" s="13">
        <v>1</v>
      </c>
      <c r="E67" s="13" t="s">
        <v>399</v>
      </c>
      <c r="F67" s="13">
        <v>1</v>
      </c>
      <c r="G67" s="21">
        <v>1</v>
      </c>
      <c r="H67" s="13">
        <v>2</v>
      </c>
      <c r="I67" s="4">
        <v>2</v>
      </c>
      <c r="J67" s="4">
        <v>8</v>
      </c>
      <c r="K67" s="4" t="s">
        <v>11</v>
      </c>
      <c r="L67" s="4" t="s">
        <v>13</v>
      </c>
      <c r="M67" s="4">
        <v>2025</v>
      </c>
      <c r="N67" s="4">
        <v>1</v>
      </c>
      <c r="O67" s="4">
        <v>1</v>
      </c>
    </row>
    <row r="68" spans="1:15">
      <c r="A68" s="4" t="s">
        <v>108</v>
      </c>
      <c r="B68" s="4" t="s">
        <v>118</v>
      </c>
      <c r="C68" s="9" t="s">
        <v>112</v>
      </c>
      <c r="D68" s="13">
        <v>1</v>
      </c>
      <c r="E68" s="13" t="s">
        <v>399</v>
      </c>
      <c r="F68" s="13">
        <v>1</v>
      </c>
      <c r="G68" s="21">
        <v>0</v>
      </c>
      <c r="H68" s="13">
        <v>2</v>
      </c>
      <c r="I68" s="4">
        <v>3</v>
      </c>
      <c r="J68" s="4">
        <v>8</v>
      </c>
      <c r="K68" s="4" t="s">
        <v>11</v>
      </c>
      <c r="L68" s="4" t="s">
        <v>13</v>
      </c>
      <c r="M68" s="4">
        <v>2025</v>
      </c>
      <c r="N68" s="4">
        <v>1</v>
      </c>
      <c r="O68" s="4">
        <v>1</v>
      </c>
    </row>
    <row r="69" spans="1:15">
      <c r="A69" s="4" t="s">
        <v>108</v>
      </c>
      <c r="B69" s="4" t="s">
        <v>119</v>
      </c>
      <c r="C69" s="9" t="s">
        <v>113</v>
      </c>
      <c r="D69" s="13">
        <v>1</v>
      </c>
      <c r="E69" s="13" t="s">
        <v>397</v>
      </c>
      <c r="F69" s="13">
        <v>1</v>
      </c>
      <c r="G69" s="21">
        <v>0</v>
      </c>
      <c r="H69" s="13">
        <v>2</v>
      </c>
      <c r="I69" s="4">
        <v>4</v>
      </c>
      <c r="J69" s="4">
        <v>8</v>
      </c>
      <c r="K69" s="4" t="s">
        <v>11</v>
      </c>
      <c r="L69" s="4" t="s">
        <v>13</v>
      </c>
      <c r="M69" s="4">
        <v>2025</v>
      </c>
      <c r="N69" s="4">
        <v>1</v>
      </c>
      <c r="O69" s="4">
        <v>1</v>
      </c>
    </row>
    <row r="70" spans="1:15">
      <c r="A70" s="4" t="s">
        <v>108</v>
      </c>
      <c r="B70" s="4" t="s">
        <v>1044</v>
      </c>
      <c r="C70" s="9" t="s">
        <v>1217</v>
      </c>
      <c r="F70" s="13">
        <v>0</v>
      </c>
      <c r="I70" s="4"/>
      <c r="J70" s="4"/>
      <c r="K70" s="4"/>
      <c r="L70" s="4"/>
      <c r="M70" s="4"/>
      <c r="N70" s="4"/>
      <c r="O70" s="4"/>
    </row>
    <row r="71" spans="1:15">
      <c r="A71" s="4" t="s">
        <v>108</v>
      </c>
      <c r="B71" s="4" t="s">
        <v>120</v>
      </c>
      <c r="C71" s="9" t="s">
        <v>114</v>
      </c>
      <c r="D71" s="13">
        <v>1</v>
      </c>
      <c r="E71" s="13" t="s">
        <v>399</v>
      </c>
      <c r="F71" s="13">
        <v>1</v>
      </c>
      <c r="G71" s="21">
        <v>0</v>
      </c>
      <c r="H71" s="13">
        <v>1</v>
      </c>
      <c r="I71" s="4">
        <v>6</v>
      </c>
      <c r="J71" s="4">
        <v>8</v>
      </c>
      <c r="K71" s="4" t="s">
        <v>11</v>
      </c>
      <c r="L71" s="4" t="s">
        <v>13</v>
      </c>
      <c r="M71" s="4">
        <v>2025</v>
      </c>
      <c r="N71" s="4">
        <v>1</v>
      </c>
      <c r="O71" s="4">
        <v>1</v>
      </c>
    </row>
    <row r="72" spans="1:15">
      <c r="A72" s="4" t="s">
        <v>108</v>
      </c>
      <c r="B72" s="4" t="s">
        <v>121</v>
      </c>
      <c r="C72" s="9" t="s">
        <v>115</v>
      </c>
      <c r="D72" s="13">
        <v>1</v>
      </c>
      <c r="E72" s="13" t="s">
        <v>399</v>
      </c>
      <c r="F72" s="13">
        <v>1</v>
      </c>
      <c r="G72" s="21">
        <v>1</v>
      </c>
      <c r="H72" s="13">
        <v>2</v>
      </c>
      <c r="I72" s="4">
        <v>7</v>
      </c>
      <c r="J72" s="4">
        <v>8</v>
      </c>
      <c r="K72" s="4" t="s">
        <v>11</v>
      </c>
      <c r="L72" s="4" t="s">
        <v>13</v>
      </c>
      <c r="M72" s="4">
        <v>2025</v>
      </c>
      <c r="N72" s="4">
        <v>1</v>
      </c>
      <c r="O72" s="4">
        <v>1</v>
      </c>
    </row>
    <row r="73" spans="1:15">
      <c r="A73" s="4" t="s">
        <v>108</v>
      </c>
      <c r="B73" s="4" t="s">
        <v>122</v>
      </c>
      <c r="C73" s="9" t="s">
        <v>116</v>
      </c>
      <c r="D73" s="13">
        <v>1</v>
      </c>
      <c r="E73" s="13" t="s">
        <v>399</v>
      </c>
      <c r="F73" s="13">
        <v>1</v>
      </c>
      <c r="G73" s="21">
        <v>1</v>
      </c>
      <c r="H73" s="13">
        <v>2</v>
      </c>
      <c r="I73" s="4">
        <v>8</v>
      </c>
      <c r="J73" s="4">
        <v>8</v>
      </c>
      <c r="K73" s="4" t="s">
        <v>11</v>
      </c>
      <c r="L73" s="4" t="s">
        <v>13</v>
      </c>
      <c r="M73" s="4">
        <v>2025</v>
      </c>
      <c r="N73" s="4">
        <v>1</v>
      </c>
      <c r="O73" s="4">
        <v>1</v>
      </c>
    </row>
    <row r="74" spans="1:15">
      <c r="A74" s="4" t="s">
        <v>123</v>
      </c>
      <c r="B74" s="4" t="s">
        <v>1045</v>
      </c>
      <c r="C74" s="9" t="s">
        <v>1218</v>
      </c>
      <c r="F74" s="13">
        <v>0</v>
      </c>
      <c r="I74" s="4"/>
      <c r="J74" s="4"/>
      <c r="K74" s="4"/>
      <c r="L74" s="4"/>
      <c r="M74" s="4"/>
      <c r="N74" s="4"/>
      <c r="O74" s="4"/>
    </row>
    <row r="75" spans="1:15">
      <c r="A75" s="4" t="s">
        <v>123</v>
      </c>
      <c r="B75" s="4" t="s">
        <v>136</v>
      </c>
      <c r="C75" s="9" t="s">
        <v>125</v>
      </c>
      <c r="D75" s="13">
        <v>1</v>
      </c>
      <c r="E75" s="13" t="s">
        <v>399</v>
      </c>
      <c r="F75" s="13">
        <v>1</v>
      </c>
      <c r="G75" s="21">
        <v>1</v>
      </c>
      <c r="H75" s="13">
        <v>2</v>
      </c>
      <c r="I75" s="4">
        <v>2</v>
      </c>
      <c r="J75" s="4">
        <v>21</v>
      </c>
      <c r="K75" s="4" t="s">
        <v>124</v>
      </c>
      <c r="L75" s="4" t="s">
        <v>13</v>
      </c>
      <c r="M75" s="4">
        <v>2017</v>
      </c>
      <c r="N75" s="4">
        <v>1</v>
      </c>
      <c r="O75" s="4">
        <v>0</v>
      </c>
    </row>
    <row r="76" spans="1:15">
      <c r="A76" s="4" t="s">
        <v>123</v>
      </c>
      <c r="B76" s="4" t="s">
        <v>1046</v>
      </c>
      <c r="C76" s="9" t="s">
        <v>1219</v>
      </c>
      <c r="F76" s="13">
        <v>0</v>
      </c>
      <c r="I76" s="4"/>
      <c r="J76" s="4"/>
      <c r="K76" s="4"/>
      <c r="L76" s="4"/>
      <c r="M76" s="4"/>
      <c r="N76" s="4"/>
      <c r="O76" s="4"/>
    </row>
    <row r="77" spans="1:15">
      <c r="A77" s="4" t="s">
        <v>123</v>
      </c>
      <c r="B77" s="4" t="s">
        <v>1047</v>
      </c>
      <c r="C77" s="9" t="s">
        <v>1220</v>
      </c>
      <c r="F77" s="13">
        <v>0</v>
      </c>
      <c r="I77" s="4"/>
      <c r="J77" s="4"/>
      <c r="K77" s="4"/>
      <c r="L77" s="4"/>
      <c r="M77" s="4"/>
      <c r="N77" s="4"/>
      <c r="O77" s="4"/>
    </row>
    <row r="78" spans="1:15">
      <c r="A78" s="4" t="s">
        <v>123</v>
      </c>
      <c r="B78" s="4" t="s">
        <v>1048</v>
      </c>
      <c r="C78" s="9" t="s">
        <v>1221</v>
      </c>
      <c r="F78" s="13">
        <v>0</v>
      </c>
      <c r="I78" s="4"/>
      <c r="J78" s="4"/>
      <c r="K78" s="4"/>
      <c r="L78" s="4"/>
      <c r="M78" s="4"/>
      <c r="N78" s="4"/>
      <c r="O78" s="4"/>
    </row>
    <row r="79" spans="1:15">
      <c r="A79" s="4" t="s">
        <v>123</v>
      </c>
      <c r="B79" s="4" t="s">
        <v>137</v>
      </c>
      <c r="C79" s="9" t="s">
        <v>126</v>
      </c>
      <c r="D79" s="13">
        <v>1</v>
      </c>
      <c r="E79" s="13" t="s">
        <v>397</v>
      </c>
      <c r="F79" s="13">
        <v>1</v>
      </c>
      <c r="G79" s="21">
        <v>0</v>
      </c>
      <c r="H79" s="13">
        <v>1</v>
      </c>
      <c r="I79" s="4">
        <v>6</v>
      </c>
      <c r="J79" s="4">
        <v>21</v>
      </c>
      <c r="K79" s="4" t="s">
        <v>124</v>
      </c>
      <c r="L79" s="4" t="s">
        <v>13</v>
      </c>
      <c r="M79" s="4">
        <v>2017</v>
      </c>
      <c r="N79" s="4">
        <v>1</v>
      </c>
      <c r="O79" s="4">
        <v>0</v>
      </c>
    </row>
    <row r="80" spans="1:15">
      <c r="A80" s="4" t="s">
        <v>123</v>
      </c>
      <c r="B80" s="4" t="s">
        <v>1049</v>
      </c>
      <c r="C80" s="9" t="s">
        <v>1222</v>
      </c>
      <c r="F80" s="13">
        <v>0</v>
      </c>
      <c r="I80" s="4"/>
      <c r="J80" s="4"/>
      <c r="K80" s="4"/>
      <c r="L80" s="4"/>
      <c r="M80" s="4"/>
      <c r="N80" s="4"/>
      <c r="O80" s="4"/>
    </row>
    <row r="81" spans="1:15">
      <c r="A81" s="4" t="s">
        <v>123</v>
      </c>
      <c r="B81" s="4" t="s">
        <v>138</v>
      </c>
      <c r="C81" s="9" t="s">
        <v>127</v>
      </c>
      <c r="D81" s="13">
        <v>1</v>
      </c>
      <c r="E81" s="13" t="s">
        <v>397</v>
      </c>
      <c r="F81" s="13">
        <v>1</v>
      </c>
      <c r="G81" s="21">
        <v>0</v>
      </c>
      <c r="H81" s="13">
        <v>1</v>
      </c>
      <c r="I81" s="4">
        <v>8</v>
      </c>
      <c r="J81" s="4">
        <v>21</v>
      </c>
      <c r="K81" s="4" t="s">
        <v>124</v>
      </c>
      <c r="L81" s="4" t="s">
        <v>13</v>
      </c>
      <c r="M81" s="4">
        <v>2017</v>
      </c>
      <c r="N81" s="4">
        <v>1</v>
      </c>
      <c r="O81" s="4">
        <v>0</v>
      </c>
    </row>
    <row r="82" spans="1:15">
      <c r="A82" s="4" t="s">
        <v>123</v>
      </c>
      <c r="B82" s="4" t="s">
        <v>1050</v>
      </c>
      <c r="C82" s="9" t="s">
        <v>1223</v>
      </c>
      <c r="F82" s="13">
        <v>0</v>
      </c>
      <c r="I82" s="4"/>
      <c r="J82" s="4"/>
      <c r="K82" s="4"/>
      <c r="L82" s="4"/>
      <c r="M82" s="4"/>
      <c r="N82" s="4"/>
      <c r="O82" s="4"/>
    </row>
    <row r="83" spans="1:15">
      <c r="A83" s="4" t="s">
        <v>123</v>
      </c>
      <c r="B83" s="4" t="s">
        <v>139</v>
      </c>
      <c r="C83" s="9" t="s">
        <v>128</v>
      </c>
      <c r="D83" s="13">
        <v>0</v>
      </c>
      <c r="F83" s="13">
        <v>1</v>
      </c>
      <c r="G83" s="21">
        <v>0</v>
      </c>
      <c r="H83" s="13">
        <v>1</v>
      </c>
      <c r="I83" s="4">
        <v>10</v>
      </c>
      <c r="J83" s="4">
        <v>21</v>
      </c>
      <c r="K83" s="4" t="s">
        <v>124</v>
      </c>
      <c r="L83" s="4" t="s">
        <v>13</v>
      </c>
      <c r="M83" s="4">
        <v>2017</v>
      </c>
      <c r="N83" s="4">
        <v>1</v>
      </c>
      <c r="O83" s="4">
        <v>0</v>
      </c>
    </row>
    <row r="84" spans="1:15">
      <c r="A84" s="4" t="s">
        <v>123</v>
      </c>
      <c r="B84" s="4" t="s">
        <v>140</v>
      </c>
      <c r="C84" s="9" t="s">
        <v>129</v>
      </c>
      <c r="D84" s="13">
        <v>1</v>
      </c>
      <c r="E84" s="13" t="s">
        <v>397</v>
      </c>
      <c r="F84" s="13">
        <v>1</v>
      </c>
      <c r="G84" s="21">
        <v>0</v>
      </c>
      <c r="H84" s="13">
        <v>1</v>
      </c>
      <c r="I84" s="4">
        <v>11</v>
      </c>
      <c r="J84" s="4">
        <v>21</v>
      </c>
      <c r="K84" s="4" t="s">
        <v>124</v>
      </c>
      <c r="L84" s="4" t="s">
        <v>13</v>
      </c>
      <c r="M84" s="4">
        <v>2017</v>
      </c>
      <c r="N84" s="4">
        <v>1</v>
      </c>
      <c r="O84" s="4">
        <v>0</v>
      </c>
    </row>
    <row r="85" spans="1:15">
      <c r="A85" s="4" t="s">
        <v>123</v>
      </c>
      <c r="B85" s="4" t="s">
        <v>1051</v>
      </c>
      <c r="C85" s="9" t="s">
        <v>1224</v>
      </c>
      <c r="F85" s="13">
        <v>0</v>
      </c>
      <c r="I85" s="4"/>
      <c r="J85" s="4"/>
      <c r="K85" s="4"/>
      <c r="L85" s="4"/>
      <c r="M85" s="4"/>
      <c r="N85" s="4"/>
      <c r="O85" s="4"/>
    </row>
    <row r="86" spans="1:15">
      <c r="A86" s="4" t="s">
        <v>123</v>
      </c>
      <c r="B86" s="4" t="s">
        <v>1052</v>
      </c>
      <c r="C86" s="9" t="s">
        <v>1225</v>
      </c>
      <c r="F86" s="13">
        <v>0</v>
      </c>
      <c r="I86" s="4"/>
      <c r="J86" s="4"/>
      <c r="K86" s="4"/>
      <c r="L86" s="4"/>
      <c r="M86" s="4"/>
      <c r="N86" s="4"/>
      <c r="O86" s="4"/>
    </row>
    <row r="87" spans="1:15">
      <c r="A87" s="4" t="s">
        <v>123</v>
      </c>
      <c r="B87" s="4" t="s">
        <v>141</v>
      </c>
      <c r="C87" s="9" t="s">
        <v>130</v>
      </c>
      <c r="D87" s="13">
        <v>0</v>
      </c>
      <c r="F87" s="13">
        <v>1</v>
      </c>
      <c r="G87" s="21">
        <v>0</v>
      </c>
      <c r="H87" s="13">
        <v>1</v>
      </c>
      <c r="I87" s="4">
        <v>14</v>
      </c>
      <c r="J87" s="4">
        <v>21</v>
      </c>
      <c r="K87" s="4" t="s">
        <v>124</v>
      </c>
      <c r="L87" s="4" t="s">
        <v>13</v>
      </c>
      <c r="M87" s="4">
        <v>2017</v>
      </c>
      <c r="N87" s="4">
        <v>1</v>
      </c>
      <c r="O87" s="4">
        <v>0</v>
      </c>
    </row>
    <row r="88" spans="1:15">
      <c r="A88" s="4" t="s">
        <v>123</v>
      </c>
      <c r="B88" s="4" t="s">
        <v>142</v>
      </c>
      <c r="C88" s="9" t="s">
        <v>131</v>
      </c>
      <c r="D88" s="13">
        <v>0</v>
      </c>
      <c r="F88" s="13">
        <v>1</v>
      </c>
      <c r="G88" s="21">
        <v>0</v>
      </c>
      <c r="H88" s="13">
        <v>1</v>
      </c>
      <c r="I88" s="4">
        <v>15</v>
      </c>
      <c r="J88" s="4">
        <v>21</v>
      </c>
      <c r="K88" s="4" t="s">
        <v>124</v>
      </c>
      <c r="L88" s="4" t="s">
        <v>13</v>
      </c>
      <c r="M88" s="4">
        <v>2017</v>
      </c>
      <c r="N88" s="4">
        <v>1</v>
      </c>
      <c r="O88" s="4">
        <v>0</v>
      </c>
    </row>
    <row r="89" spans="1:15">
      <c r="A89" s="4" t="s">
        <v>123</v>
      </c>
      <c r="B89" s="4" t="s">
        <v>1053</v>
      </c>
      <c r="C89" s="9" t="s">
        <v>1226</v>
      </c>
      <c r="F89" s="13">
        <v>0</v>
      </c>
      <c r="I89" s="4"/>
      <c r="J89" s="4"/>
      <c r="K89" s="4"/>
      <c r="L89" s="4"/>
      <c r="M89" s="4"/>
      <c r="N89" s="4"/>
      <c r="O89" s="4"/>
    </row>
    <row r="90" spans="1:15">
      <c r="A90" s="4" t="s">
        <v>123</v>
      </c>
      <c r="B90" s="4" t="s">
        <v>143</v>
      </c>
      <c r="C90" s="9" t="s">
        <v>132</v>
      </c>
      <c r="D90" s="13">
        <v>1</v>
      </c>
      <c r="E90" s="13" t="s">
        <v>397</v>
      </c>
      <c r="F90" s="13">
        <v>1</v>
      </c>
      <c r="G90" s="21">
        <v>0</v>
      </c>
      <c r="H90" s="13">
        <v>1</v>
      </c>
      <c r="I90" s="4">
        <v>17</v>
      </c>
      <c r="J90" s="4">
        <v>21</v>
      </c>
      <c r="K90" s="4" t="s">
        <v>124</v>
      </c>
      <c r="L90" s="4" t="s">
        <v>13</v>
      </c>
      <c r="M90" s="4">
        <v>2017</v>
      </c>
      <c r="N90" s="4">
        <v>1</v>
      </c>
      <c r="O90" s="4">
        <v>0</v>
      </c>
    </row>
    <row r="91" spans="1:15">
      <c r="A91" s="4" t="s">
        <v>123</v>
      </c>
      <c r="B91" s="4" t="s">
        <v>1054</v>
      </c>
      <c r="C91" s="9" t="s">
        <v>1227</v>
      </c>
      <c r="F91" s="13">
        <v>0</v>
      </c>
      <c r="I91" s="4"/>
      <c r="J91" s="4"/>
      <c r="K91" s="4"/>
      <c r="L91" s="4"/>
      <c r="M91" s="4"/>
      <c r="N91" s="4"/>
      <c r="O91" s="4"/>
    </row>
    <row r="92" spans="1:15">
      <c r="A92" s="4" t="s">
        <v>123</v>
      </c>
      <c r="B92" s="4" t="s">
        <v>144</v>
      </c>
      <c r="C92" s="9" t="s">
        <v>133</v>
      </c>
      <c r="D92" s="13">
        <v>1</v>
      </c>
      <c r="E92" s="13" t="s">
        <v>399</v>
      </c>
      <c r="F92" s="13">
        <v>1</v>
      </c>
      <c r="G92" s="21">
        <v>0</v>
      </c>
      <c r="H92" s="13">
        <v>2</v>
      </c>
      <c r="I92" s="4">
        <v>19</v>
      </c>
      <c r="J92" s="4">
        <v>21</v>
      </c>
      <c r="K92" s="4" t="s">
        <v>124</v>
      </c>
      <c r="L92" s="4" t="s">
        <v>13</v>
      </c>
      <c r="M92" s="4">
        <v>2017</v>
      </c>
      <c r="N92" s="4">
        <v>1</v>
      </c>
      <c r="O92" s="4">
        <v>0</v>
      </c>
    </row>
    <row r="93" spans="1:15">
      <c r="A93" s="4" t="s">
        <v>123</v>
      </c>
      <c r="B93" s="4" t="s">
        <v>145</v>
      </c>
      <c r="C93" s="9" t="s">
        <v>134</v>
      </c>
      <c r="D93" s="13">
        <v>1</v>
      </c>
      <c r="E93" s="13" t="s">
        <v>399</v>
      </c>
      <c r="F93" s="13">
        <v>1</v>
      </c>
      <c r="G93" s="21">
        <v>0</v>
      </c>
      <c r="H93" s="13">
        <v>1</v>
      </c>
      <c r="I93" s="4">
        <v>20</v>
      </c>
      <c r="J93" s="4">
        <v>21</v>
      </c>
      <c r="K93" s="4" t="s">
        <v>124</v>
      </c>
      <c r="L93" s="4" t="s">
        <v>13</v>
      </c>
      <c r="M93" s="4">
        <v>2017</v>
      </c>
      <c r="N93" s="4">
        <v>1</v>
      </c>
      <c r="O93" s="4">
        <v>0</v>
      </c>
    </row>
    <row r="94" spans="1:15">
      <c r="A94" s="4" t="s">
        <v>123</v>
      </c>
      <c r="B94" s="4" t="s">
        <v>146</v>
      </c>
      <c r="C94" s="6" t="s">
        <v>135</v>
      </c>
      <c r="D94" s="13">
        <v>1</v>
      </c>
      <c r="E94" s="13" t="s">
        <v>399</v>
      </c>
      <c r="F94" s="13">
        <v>1</v>
      </c>
      <c r="G94" s="21">
        <v>0</v>
      </c>
      <c r="H94" s="13">
        <v>2</v>
      </c>
      <c r="I94" s="4">
        <v>21</v>
      </c>
      <c r="J94" s="4">
        <v>21</v>
      </c>
      <c r="K94" s="4" t="s">
        <v>124</v>
      </c>
      <c r="L94" s="4" t="s">
        <v>13</v>
      </c>
      <c r="M94" s="4">
        <v>2017</v>
      </c>
      <c r="N94" s="4">
        <v>1</v>
      </c>
      <c r="O94" s="4">
        <v>0</v>
      </c>
    </row>
    <row r="95" spans="1:15">
      <c r="A95" s="4" t="s">
        <v>147</v>
      </c>
      <c r="B95" s="4" t="s">
        <v>1055</v>
      </c>
      <c r="C95" s="9" t="s">
        <v>1228</v>
      </c>
      <c r="F95" s="13">
        <v>0</v>
      </c>
      <c r="I95" s="4"/>
      <c r="J95" s="4"/>
      <c r="K95" s="4"/>
      <c r="L95" s="4"/>
      <c r="M95" s="4"/>
      <c r="N95" s="4"/>
      <c r="O95" s="4"/>
    </row>
    <row r="96" spans="1:15">
      <c r="A96" s="4" t="s">
        <v>147</v>
      </c>
      <c r="B96" s="4" t="s">
        <v>1056</v>
      </c>
      <c r="C96" s="10" t="s">
        <v>1229</v>
      </c>
      <c r="F96" s="13">
        <v>0</v>
      </c>
      <c r="I96" s="4"/>
      <c r="J96" s="4"/>
      <c r="K96" s="4"/>
      <c r="L96" s="4"/>
      <c r="M96" s="4"/>
      <c r="N96" s="4"/>
      <c r="O96" s="4"/>
    </row>
    <row r="97" spans="1:15">
      <c r="A97" s="4" t="s">
        <v>147</v>
      </c>
      <c r="B97" s="4" t="s">
        <v>159</v>
      </c>
      <c r="C97" s="9" t="s">
        <v>148</v>
      </c>
      <c r="D97" s="13">
        <v>1</v>
      </c>
      <c r="E97" s="13" t="s">
        <v>399</v>
      </c>
      <c r="F97" s="13">
        <v>1</v>
      </c>
      <c r="G97" s="21">
        <v>1</v>
      </c>
      <c r="H97" s="13">
        <v>2</v>
      </c>
      <c r="I97" s="4">
        <v>3</v>
      </c>
      <c r="J97" s="4">
        <v>25</v>
      </c>
      <c r="K97" s="4" t="s">
        <v>124</v>
      </c>
      <c r="L97" s="4" t="s">
        <v>13</v>
      </c>
      <c r="M97" s="4">
        <v>2018</v>
      </c>
      <c r="N97" s="4">
        <v>1</v>
      </c>
      <c r="O97" s="4">
        <v>0</v>
      </c>
    </row>
    <row r="98" spans="1:15">
      <c r="A98" s="4" t="s">
        <v>147</v>
      </c>
      <c r="B98" s="4" t="s">
        <v>1057</v>
      </c>
      <c r="C98" s="9" t="s">
        <v>1230</v>
      </c>
      <c r="F98" s="13">
        <v>0</v>
      </c>
      <c r="I98" s="4"/>
      <c r="J98" s="4"/>
      <c r="K98" s="4"/>
      <c r="L98" s="4"/>
      <c r="M98" s="4"/>
      <c r="N98" s="4"/>
      <c r="O98" s="4"/>
    </row>
    <row r="99" spans="1:15">
      <c r="A99" s="4" t="s">
        <v>147</v>
      </c>
      <c r="B99" s="4" t="s">
        <v>160</v>
      </c>
      <c r="C99" s="9" t="s">
        <v>149</v>
      </c>
      <c r="D99" s="13">
        <v>1</v>
      </c>
      <c r="E99" s="13" t="s">
        <v>397</v>
      </c>
      <c r="F99" s="13">
        <v>1</v>
      </c>
      <c r="G99" s="21">
        <v>0</v>
      </c>
      <c r="H99" s="13">
        <v>1</v>
      </c>
      <c r="I99" s="4">
        <v>5</v>
      </c>
      <c r="J99" s="4">
        <v>25</v>
      </c>
      <c r="K99" s="4" t="s">
        <v>124</v>
      </c>
      <c r="L99" s="4" t="s">
        <v>13</v>
      </c>
      <c r="M99" s="4">
        <v>2018</v>
      </c>
      <c r="N99" s="4">
        <v>1</v>
      </c>
      <c r="O99" s="4">
        <v>0</v>
      </c>
    </row>
    <row r="100" spans="1:15">
      <c r="A100" s="4" t="s">
        <v>147</v>
      </c>
      <c r="B100" s="4" t="s">
        <v>161</v>
      </c>
      <c r="C100" s="9" t="s">
        <v>150</v>
      </c>
      <c r="D100" s="13">
        <v>1</v>
      </c>
      <c r="E100" s="13" t="s">
        <v>397</v>
      </c>
      <c r="F100" s="13">
        <v>1</v>
      </c>
      <c r="G100" s="21">
        <v>0</v>
      </c>
      <c r="H100" s="13">
        <v>1</v>
      </c>
      <c r="I100" s="4">
        <v>6</v>
      </c>
      <c r="J100" s="4">
        <v>25</v>
      </c>
      <c r="K100" s="4" t="s">
        <v>124</v>
      </c>
      <c r="L100" s="4" t="s">
        <v>13</v>
      </c>
      <c r="M100" s="4">
        <v>2018</v>
      </c>
      <c r="N100" s="4">
        <v>1</v>
      </c>
      <c r="O100" s="4">
        <v>0</v>
      </c>
    </row>
    <row r="101" spans="1:15">
      <c r="A101" s="4" t="s">
        <v>147</v>
      </c>
      <c r="B101" s="4" t="s">
        <v>162</v>
      </c>
      <c r="C101" s="9" t="s">
        <v>151</v>
      </c>
      <c r="D101" s="13">
        <v>1</v>
      </c>
      <c r="E101" s="13" t="s">
        <v>397</v>
      </c>
      <c r="F101" s="13">
        <v>1</v>
      </c>
      <c r="G101" s="21">
        <v>0</v>
      </c>
      <c r="H101" s="13">
        <v>1</v>
      </c>
      <c r="I101" s="4">
        <v>7</v>
      </c>
      <c r="J101" s="4">
        <v>25</v>
      </c>
      <c r="K101" s="4" t="s">
        <v>124</v>
      </c>
      <c r="L101" s="4" t="s">
        <v>13</v>
      </c>
      <c r="M101" s="4">
        <v>2018</v>
      </c>
      <c r="N101" s="4">
        <v>1</v>
      </c>
      <c r="O101" s="4">
        <v>0</v>
      </c>
    </row>
    <row r="102" spans="1:15">
      <c r="A102" s="4" t="s">
        <v>147</v>
      </c>
      <c r="B102" s="4" t="s">
        <v>163</v>
      </c>
      <c r="C102" s="9" t="s">
        <v>152</v>
      </c>
      <c r="D102" s="13">
        <v>1</v>
      </c>
      <c r="E102" s="13" t="s">
        <v>397</v>
      </c>
      <c r="F102" s="13">
        <v>1</v>
      </c>
      <c r="G102" s="21">
        <v>0</v>
      </c>
      <c r="H102" s="13">
        <v>1</v>
      </c>
      <c r="I102" s="4">
        <v>8</v>
      </c>
      <c r="J102" s="4">
        <v>25</v>
      </c>
      <c r="K102" s="4" t="s">
        <v>124</v>
      </c>
      <c r="L102" s="4" t="s">
        <v>13</v>
      </c>
      <c r="M102" s="4">
        <v>2018</v>
      </c>
      <c r="N102" s="4">
        <v>1</v>
      </c>
      <c r="O102" s="4">
        <v>0</v>
      </c>
    </row>
    <row r="103" spans="1:15">
      <c r="A103" s="4" t="s">
        <v>147</v>
      </c>
      <c r="B103" s="4" t="s">
        <v>1058</v>
      </c>
      <c r="C103" s="9" t="s">
        <v>1231</v>
      </c>
      <c r="F103" s="13">
        <v>0</v>
      </c>
      <c r="I103" s="4"/>
      <c r="J103" s="4"/>
      <c r="K103" s="4"/>
      <c r="L103" s="4"/>
      <c r="M103" s="4"/>
      <c r="N103" s="4"/>
      <c r="O103" s="4"/>
    </row>
    <row r="104" spans="1:15">
      <c r="A104" s="4" t="s">
        <v>147</v>
      </c>
      <c r="B104" s="4" t="s">
        <v>1059</v>
      </c>
      <c r="C104" s="9" t="s">
        <v>1232</v>
      </c>
      <c r="F104" s="13">
        <v>0</v>
      </c>
      <c r="I104" s="4"/>
      <c r="J104" s="4"/>
      <c r="K104" s="4"/>
      <c r="L104" s="4"/>
      <c r="M104" s="4"/>
      <c r="N104" s="4"/>
      <c r="O104" s="4"/>
    </row>
    <row r="105" spans="1:15">
      <c r="A105" s="4" t="s">
        <v>147</v>
      </c>
      <c r="B105" s="4" t="s">
        <v>1060</v>
      </c>
      <c r="C105" s="9" t="s">
        <v>1233</v>
      </c>
      <c r="F105" s="13">
        <v>0</v>
      </c>
      <c r="I105" s="4"/>
      <c r="J105" s="4"/>
      <c r="K105" s="4"/>
      <c r="L105" s="4"/>
      <c r="M105" s="4"/>
      <c r="N105" s="4"/>
      <c r="O105" s="4"/>
    </row>
    <row r="106" spans="1:15">
      <c r="A106" s="4" t="s">
        <v>147</v>
      </c>
      <c r="B106" s="4" t="s">
        <v>1061</v>
      </c>
      <c r="C106" s="9" t="s">
        <v>1234</v>
      </c>
      <c r="F106" s="13">
        <v>0</v>
      </c>
      <c r="I106" s="4"/>
      <c r="J106" s="4"/>
      <c r="K106" s="4"/>
      <c r="L106" s="4"/>
      <c r="M106" s="4"/>
      <c r="N106" s="4"/>
      <c r="O106" s="4"/>
    </row>
    <row r="107" spans="1:15">
      <c r="A107" s="4" t="s">
        <v>147</v>
      </c>
      <c r="B107" s="4" t="s">
        <v>1062</v>
      </c>
      <c r="C107" s="9" t="s">
        <v>1235</v>
      </c>
      <c r="F107" s="13">
        <v>0</v>
      </c>
      <c r="I107" s="4"/>
      <c r="J107" s="4"/>
      <c r="K107" s="4"/>
      <c r="L107" s="4"/>
      <c r="M107" s="4"/>
      <c r="N107" s="4"/>
      <c r="O107" s="4"/>
    </row>
    <row r="108" spans="1:15">
      <c r="A108" s="4" t="s">
        <v>147</v>
      </c>
      <c r="B108" s="4" t="s">
        <v>164</v>
      </c>
      <c r="C108" s="9" t="s">
        <v>153</v>
      </c>
      <c r="D108" s="13">
        <v>0</v>
      </c>
      <c r="F108" s="13">
        <v>1</v>
      </c>
      <c r="G108" s="21">
        <v>0</v>
      </c>
      <c r="H108" s="13">
        <v>1</v>
      </c>
      <c r="I108" s="4">
        <v>14</v>
      </c>
      <c r="J108" s="4">
        <v>25</v>
      </c>
      <c r="K108" s="4" t="s">
        <v>124</v>
      </c>
      <c r="L108" s="4" t="s">
        <v>13</v>
      </c>
      <c r="M108" s="4">
        <v>2018</v>
      </c>
      <c r="N108" s="4">
        <v>1</v>
      </c>
      <c r="O108" s="4">
        <v>0</v>
      </c>
    </row>
    <row r="109" spans="1:15">
      <c r="A109" s="4" t="s">
        <v>147</v>
      </c>
      <c r="B109" s="4" t="s">
        <v>1063</v>
      </c>
      <c r="C109" s="10" t="s">
        <v>1236</v>
      </c>
      <c r="F109" s="13">
        <v>0</v>
      </c>
      <c r="I109" s="4"/>
      <c r="J109" s="4"/>
      <c r="K109" s="4"/>
      <c r="L109" s="4"/>
      <c r="M109" s="4"/>
      <c r="N109" s="4"/>
      <c r="O109" s="4"/>
    </row>
    <row r="110" spans="1:15">
      <c r="A110" s="4" t="s">
        <v>147</v>
      </c>
      <c r="B110" s="4" t="s">
        <v>1064</v>
      </c>
      <c r="C110" s="9" t="s">
        <v>1237</v>
      </c>
      <c r="F110" s="13">
        <v>0</v>
      </c>
      <c r="I110" s="4"/>
      <c r="J110" s="4"/>
      <c r="K110" s="4"/>
      <c r="L110" s="4"/>
      <c r="M110" s="4"/>
      <c r="N110" s="4"/>
      <c r="O110" s="4"/>
    </row>
    <row r="111" spans="1:15">
      <c r="A111" s="4" t="s">
        <v>147</v>
      </c>
      <c r="B111" s="4" t="s">
        <v>165</v>
      </c>
      <c r="C111" s="9" t="s">
        <v>154</v>
      </c>
      <c r="D111" s="13">
        <v>0</v>
      </c>
      <c r="F111" s="13">
        <v>1</v>
      </c>
      <c r="G111" s="21">
        <v>0</v>
      </c>
      <c r="H111" s="13">
        <v>1</v>
      </c>
      <c r="I111" s="4">
        <v>17</v>
      </c>
      <c r="J111" s="4">
        <v>25</v>
      </c>
      <c r="K111" s="4" t="s">
        <v>124</v>
      </c>
      <c r="L111" s="4" t="s">
        <v>13</v>
      </c>
      <c r="M111" s="4">
        <v>2018</v>
      </c>
      <c r="N111" s="4">
        <v>1</v>
      </c>
      <c r="O111" s="4">
        <v>0</v>
      </c>
    </row>
    <row r="112" spans="1:15">
      <c r="A112" s="4" t="s">
        <v>147</v>
      </c>
      <c r="B112" s="4" t="s">
        <v>1065</v>
      </c>
      <c r="C112" s="9" t="s">
        <v>1238</v>
      </c>
      <c r="F112" s="13">
        <v>0</v>
      </c>
      <c r="I112" s="4"/>
      <c r="J112" s="4"/>
      <c r="K112" s="4"/>
      <c r="L112" s="4"/>
      <c r="M112" s="4"/>
      <c r="N112" s="4"/>
      <c r="O112" s="4"/>
    </row>
    <row r="113" spans="1:15">
      <c r="A113" s="4" t="s">
        <v>147</v>
      </c>
      <c r="B113" s="4" t="s">
        <v>166</v>
      </c>
      <c r="C113" s="9" t="s">
        <v>155</v>
      </c>
      <c r="D113" s="13">
        <v>0</v>
      </c>
      <c r="F113" s="13">
        <v>1</v>
      </c>
      <c r="G113" s="21">
        <v>0</v>
      </c>
      <c r="H113" s="13">
        <v>1</v>
      </c>
      <c r="I113" s="4">
        <v>19</v>
      </c>
      <c r="J113" s="4">
        <v>25</v>
      </c>
      <c r="K113" s="4" t="s">
        <v>124</v>
      </c>
      <c r="L113" s="4" t="s">
        <v>13</v>
      </c>
      <c r="M113" s="4">
        <v>2018</v>
      </c>
      <c r="N113" s="4">
        <v>1</v>
      </c>
      <c r="O113" s="4">
        <v>0</v>
      </c>
    </row>
    <row r="114" spans="1:15">
      <c r="A114" s="4" t="s">
        <v>147</v>
      </c>
      <c r="B114" s="4" t="s">
        <v>1066</v>
      </c>
      <c r="C114" s="10" t="s">
        <v>1226</v>
      </c>
      <c r="F114" s="13">
        <v>0</v>
      </c>
      <c r="I114" s="4"/>
      <c r="J114" s="4"/>
      <c r="K114" s="4"/>
      <c r="L114" s="4"/>
      <c r="M114" s="4"/>
      <c r="N114" s="4"/>
      <c r="O114" s="4"/>
    </row>
    <row r="115" spans="1:15">
      <c r="A115" s="4" t="s">
        <v>147</v>
      </c>
      <c r="B115" s="4" t="s">
        <v>167</v>
      </c>
      <c r="C115" s="9" t="s">
        <v>156</v>
      </c>
      <c r="D115" s="13">
        <v>1</v>
      </c>
      <c r="E115" s="13" t="s">
        <v>397</v>
      </c>
      <c r="F115" s="13">
        <v>1</v>
      </c>
      <c r="G115" s="21">
        <v>0</v>
      </c>
      <c r="H115" s="13">
        <v>1</v>
      </c>
      <c r="I115" s="4">
        <v>21</v>
      </c>
      <c r="J115" s="4">
        <v>25</v>
      </c>
      <c r="K115" s="4" t="s">
        <v>124</v>
      </c>
      <c r="L115" s="4" t="s">
        <v>13</v>
      </c>
      <c r="M115" s="4">
        <v>2018</v>
      </c>
      <c r="N115" s="4">
        <v>1</v>
      </c>
      <c r="O115" s="4">
        <v>0</v>
      </c>
    </row>
    <row r="116" spans="1:15">
      <c r="A116" s="4" t="s">
        <v>147</v>
      </c>
      <c r="B116" s="4" t="s">
        <v>168</v>
      </c>
      <c r="C116" s="10" t="s">
        <v>391</v>
      </c>
      <c r="D116" s="13">
        <v>1</v>
      </c>
      <c r="E116" s="13" t="s">
        <v>399</v>
      </c>
      <c r="F116" s="13">
        <v>1</v>
      </c>
      <c r="G116" s="21">
        <v>0</v>
      </c>
      <c r="H116" s="13">
        <v>1</v>
      </c>
      <c r="I116" s="4">
        <v>22</v>
      </c>
      <c r="J116" s="4">
        <v>25</v>
      </c>
      <c r="K116" s="4" t="s">
        <v>124</v>
      </c>
      <c r="L116" s="4" t="s">
        <v>13</v>
      </c>
      <c r="M116" s="4">
        <v>2018</v>
      </c>
      <c r="N116" s="4">
        <v>1</v>
      </c>
      <c r="O116" s="4">
        <v>0</v>
      </c>
    </row>
    <row r="117" spans="1:15">
      <c r="A117" s="4" t="s">
        <v>147</v>
      </c>
      <c r="B117" s="4" t="s">
        <v>1067</v>
      </c>
      <c r="C117" s="9" t="s">
        <v>1239</v>
      </c>
      <c r="F117" s="13">
        <v>0</v>
      </c>
      <c r="I117" s="4"/>
      <c r="J117" s="4"/>
      <c r="K117" s="4"/>
      <c r="L117" s="4"/>
      <c r="M117" s="4"/>
      <c r="N117" s="4"/>
      <c r="O117" s="4"/>
    </row>
    <row r="118" spans="1:15">
      <c r="A118" s="4" t="s">
        <v>147</v>
      </c>
      <c r="B118" s="4" t="s">
        <v>169</v>
      </c>
      <c r="C118" s="10" t="s">
        <v>157</v>
      </c>
      <c r="D118" s="13">
        <v>1</v>
      </c>
      <c r="E118" s="13" t="s">
        <v>399</v>
      </c>
      <c r="F118" s="13">
        <v>1</v>
      </c>
      <c r="G118" s="21">
        <v>0</v>
      </c>
      <c r="H118" s="13">
        <v>1</v>
      </c>
      <c r="I118" s="4">
        <v>24</v>
      </c>
      <c r="J118" s="4">
        <v>25</v>
      </c>
      <c r="K118" s="4" t="s">
        <v>124</v>
      </c>
      <c r="L118" s="4" t="s">
        <v>13</v>
      </c>
      <c r="M118" s="4">
        <v>2018</v>
      </c>
      <c r="N118" s="4">
        <v>1</v>
      </c>
      <c r="O118" s="4">
        <v>0</v>
      </c>
    </row>
    <row r="119" spans="1:15">
      <c r="A119" s="4" t="s">
        <v>147</v>
      </c>
      <c r="B119" s="4" t="s">
        <v>170</v>
      </c>
      <c r="C119" s="9" t="s">
        <v>158</v>
      </c>
      <c r="D119" s="13">
        <v>1</v>
      </c>
      <c r="E119" s="13" t="s">
        <v>399</v>
      </c>
      <c r="F119" s="13">
        <v>1</v>
      </c>
      <c r="G119" s="21">
        <v>0</v>
      </c>
      <c r="H119" s="13">
        <v>2</v>
      </c>
      <c r="I119" s="4">
        <v>25</v>
      </c>
      <c r="J119" s="4">
        <v>25</v>
      </c>
      <c r="K119" s="4" t="s">
        <v>124</v>
      </c>
      <c r="L119" s="4" t="s">
        <v>13</v>
      </c>
      <c r="M119" s="4">
        <v>2018</v>
      </c>
      <c r="N119" s="4">
        <v>1</v>
      </c>
      <c r="O119" s="4">
        <v>0</v>
      </c>
    </row>
    <row r="120" spans="1:15">
      <c r="A120" s="4" t="s">
        <v>171</v>
      </c>
      <c r="B120" s="4" t="s">
        <v>1068</v>
      </c>
      <c r="C120" s="9" t="s">
        <v>1240</v>
      </c>
      <c r="F120" s="13">
        <v>0</v>
      </c>
      <c r="I120" s="4"/>
      <c r="J120" s="4"/>
      <c r="K120" s="4"/>
      <c r="L120" s="4"/>
      <c r="M120" s="4"/>
      <c r="N120" s="4"/>
      <c r="O120" s="4"/>
    </row>
    <row r="121" spans="1:15">
      <c r="A121" s="4" t="s">
        <v>171</v>
      </c>
      <c r="B121" s="4" t="s">
        <v>1069</v>
      </c>
      <c r="C121" s="9" t="s">
        <v>1241</v>
      </c>
      <c r="F121" s="13">
        <v>0</v>
      </c>
      <c r="I121" s="4"/>
      <c r="J121" s="4"/>
      <c r="K121" s="4"/>
      <c r="L121" s="4"/>
      <c r="M121" s="4"/>
      <c r="N121" s="4"/>
      <c r="O121" s="4"/>
    </row>
    <row r="122" spans="1:15">
      <c r="A122" s="4" t="s">
        <v>171</v>
      </c>
      <c r="B122" s="4" t="s">
        <v>1070</v>
      </c>
      <c r="C122" s="9" t="s">
        <v>1242</v>
      </c>
      <c r="F122" s="13">
        <v>0</v>
      </c>
      <c r="I122" s="4"/>
      <c r="J122" s="4"/>
      <c r="K122" s="4"/>
      <c r="L122" s="4"/>
      <c r="M122" s="4"/>
      <c r="N122" s="4"/>
      <c r="O122" s="4"/>
    </row>
    <row r="123" spans="1:15">
      <c r="A123" s="4" t="s">
        <v>171</v>
      </c>
      <c r="B123" s="4" t="s">
        <v>181</v>
      </c>
      <c r="C123" s="9" t="s">
        <v>172</v>
      </c>
      <c r="D123" s="13">
        <v>1</v>
      </c>
      <c r="E123" s="13" t="s">
        <v>399</v>
      </c>
      <c r="F123" s="13">
        <v>1</v>
      </c>
      <c r="G123" s="21">
        <v>1</v>
      </c>
      <c r="H123" s="13">
        <v>2</v>
      </c>
      <c r="I123" s="4">
        <v>4</v>
      </c>
      <c r="J123" s="4">
        <v>16</v>
      </c>
      <c r="K123" s="4" t="s">
        <v>124</v>
      </c>
      <c r="L123" s="4" t="s">
        <v>13</v>
      </c>
      <c r="M123" s="4">
        <v>2019</v>
      </c>
      <c r="N123" s="4">
        <v>1</v>
      </c>
      <c r="O123" s="4">
        <v>1</v>
      </c>
    </row>
    <row r="124" spans="1:15">
      <c r="A124" s="4" t="s">
        <v>171</v>
      </c>
      <c r="B124" s="4" t="s">
        <v>1071</v>
      </c>
      <c r="C124" s="9" t="s">
        <v>1243</v>
      </c>
      <c r="F124" s="13">
        <v>0</v>
      </c>
      <c r="I124" s="4"/>
      <c r="J124" s="4"/>
      <c r="K124" s="4"/>
      <c r="L124" s="4"/>
      <c r="M124" s="4"/>
      <c r="N124" s="4"/>
      <c r="O124" s="4"/>
    </row>
    <row r="125" spans="1:15">
      <c r="A125" s="4" t="s">
        <v>171</v>
      </c>
      <c r="B125" s="4" t="s">
        <v>1072</v>
      </c>
      <c r="C125" s="9" t="s">
        <v>1244</v>
      </c>
      <c r="F125" s="13">
        <v>0</v>
      </c>
      <c r="I125" s="4"/>
      <c r="J125" s="4"/>
      <c r="K125" s="4"/>
      <c r="L125" s="4"/>
      <c r="M125" s="4"/>
      <c r="N125" s="4"/>
      <c r="O125" s="4"/>
    </row>
    <row r="126" spans="1:15">
      <c r="A126" s="4" t="s">
        <v>171</v>
      </c>
      <c r="B126" s="4" t="s">
        <v>182</v>
      </c>
      <c r="C126" s="9" t="s">
        <v>400</v>
      </c>
      <c r="D126" s="13">
        <v>1</v>
      </c>
      <c r="E126" s="13" t="s">
        <v>397</v>
      </c>
      <c r="F126" s="13">
        <v>1</v>
      </c>
      <c r="G126" s="21">
        <v>0</v>
      </c>
      <c r="H126" s="13">
        <v>1</v>
      </c>
      <c r="I126" s="4">
        <v>7</v>
      </c>
      <c r="J126" s="4">
        <v>16</v>
      </c>
      <c r="K126" s="4" t="s">
        <v>124</v>
      </c>
      <c r="L126" s="4" t="s">
        <v>13</v>
      </c>
      <c r="M126" s="4">
        <v>2019</v>
      </c>
      <c r="N126" s="4">
        <v>1</v>
      </c>
      <c r="O126" s="4">
        <v>1</v>
      </c>
    </row>
    <row r="127" spans="1:15">
      <c r="A127" s="4" t="s">
        <v>171</v>
      </c>
      <c r="B127" s="4" t="s">
        <v>1073</v>
      </c>
      <c r="C127" s="9" t="s">
        <v>1245</v>
      </c>
      <c r="F127" s="13">
        <v>0</v>
      </c>
      <c r="I127" s="4"/>
      <c r="J127" s="4"/>
      <c r="K127" s="4"/>
      <c r="L127" s="4"/>
      <c r="M127" s="4"/>
      <c r="N127" s="4"/>
      <c r="O127" s="4"/>
    </row>
    <row r="128" spans="1:15">
      <c r="A128" s="4" t="s">
        <v>171</v>
      </c>
      <c r="B128" s="4" t="s">
        <v>183</v>
      </c>
      <c r="C128" s="9" t="s">
        <v>173</v>
      </c>
      <c r="D128" s="13">
        <v>1</v>
      </c>
      <c r="E128" s="13" t="s">
        <v>397</v>
      </c>
      <c r="F128" s="13">
        <v>1</v>
      </c>
      <c r="G128" s="21">
        <v>0</v>
      </c>
      <c r="H128" s="13">
        <v>1</v>
      </c>
      <c r="I128" s="4">
        <v>9</v>
      </c>
      <c r="J128" s="4">
        <v>16</v>
      </c>
      <c r="K128" s="4" t="s">
        <v>124</v>
      </c>
      <c r="L128" s="4" t="s">
        <v>13</v>
      </c>
      <c r="M128" s="4">
        <v>2019</v>
      </c>
      <c r="N128" s="4">
        <v>1</v>
      </c>
      <c r="O128" s="4">
        <v>1</v>
      </c>
    </row>
    <row r="129" spans="1:15">
      <c r="A129" s="4" t="s">
        <v>171</v>
      </c>
      <c r="B129" s="4" t="s">
        <v>184</v>
      </c>
      <c r="C129" s="9" t="s">
        <v>174</v>
      </c>
      <c r="D129" s="13">
        <v>1</v>
      </c>
      <c r="E129" s="13" t="s">
        <v>397</v>
      </c>
      <c r="F129" s="13">
        <v>1</v>
      </c>
      <c r="G129" s="21">
        <v>0</v>
      </c>
      <c r="H129" s="13">
        <v>1</v>
      </c>
      <c r="I129" s="4">
        <v>10</v>
      </c>
      <c r="J129" s="4">
        <v>16</v>
      </c>
      <c r="K129" s="4" t="s">
        <v>124</v>
      </c>
      <c r="L129" s="4" t="s">
        <v>13</v>
      </c>
      <c r="M129" s="4">
        <v>2019</v>
      </c>
      <c r="N129" s="4">
        <v>1</v>
      </c>
      <c r="O129" s="4">
        <v>1</v>
      </c>
    </row>
    <row r="130" spans="1:15">
      <c r="A130" s="4" t="s">
        <v>171</v>
      </c>
      <c r="B130" s="4" t="s">
        <v>185</v>
      </c>
      <c r="C130" s="9" t="s">
        <v>175</v>
      </c>
      <c r="D130" s="13">
        <v>1</v>
      </c>
      <c r="E130" s="13" t="s">
        <v>399</v>
      </c>
      <c r="F130" s="13">
        <v>1</v>
      </c>
      <c r="G130" s="21">
        <v>1</v>
      </c>
      <c r="H130" s="13">
        <v>1</v>
      </c>
      <c r="I130" s="4">
        <v>11</v>
      </c>
      <c r="J130" s="4">
        <v>16</v>
      </c>
      <c r="K130" s="4" t="s">
        <v>124</v>
      </c>
      <c r="L130" s="4" t="s">
        <v>13</v>
      </c>
      <c r="M130" s="4">
        <v>2019</v>
      </c>
      <c r="N130" s="4">
        <v>1</v>
      </c>
      <c r="O130" s="4">
        <v>1</v>
      </c>
    </row>
    <row r="131" spans="1:15">
      <c r="A131" s="4" t="s">
        <v>171</v>
      </c>
      <c r="B131" s="4" t="s">
        <v>186</v>
      </c>
      <c r="C131" s="9" t="s">
        <v>176</v>
      </c>
      <c r="D131" s="13">
        <v>1</v>
      </c>
      <c r="E131" s="13" t="s">
        <v>397</v>
      </c>
      <c r="F131" s="13">
        <v>1</v>
      </c>
      <c r="G131" s="21">
        <v>0</v>
      </c>
      <c r="H131" s="13">
        <v>1</v>
      </c>
      <c r="I131" s="4">
        <v>12</v>
      </c>
      <c r="J131" s="4">
        <v>16</v>
      </c>
      <c r="K131" s="4" t="s">
        <v>124</v>
      </c>
      <c r="L131" s="4" t="s">
        <v>13</v>
      </c>
      <c r="M131" s="4">
        <v>2019</v>
      </c>
      <c r="N131" s="4">
        <v>1</v>
      </c>
      <c r="O131" s="4">
        <v>1</v>
      </c>
    </row>
    <row r="132" spans="1:15">
      <c r="A132" s="4" t="s">
        <v>171</v>
      </c>
      <c r="B132" s="4" t="s">
        <v>187</v>
      </c>
      <c r="C132" s="9" t="s">
        <v>177</v>
      </c>
      <c r="D132" s="13">
        <v>1</v>
      </c>
      <c r="E132" s="13" t="s">
        <v>399</v>
      </c>
      <c r="F132" s="13">
        <v>1</v>
      </c>
      <c r="G132" s="21">
        <v>0</v>
      </c>
      <c r="H132" s="13">
        <v>2</v>
      </c>
      <c r="I132" s="4">
        <v>13</v>
      </c>
      <c r="J132" s="4">
        <v>16</v>
      </c>
      <c r="K132" s="4" t="s">
        <v>124</v>
      </c>
      <c r="L132" s="4" t="s">
        <v>13</v>
      </c>
      <c r="M132" s="4">
        <v>2019</v>
      </c>
      <c r="N132" s="4">
        <v>1</v>
      </c>
      <c r="O132" s="4">
        <v>1</v>
      </c>
    </row>
    <row r="133" spans="1:15">
      <c r="A133" s="4" t="s">
        <v>171</v>
      </c>
      <c r="B133" s="4" t="s">
        <v>188</v>
      </c>
      <c r="C133" s="9" t="s">
        <v>178</v>
      </c>
      <c r="D133" s="13">
        <v>1</v>
      </c>
      <c r="E133" s="13" t="s">
        <v>397</v>
      </c>
      <c r="F133" s="13">
        <v>1</v>
      </c>
      <c r="G133" s="21">
        <v>1</v>
      </c>
      <c r="H133" s="13">
        <v>1</v>
      </c>
      <c r="I133" s="4">
        <v>14</v>
      </c>
      <c r="J133" s="4">
        <v>16</v>
      </c>
      <c r="K133" s="4" t="s">
        <v>124</v>
      </c>
      <c r="L133" s="4" t="s">
        <v>13</v>
      </c>
      <c r="M133" s="4">
        <v>2019</v>
      </c>
      <c r="N133" s="4">
        <v>1</v>
      </c>
      <c r="O133" s="4">
        <v>1</v>
      </c>
    </row>
    <row r="134" spans="1:15">
      <c r="A134" s="4" t="s">
        <v>171</v>
      </c>
      <c r="B134" s="4" t="s">
        <v>189</v>
      </c>
      <c r="C134" s="9" t="s">
        <v>179</v>
      </c>
      <c r="D134" s="13">
        <v>0</v>
      </c>
      <c r="F134" s="13">
        <v>1</v>
      </c>
      <c r="G134" s="21">
        <v>1</v>
      </c>
      <c r="H134" s="13">
        <v>1</v>
      </c>
      <c r="I134" s="4">
        <v>15</v>
      </c>
      <c r="J134" s="4">
        <v>16</v>
      </c>
      <c r="K134" s="4" t="s">
        <v>124</v>
      </c>
      <c r="L134" s="4" t="s">
        <v>13</v>
      </c>
      <c r="M134" s="4">
        <v>2019</v>
      </c>
      <c r="N134" s="4">
        <v>1</v>
      </c>
      <c r="O134" s="4">
        <v>1</v>
      </c>
    </row>
    <row r="135" spans="1:15">
      <c r="A135" s="4" t="s">
        <v>171</v>
      </c>
      <c r="B135" s="4" t="s">
        <v>190</v>
      </c>
      <c r="C135" s="9" t="s">
        <v>180</v>
      </c>
      <c r="D135" s="13">
        <v>0</v>
      </c>
      <c r="F135" s="13">
        <v>1</v>
      </c>
      <c r="G135" s="21">
        <v>0</v>
      </c>
      <c r="H135" s="13">
        <v>1</v>
      </c>
      <c r="I135" s="4">
        <v>16</v>
      </c>
      <c r="J135" s="4">
        <v>16</v>
      </c>
      <c r="K135" s="4" t="s">
        <v>124</v>
      </c>
      <c r="L135" s="4" t="s">
        <v>13</v>
      </c>
      <c r="M135" s="4">
        <v>2019</v>
      </c>
      <c r="N135" s="4">
        <v>1</v>
      </c>
      <c r="O135" s="4">
        <v>1</v>
      </c>
    </row>
    <row r="136" spans="1:15">
      <c r="A136" s="4" t="s">
        <v>191</v>
      </c>
      <c r="B136" s="4" t="s">
        <v>1074</v>
      </c>
      <c r="C136" s="9" t="s">
        <v>1246</v>
      </c>
      <c r="F136" s="13">
        <v>0</v>
      </c>
      <c r="I136" s="4"/>
      <c r="J136" s="4"/>
      <c r="K136" s="4"/>
      <c r="L136" s="4"/>
      <c r="M136" s="4"/>
      <c r="N136" s="4"/>
      <c r="O136" s="4"/>
    </row>
    <row r="137" spans="1:15">
      <c r="A137" s="4" t="s">
        <v>191</v>
      </c>
      <c r="B137" s="4" t="s">
        <v>204</v>
      </c>
      <c r="C137" s="11" t="s">
        <v>196</v>
      </c>
      <c r="D137" s="13">
        <v>1</v>
      </c>
      <c r="E137" s="13" t="s">
        <v>399</v>
      </c>
      <c r="F137" s="13">
        <v>1</v>
      </c>
      <c r="G137" s="21">
        <v>1</v>
      </c>
      <c r="H137" s="13">
        <v>1</v>
      </c>
      <c r="I137" s="4">
        <v>2</v>
      </c>
      <c r="J137" s="4">
        <v>17</v>
      </c>
      <c r="K137" s="4" t="s">
        <v>124</v>
      </c>
      <c r="L137" s="4" t="s">
        <v>13</v>
      </c>
      <c r="M137" s="4">
        <v>2020</v>
      </c>
      <c r="N137" s="4">
        <v>1</v>
      </c>
      <c r="O137" s="4">
        <v>1</v>
      </c>
    </row>
    <row r="138" spans="1:15">
      <c r="A138" s="4" t="s">
        <v>191</v>
      </c>
      <c r="B138" s="4" t="s">
        <v>1075</v>
      </c>
      <c r="C138" s="9" t="s">
        <v>1247</v>
      </c>
      <c r="F138" s="13">
        <v>0</v>
      </c>
      <c r="I138" s="4"/>
      <c r="J138" s="4"/>
      <c r="K138" s="4"/>
      <c r="L138" s="4"/>
      <c r="M138" s="4"/>
      <c r="N138" s="4"/>
      <c r="O138" s="4"/>
    </row>
    <row r="139" spans="1:15">
      <c r="A139" s="4" t="s">
        <v>191</v>
      </c>
      <c r="B139" s="4" t="s">
        <v>1076</v>
      </c>
      <c r="C139" s="11" t="s">
        <v>1248</v>
      </c>
      <c r="F139" s="13">
        <v>0</v>
      </c>
      <c r="I139" s="4"/>
      <c r="J139" s="4"/>
      <c r="K139" s="4"/>
      <c r="L139" s="4"/>
      <c r="M139" s="4"/>
      <c r="N139" s="4"/>
      <c r="O139" s="4"/>
    </row>
    <row r="140" spans="1:15">
      <c r="A140" s="4" t="s">
        <v>191</v>
      </c>
      <c r="B140" s="4" t="s">
        <v>205</v>
      </c>
      <c r="C140" s="11" t="s">
        <v>401</v>
      </c>
      <c r="D140" s="13">
        <v>1</v>
      </c>
      <c r="E140" s="13" t="s">
        <v>397</v>
      </c>
      <c r="F140" s="13">
        <v>1</v>
      </c>
      <c r="G140" s="21">
        <v>0</v>
      </c>
      <c r="H140" s="13">
        <v>1</v>
      </c>
      <c r="I140" s="4">
        <v>5</v>
      </c>
      <c r="J140" s="4">
        <v>17</v>
      </c>
      <c r="K140" s="4" t="s">
        <v>124</v>
      </c>
      <c r="L140" s="4" t="s">
        <v>13</v>
      </c>
      <c r="M140" s="4">
        <v>2020</v>
      </c>
      <c r="N140" s="4">
        <v>1</v>
      </c>
      <c r="O140" s="4">
        <v>1</v>
      </c>
    </row>
    <row r="141" spans="1:15">
      <c r="A141" s="4" t="s">
        <v>191</v>
      </c>
      <c r="B141" s="4" t="s">
        <v>206</v>
      </c>
      <c r="C141" s="11" t="s">
        <v>197</v>
      </c>
      <c r="D141" s="13">
        <v>1</v>
      </c>
      <c r="E141" s="13" t="s">
        <v>397</v>
      </c>
      <c r="F141" s="13">
        <v>1</v>
      </c>
      <c r="G141" s="21">
        <v>0</v>
      </c>
      <c r="H141" s="13">
        <v>1</v>
      </c>
      <c r="I141" s="4">
        <v>6</v>
      </c>
      <c r="J141" s="4">
        <v>17</v>
      </c>
      <c r="K141" s="4" t="s">
        <v>124</v>
      </c>
      <c r="L141" s="4" t="s">
        <v>13</v>
      </c>
      <c r="M141" s="4">
        <v>2020</v>
      </c>
      <c r="N141" s="4">
        <v>1</v>
      </c>
      <c r="O141" s="4">
        <v>1</v>
      </c>
    </row>
    <row r="142" spans="1:15">
      <c r="A142" s="4" t="s">
        <v>191</v>
      </c>
      <c r="B142" s="4" t="s">
        <v>1077</v>
      </c>
      <c r="C142" s="11" t="s">
        <v>1249</v>
      </c>
      <c r="F142" s="13">
        <v>0</v>
      </c>
      <c r="I142" s="4"/>
      <c r="J142" s="4"/>
      <c r="K142" s="4"/>
      <c r="L142" s="4"/>
      <c r="M142" s="4"/>
      <c r="N142" s="4"/>
      <c r="O142" s="4"/>
    </row>
    <row r="143" spans="1:15">
      <c r="A143" s="4" t="s">
        <v>191</v>
      </c>
      <c r="B143" s="4" t="s">
        <v>1078</v>
      </c>
      <c r="C143" s="9" t="s">
        <v>1250</v>
      </c>
      <c r="F143" s="13">
        <v>0</v>
      </c>
      <c r="I143" s="4"/>
      <c r="J143" s="4"/>
      <c r="K143" s="4"/>
      <c r="L143" s="4"/>
      <c r="M143" s="4"/>
      <c r="N143" s="4"/>
      <c r="O143" s="4"/>
    </row>
    <row r="144" spans="1:15">
      <c r="A144" s="4" t="s">
        <v>191</v>
      </c>
      <c r="B144" s="4" t="s">
        <v>207</v>
      </c>
      <c r="C144" s="11" t="s">
        <v>198</v>
      </c>
      <c r="D144" s="13">
        <v>1</v>
      </c>
      <c r="E144" s="13" t="s">
        <v>397</v>
      </c>
      <c r="F144" s="13">
        <v>1</v>
      </c>
      <c r="G144" s="21">
        <v>0</v>
      </c>
      <c r="H144" s="13">
        <v>1</v>
      </c>
      <c r="I144" s="4">
        <v>9</v>
      </c>
      <c r="J144" s="4">
        <v>17</v>
      </c>
      <c r="K144" s="4" t="s">
        <v>124</v>
      </c>
      <c r="L144" s="4" t="s">
        <v>13</v>
      </c>
      <c r="M144" s="4">
        <v>2020</v>
      </c>
      <c r="N144" s="4">
        <v>1</v>
      </c>
      <c r="O144" s="4">
        <v>1</v>
      </c>
    </row>
    <row r="145" spans="1:15">
      <c r="A145" s="4" t="s">
        <v>191</v>
      </c>
      <c r="B145" s="4" t="s">
        <v>1079</v>
      </c>
      <c r="C145" s="11" t="s">
        <v>1251</v>
      </c>
      <c r="F145" s="13">
        <v>0</v>
      </c>
      <c r="I145" s="4"/>
      <c r="J145" s="4"/>
      <c r="K145" s="4"/>
      <c r="L145" s="4"/>
      <c r="M145" s="4"/>
      <c r="N145" s="4"/>
      <c r="O145" s="4"/>
    </row>
    <row r="146" spans="1:15">
      <c r="A146" s="4" t="s">
        <v>191</v>
      </c>
      <c r="B146" s="4" t="s">
        <v>208</v>
      </c>
      <c r="C146" s="11" t="s">
        <v>156</v>
      </c>
      <c r="D146" s="13">
        <v>1</v>
      </c>
      <c r="E146" s="13" t="s">
        <v>397</v>
      </c>
      <c r="F146" s="13">
        <v>1</v>
      </c>
      <c r="G146" s="21">
        <v>0</v>
      </c>
      <c r="H146" s="13">
        <v>1</v>
      </c>
      <c r="I146" s="4">
        <v>11</v>
      </c>
      <c r="J146" s="4">
        <v>17</v>
      </c>
      <c r="K146" s="4" t="s">
        <v>124</v>
      </c>
      <c r="L146" s="4" t="s">
        <v>13</v>
      </c>
      <c r="M146" s="4">
        <v>2020</v>
      </c>
      <c r="N146" s="4">
        <v>1</v>
      </c>
      <c r="O146" s="4">
        <v>1</v>
      </c>
    </row>
    <row r="147" spans="1:15">
      <c r="A147" s="4" t="s">
        <v>191</v>
      </c>
      <c r="B147" s="4" t="s">
        <v>209</v>
      </c>
      <c r="C147" s="11" t="s">
        <v>199</v>
      </c>
      <c r="D147" s="13">
        <v>1</v>
      </c>
      <c r="E147" s="13" t="s">
        <v>399</v>
      </c>
      <c r="F147" s="13">
        <v>1</v>
      </c>
      <c r="G147" s="21">
        <v>1</v>
      </c>
      <c r="H147" s="13">
        <v>1</v>
      </c>
      <c r="I147" s="4">
        <v>12</v>
      </c>
      <c r="J147" s="4">
        <v>17</v>
      </c>
      <c r="K147" s="4" t="s">
        <v>124</v>
      </c>
      <c r="L147" s="4" t="s">
        <v>13</v>
      </c>
      <c r="M147" s="4">
        <v>2020</v>
      </c>
      <c r="N147" s="4">
        <v>1</v>
      </c>
      <c r="O147" s="4">
        <v>1</v>
      </c>
    </row>
    <row r="148" spans="1:15">
      <c r="A148" s="4" t="s">
        <v>191</v>
      </c>
      <c r="B148" s="4" t="s">
        <v>210</v>
      </c>
      <c r="C148" s="11" t="s">
        <v>200</v>
      </c>
      <c r="D148" s="13">
        <v>1</v>
      </c>
      <c r="E148" s="13" t="s">
        <v>399</v>
      </c>
      <c r="F148" s="13">
        <v>1</v>
      </c>
      <c r="G148" s="21">
        <v>0</v>
      </c>
      <c r="H148" s="13">
        <v>1</v>
      </c>
      <c r="I148" s="4">
        <v>13</v>
      </c>
      <c r="J148" s="4">
        <v>17</v>
      </c>
      <c r="K148" s="4" t="s">
        <v>124</v>
      </c>
      <c r="L148" s="4" t="s">
        <v>13</v>
      </c>
      <c r="M148" s="4">
        <v>2020</v>
      </c>
      <c r="N148" s="4">
        <v>1</v>
      </c>
      <c r="O148" s="4">
        <v>1</v>
      </c>
    </row>
    <row r="149" spans="1:15">
      <c r="A149" s="4" t="s">
        <v>191</v>
      </c>
      <c r="B149" s="4" t="s">
        <v>211</v>
      </c>
      <c r="C149" s="11" t="s">
        <v>158</v>
      </c>
      <c r="D149" s="13">
        <v>1</v>
      </c>
      <c r="E149" s="13" t="s">
        <v>399</v>
      </c>
      <c r="F149" s="13">
        <v>1</v>
      </c>
      <c r="G149" s="21">
        <v>0</v>
      </c>
      <c r="H149" s="13">
        <v>2</v>
      </c>
      <c r="I149" s="4">
        <v>14</v>
      </c>
      <c r="J149" s="4">
        <v>17</v>
      </c>
      <c r="K149" s="4" t="s">
        <v>124</v>
      </c>
      <c r="L149" s="4" t="s">
        <v>13</v>
      </c>
      <c r="M149" s="4">
        <v>2020</v>
      </c>
      <c r="N149" s="4">
        <v>1</v>
      </c>
      <c r="O149" s="4">
        <v>1</v>
      </c>
    </row>
    <row r="150" spans="1:15">
      <c r="A150" s="4" t="s">
        <v>191</v>
      </c>
      <c r="B150" s="4" t="s">
        <v>212</v>
      </c>
      <c r="C150" s="11" t="s">
        <v>201</v>
      </c>
      <c r="D150" s="13">
        <v>1</v>
      </c>
      <c r="E150" s="13" t="s">
        <v>397</v>
      </c>
      <c r="F150" s="13">
        <v>1</v>
      </c>
      <c r="G150" s="21">
        <v>1</v>
      </c>
      <c r="H150" s="13">
        <v>1</v>
      </c>
      <c r="I150" s="4">
        <v>15</v>
      </c>
      <c r="J150" s="4">
        <v>17</v>
      </c>
      <c r="K150" s="4" t="s">
        <v>124</v>
      </c>
      <c r="L150" s="4" t="s">
        <v>13</v>
      </c>
      <c r="M150" s="4">
        <v>2020</v>
      </c>
      <c r="N150" s="4">
        <v>1</v>
      </c>
      <c r="O150" s="4">
        <v>1</v>
      </c>
    </row>
    <row r="151" spans="1:15">
      <c r="A151" s="4" t="s">
        <v>191</v>
      </c>
      <c r="B151" s="4" t="s">
        <v>213</v>
      </c>
      <c r="C151" s="11" t="s">
        <v>202</v>
      </c>
      <c r="D151" s="13">
        <v>0</v>
      </c>
      <c r="F151" s="13">
        <v>1</v>
      </c>
      <c r="G151" s="21">
        <v>0</v>
      </c>
      <c r="H151" s="13">
        <v>1</v>
      </c>
      <c r="I151" s="4">
        <v>16</v>
      </c>
      <c r="J151" s="4">
        <v>17</v>
      </c>
      <c r="K151" s="4" t="s">
        <v>124</v>
      </c>
      <c r="L151" s="4" t="s">
        <v>13</v>
      </c>
      <c r="M151" s="4">
        <v>2020</v>
      </c>
      <c r="N151" s="4">
        <v>1</v>
      </c>
      <c r="O151" s="4">
        <v>1</v>
      </c>
    </row>
    <row r="152" spans="1:15">
      <c r="A152" s="4" t="s">
        <v>191</v>
      </c>
      <c r="B152" s="4" t="s">
        <v>214</v>
      </c>
      <c r="C152" s="11" t="s">
        <v>203</v>
      </c>
      <c r="D152" s="13">
        <v>0</v>
      </c>
      <c r="F152" s="13">
        <v>1</v>
      </c>
      <c r="G152" s="21">
        <v>0</v>
      </c>
      <c r="H152" s="13">
        <v>1</v>
      </c>
      <c r="I152" s="4">
        <v>17</v>
      </c>
      <c r="J152" s="4">
        <v>17</v>
      </c>
      <c r="K152" s="4" t="s">
        <v>124</v>
      </c>
      <c r="L152" s="4" t="s">
        <v>13</v>
      </c>
      <c r="M152" s="4">
        <v>2020</v>
      </c>
      <c r="N152" s="4">
        <v>1</v>
      </c>
      <c r="O152" s="4">
        <v>1</v>
      </c>
    </row>
    <row r="153" spans="1:15">
      <c r="A153" s="4" t="s">
        <v>217</v>
      </c>
      <c r="B153" s="4" t="s">
        <v>1080</v>
      </c>
      <c r="C153" s="11" t="s">
        <v>1252</v>
      </c>
      <c r="F153" s="13">
        <v>0</v>
      </c>
      <c r="I153" s="4"/>
      <c r="J153" s="4"/>
      <c r="K153" s="4"/>
      <c r="L153" s="4"/>
      <c r="M153" s="4"/>
      <c r="N153" s="4"/>
      <c r="O153" s="4"/>
    </row>
    <row r="154" spans="1:15">
      <c r="A154" s="4" t="s">
        <v>217</v>
      </c>
      <c r="B154" s="4" t="s">
        <v>1081</v>
      </c>
      <c r="C154" s="11" t="s">
        <v>1253</v>
      </c>
      <c r="F154" s="13">
        <v>0</v>
      </c>
      <c r="I154" s="4"/>
      <c r="J154" s="4"/>
      <c r="K154" s="4"/>
      <c r="L154" s="4"/>
      <c r="M154" s="4"/>
      <c r="N154" s="4"/>
      <c r="O154" s="4"/>
    </row>
    <row r="155" spans="1:15">
      <c r="A155" s="4" t="s">
        <v>217</v>
      </c>
      <c r="B155" s="4" t="s">
        <v>1082</v>
      </c>
      <c r="C155" s="11" t="s">
        <v>1254</v>
      </c>
      <c r="F155" s="13">
        <v>0</v>
      </c>
      <c r="I155" s="4"/>
      <c r="J155" s="4"/>
      <c r="K155" s="4"/>
      <c r="L155" s="4"/>
      <c r="M155" s="4"/>
      <c r="N155" s="4"/>
      <c r="O155" s="4"/>
    </row>
    <row r="156" spans="1:15">
      <c r="A156" s="4" t="s">
        <v>217</v>
      </c>
      <c r="B156" s="4" t="s">
        <v>1083</v>
      </c>
      <c r="C156" s="11" t="s">
        <v>1255</v>
      </c>
      <c r="F156" s="13">
        <v>0</v>
      </c>
      <c r="I156" s="4"/>
      <c r="J156" s="4"/>
      <c r="K156" s="4"/>
      <c r="L156" s="4"/>
      <c r="M156" s="4"/>
      <c r="N156" s="4"/>
      <c r="O156" s="4"/>
    </row>
    <row r="157" spans="1:15">
      <c r="A157" s="4" t="s">
        <v>217</v>
      </c>
      <c r="B157" s="4" t="s">
        <v>1084</v>
      </c>
      <c r="C157" s="11" t="s">
        <v>1256</v>
      </c>
      <c r="F157" s="13">
        <v>0</v>
      </c>
      <c r="I157" s="4"/>
      <c r="J157" s="4"/>
      <c r="K157" s="4"/>
      <c r="L157" s="4"/>
      <c r="M157" s="4"/>
      <c r="N157" s="4"/>
      <c r="O157" s="4"/>
    </row>
    <row r="158" spans="1:15">
      <c r="A158" s="4" t="s">
        <v>217</v>
      </c>
      <c r="B158" s="4" t="s">
        <v>229</v>
      </c>
      <c r="C158" s="11" t="s">
        <v>218</v>
      </c>
      <c r="D158" s="13">
        <v>1</v>
      </c>
      <c r="E158" s="13" t="s">
        <v>397</v>
      </c>
      <c r="F158" s="13">
        <v>1</v>
      </c>
      <c r="G158" s="21">
        <v>0</v>
      </c>
      <c r="H158" s="13">
        <v>1</v>
      </c>
      <c r="I158" s="4">
        <v>6</v>
      </c>
      <c r="J158" s="4">
        <v>22</v>
      </c>
      <c r="K158" s="4" t="s">
        <v>124</v>
      </c>
      <c r="L158" s="4" t="s">
        <v>13</v>
      </c>
      <c r="M158" s="4">
        <v>2021</v>
      </c>
      <c r="N158" s="4">
        <v>1</v>
      </c>
      <c r="O158" s="4">
        <v>1</v>
      </c>
    </row>
    <row r="159" spans="1:15">
      <c r="A159" s="4" t="s">
        <v>217</v>
      </c>
      <c r="B159" s="4" t="s">
        <v>1085</v>
      </c>
      <c r="C159" s="11" t="s">
        <v>1257</v>
      </c>
      <c r="F159" s="13">
        <v>0</v>
      </c>
      <c r="I159" s="4"/>
      <c r="J159" s="4"/>
      <c r="K159" s="4"/>
      <c r="L159" s="4"/>
      <c r="M159" s="4"/>
      <c r="N159" s="4"/>
      <c r="O159" s="4"/>
    </row>
    <row r="160" spans="1:15">
      <c r="A160" s="4" t="s">
        <v>217</v>
      </c>
      <c r="B160" s="4" t="s">
        <v>230</v>
      </c>
      <c r="C160" s="11" t="s">
        <v>219</v>
      </c>
      <c r="D160" s="13">
        <v>1</v>
      </c>
      <c r="E160" s="13" t="s">
        <v>397</v>
      </c>
      <c r="F160" s="13">
        <v>1</v>
      </c>
      <c r="G160" s="21">
        <v>0</v>
      </c>
      <c r="H160" s="13">
        <v>1</v>
      </c>
      <c r="I160" s="4">
        <v>8</v>
      </c>
      <c r="J160" s="4">
        <v>22</v>
      </c>
      <c r="K160" s="4" t="s">
        <v>124</v>
      </c>
      <c r="L160" s="4" t="s">
        <v>13</v>
      </c>
      <c r="M160" s="4">
        <v>2021</v>
      </c>
      <c r="N160" s="4">
        <v>1</v>
      </c>
      <c r="O160" s="4">
        <v>1</v>
      </c>
    </row>
    <row r="161" spans="1:15">
      <c r="A161" s="4" t="s">
        <v>217</v>
      </c>
      <c r="B161" s="4" t="s">
        <v>231</v>
      </c>
      <c r="C161" s="11" t="s">
        <v>220</v>
      </c>
      <c r="D161" s="13">
        <v>1</v>
      </c>
      <c r="E161" s="13" t="s">
        <v>397</v>
      </c>
      <c r="F161" s="13">
        <v>1</v>
      </c>
      <c r="G161" s="21">
        <v>0</v>
      </c>
      <c r="H161" s="13">
        <v>1</v>
      </c>
      <c r="I161" s="4">
        <v>9</v>
      </c>
      <c r="J161" s="4">
        <v>22</v>
      </c>
      <c r="K161" s="4" t="s">
        <v>124</v>
      </c>
      <c r="L161" s="4" t="s">
        <v>13</v>
      </c>
      <c r="M161" s="4">
        <v>2021</v>
      </c>
      <c r="N161" s="4">
        <v>1</v>
      </c>
      <c r="O161" s="4">
        <v>1</v>
      </c>
    </row>
    <row r="162" spans="1:15">
      <c r="A162" s="4" t="s">
        <v>217</v>
      </c>
      <c r="B162" s="4" t="s">
        <v>1086</v>
      </c>
      <c r="C162" s="11" t="s">
        <v>1258</v>
      </c>
      <c r="F162" s="13">
        <v>0</v>
      </c>
      <c r="I162" s="4"/>
      <c r="J162" s="4"/>
      <c r="K162" s="4"/>
      <c r="L162" s="4"/>
      <c r="M162" s="4"/>
      <c r="N162" s="4"/>
      <c r="O162" s="4"/>
    </row>
    <row r="163" spans="1:15">
      <c r="A163" s="4" t="s">
        <v>217</v>
      </c>
      <c r="B163" s="4" t="s">
        <v>1087</v>
      </c>
      <c r="C163" s="11" t="s">
        <v>1259</v>
      </c>
      <c r="F163" s="13">
        <v>0</v>
      </c>
      <c r="I163" s="4"/>
      <c r="J163" s="4"/>
      <c r="K163" s="4"/>
      <c r="L163" s="4"/>
      <c r="M163" s="4"/>
      <c r="N163" s="4"/>
      <c r="O163" s="4"/>
    </row>
    <row r="164" spans="1:15">
      <c r="A164" s="4" t="s">
        <v>217</v>
      </c>
      <c r="B164" s="4" t="s">
        <v>232</v>
      </c>
      <c r="C164" s="11" t="s">
        <v>221</v>
      </c>
      <c r="D164" s="13">
        <v>1</v>
      </c>
      <c r="E164" s="13" t="s">
        <v>397</v>
      </c>
      <c r="F164" s="13">
        <v>1</v>
      </c>
      <c r="G164" s="21">
        <v>0</v>
      </c>
      <c r="H164" s="13">
        <v>1</v>
      </c>
      <c r="I164" s="4">
        <v>12</v>
      </c>
      <c r="J164" s="4">
        <v>22</v>
      </c>
      <c r="K164" s="4" t="s">
        <v>124</v>
      </c>
      <c r="L164" s="4" t="s">
        <v>13</v>
      </c>
      <c r="M164" s="4">
        <v>2021</v>
      </c>
      <c r="N164" s="4">
        <v>1</v>
      </c>
      <c r="O164" s="4">
        <v>1</v>
      </c>
    </row>
    <row r="165" spans="1:15">
      <c r="A165" s="4" t="s">
        <v>217</v>
      </c>
      <c r="B165" s="4" t="s">
        <v>233</v>
      </c>
      <c r="C165" s="11" t="s">
        <v>222</v>
      </c>
      <c r="D165" s="13">
        <v>1</v>
      </c>
      <c r="E165" s="13" t="s">
        <v>395</v>
      </c>
      <c r="F165" s="13">
        <v>1</v>
      </c>
      <c r="G165" s="21">
        <v>0</v>
      </c>
      <c r="H165" s="13">
        <v>2</v>
      </c>
      <c r="I165" s="4">
        <v>13</v>
      </c>
      <c r="J165" s="4">
        <v>22</v>
      </c>
      <c r="K165" s="4" t="s">
        <v>124</v>
      </c>
      <c r="L165" s="4" t="s">
        <v>13</v>
      </c>
      <c r="M165" s="4">
        <v>2021</v>
      </c>
      <c r="N165" s="4">
        <v>1</v>
      </c>
      <c r="O165" s="4">
        <v>1</v>
      </c>
    </row>
    <row r="166" spans="1:15">
      <c r="A166" s="4" t="s">
        <v>217</v>
      </c>
      <c r="B166" s="4" t="s">
        <v>1088</v>
      </c>
      <c r="C166" s="9" t="s">
        <v>1260</v>
      </c>
      <c r="F166" s="13">
        <v>0</v>
      </c>
      <c r="I166" s="4"/>
      <c r="J166" s="4"/>
      <c r="K166" s="4"/>
      <c r="L166" s="4"/>
      <c r="M166" s="4"/>
      <c r="N166" s="4"/>
      <c r="O166" s="4"/>
    </row>
    <row r="167" spans="1:15">
      <c r="A167" s="4" t="s">
        <v>217</v>
      </c>
      <c r="B167" s="4" t="s">
        <v>234</v>
      </c>
      <c r="C167" s="9" t="s">
        <v>223</v>
      </c>
      <c r="D167" s="13">
        <v>1</v>
      </c>
      <c r="E167" s="13" t="s">
        <v>397</v>
      </c>
      <c r="F167" s="13">
        <v>1</v>
      </c>
      <c r="G167" s="21">
        <v>0</v>
      </c>
      <c r="H167" s="13">
        <v>1</v>
      </c>
      <c r="I167" s="4">
        <v>15</v>
      </c>
      <c r="J167" s="4">
        <v>22</v>
      </c>
      <c r="K167" s="4" t="s">
        <v>124</v>
      </c>
      <c r="L167" s="4" t="s">
        <v>13</v>
      </c>
      <c r="M167" s="4">
        <v>2021</v>
      </c>
      <c r="N167" s="4">
        <v>1</v>
      </c>
      <c r="O167" s="4">
        <v>1</v>
      </c>
    </row>
    <row r="168" spans="1:15">
      <c r="A168" s="4" t="s">
        <v>217</v>
      </c>
      <c r="B168" s="4" t="s">
        <v>235</v>
      </c>
      <c r="C168" s="9" t="s">
        <v>224</v>
      </c>
      <c r="D168" s="13">
        <v>1</v>
      </c>
      <c r="E168" s="13" t="s">
        <v>399</v>
      </c>
      <c r="F168" s="13">
        <v>1</v>
      </c>
      <c r="G168" s="21">
        <v>0</v>
      </c>
      <c r="H168" s="13">
        <v>2</v>
      </c>
      <c r="I168" s="4">
        <v>16</v>
      </c>
      <c r="J168" s="4">
        <v>22</v>
      </c>
      <c r="K168" s="4" t="s">
        <v>124</v>
      </c>
      <c r="L168" s="4" t="s">
        <v>13</v>
      </c>
      <c r="M168" s="4">
        <v>2021</v>
      </c>
      <c r="N168" s="4">
        <v>1</v>
      </c>
      <c r="O168" s="4">
        <v>1</v>
      </c>
    </row>
    <row r="169" spans="1:15">
      <c r="A169" s="4" t="s">
        <v>217</v>
      </c>
      <c r="B169" s="4" t="s">
        <v>1089</v>
      </c>
      <c r="C169" s="9" t="s">
        <v>1261</v>
      </c>
      <c r="F169" s="13">
        <v>0</v>
      </c>
      <c r="I169" s="4"/>
      <c r="J169" s="4"/>
      <c r="K169" s="4"/>
      <c r="L169" s="4"/>
      <c r="M169" s="4"/>
      <c r="N169" s="4"/>
      <c r="O169" s="4"/>
    </row>
    <row r="170" spans="1:15">
      <c r="A170" s="4" t="s">
        <v>217</v>
      </c>
      <c r="B170" s="4" t="s">
        <v>236</v>
      </c>
      <c r="C170" s="9" t="s">
        <v>225</v>
      </c>
      <c r="D170" s="13">
        <v>1</v>
      </c>
      <c r="E170" s="13" t="s">
        <v>399</v>
      </c>
      <c r="F170" s="13">
        <v>1</v>
      </c>
      <c r="G170" s="21">
        <v>0</v>
      </c>
      <c r="H170" s="13">
        <v>1</v>
      </c>
      <c r="I170" s="4">
        <v>18</v>
      </c>
      <c r="J170" s="4">
        <v>22</v>
      </c>
      <c r="K170" s="4" t="s">
        <v>124</v>
      </c>
      <c r="L170" s="4" t="s">
        <v>13</v>
      </c>
      <c r="M170" s="4">
        <v>2021</v>
      </c>
      <c r="N170" s="4">
        <v>1</v>
      </c>
      <c r="O170" s="4">
        <v>1</v>
      </c>
    </row>
    <row r="171" spans="1:15">
      <c r="A171" s="4" t="s">
        <v>217</v>
      </c>
      <c r="B171" s="4" t="s">
        <v>237</v>
      </c>
      <c r="C171" s="9" t="s">
        <v>226</v>
      </c>
      <c r="D171" s="13">
        <v>1</v>
      </c>
      <c r="E171" s="13" t="s">
        <v>399</v>
      </c>
      <c r="F171" s="13">
        <v>1</v>
      </c>
      <c r="G171" s="21">
        <v>0</v>
      </c>
      <c r="H171" s="13">
        <v>2</v>
      </c>
      <c r="I171" s="4">
        <v>19</v>
      </c>
      <c r="J171" s="4">
        <v>22</v>
      </c>
      <c r="K171" s="4" t="s">
        <v>124</v>
      </c>
      <c r="L171" s="4" t="s">
        <v>13</v>
      </c>
      <c r="M171" s="4">
        <v>2021</v>
      </c>
      <c r="N171" s="4">
        <v>1</v>
      </c>
      <c r="O171" s="4">
        <v>1</v>
      </c>
    </row>
    <row r="172" spans="1:15">
      <c r="A172" s="4" t="s">
        <v>217</v>
      </c>
      <c r="B172" s="4" t="s">
        <v>238</v>
      </c>
      <c r="C172" s="9" t="s">
        <v>227</v>
      </c>
      <c r="D172" s="13">
        <v>1</v>
      </c>
      <c r="E172" s="13" t="s">
        <v>397</v>
      </c>
      <c r="F172" s="13">
        <v>1</v>
      </c>
      <c r="G172" s="21">
        <v>1</v>
      </c>
      <c r="H172" s="13">
        <v>1</v>
      </c>
      <c r="I172" s="4">
        <v>20</v>
      </c>
      <c r="J172" s="4">
        <v>22</v>
      </c>
      <c r="K172" s="4" t="s">
        <v>124</v>
      </c>
      <c r="L172" s="4" t="s">
        <v>13</v>
      </c>
      <c r="M172" s="4">
        <v>2021</v>
      </c>
      <c r="N172" s="4">
        <v>1</v>
      </c>
      <c r="O172" s="4">
        <v>1</v>
      </c>
    </row>
    <row r="173" spans="1:15">
      <c r="A173" s="4" t="s">
        <v>217</v>
      </c>
      <c r="B173" s="4" t="s">
        <v>239</v>
      </c>
      <c r="C173" s="9" t="s">
        <v>402</v>
      </c>
      <c r="D173" s="13">
        <v>0</v>
      </c>
      <c r="F173" s="13">
        <v>1</v>
      </c>
      <c r="G173" s="21">
        <v>0</v>
      </c>
      <c r="H173" s="13">
        <v>1</v>
      </c>
      <c r="I173" s="4">
        <v>21</v>
      </c>
      <c r="J173" s="4">
        <v>22</v>
      </c>
      <c r="K173" s="4" t="s">
        <v>124</v>
      </c>
      <c r="L173" s="4" t="s">
        <v>13</v>
      </c>
      <c r="M173" s="4">
        <v>2021</v>
      </c>
      <c r="N173" s="4">
        <v>1</v>
      </c>
      <c r="O173" s="4">
        <v>1</v>
      </c>
    </row>
    <row r="174" spans="1:15">
      <c r="A174" s="4" t="s">
        <v>217</v>
      </c>
      <c r="B174" s="4" t="s">
        <v>240</v>
      </c>
      <c r="C174" s="9" t="s">
        <v>228</v>
      </c>
      <c r="D174" s="13">
        <v>0</v>
      </c>
      <c r="F174" s="13">
        <v>1</v>
      </c>
      <c r="G174" s="21">
        <v>0</v>
      </c>
      <c r="H174" s="13">
        <v>1</v>
      </c>
      <c r="I174" s="4">
        <v>22</v>
      </c>
      <c r="J174" s="4">
        <v>22</v>
      </c>
      <c r="K174" s="4" t="s">
        <v>124</v>
      </c>
      <c r="L174" s="4" t="s">
        <v>13</v>
      </c>
      <c r="M174" s="4">
        <v>2021</v>
      </c>
      <c r="N174" s="4">
        <v>1</v>
      </c>
      <c r="O174" s="4">
        <v>1</v>
      </c>
    </row>
    <row r="175" spans="1:15">
      <c r="A175" s="4" t="s">
        <v>241</v>
      </c>
      <c r="B175" s="4" t="s">
        <v>1090</v>
      </c>
      <c r="C175" s="9" t="s">
        <v>1262</v>
      </c>
      <c r="F175" s="13">
        <v>0</v>
      </c>
      <c r="I175" s="4"/>
      <c r="J175" s="4"/>
      <c r="K175" s="4"/>
      <c r="L175" s="4"/>
      <c r="M175" s="4"/>
      <c r="N175" s="4"/>
      <c r="O175" s="4"/>
    </row>
    <row r="176" spans="1:15">
      <c r="A176" s="4" t="s">
        <v>241</v>
      </c>
      <c r="B176" s="4" t="s">
        <v>1091</v>
      </c>
      <c r="C176" s="9" t="s">
        <v>1263</v>
      </c>
      <c r="F176" s="13">
        <v>0</v>
      </c>
      <c r="I176" s="4"/>
      <c r="J176" s="4"/>
      <c r="K176" s="4"/>
      <c r="L176" s="4"/>
      <c r="M176" s="4"/>
      <c r="N176" s="4"/>
      <c r="O176" s="4"/>
    </row>
    <row r="177" spans="1:15">
      <c r="A177" s="4" t="s">
        <v>241</v>
      </c>
      <c r="B177" s="4" t="s">
        <v>1092</v>
      </c>
      <c r="C177" s="9" t="s">
        <v>1264</v>
      </c>
      <c r="F177" s="13">
        <v>0</v>
      </c>
      <c r="I177" s="4"/>
      <c r="J177" s="4"/>
      <c r="K177" s="4"/>
      <c r="L177" s="4"/>
      <c r="M177" s="4"/>
      <c r="N177" s="4"/>
      <c r="O177" s="4"/>
    </row>
    <row r="178" spans="1:15">
      <c r="A178" s="4" t="s">
        <v>241</v>
      </c>
      <c r="B178" s="4" t="s">
        <v>1093</v>
      </c>
      <c r="C178" s="9" t="s">
        <v>1265</v>
      </c>
      <c r="F178" s="13">
        <v>0</v>
      </c>
      <c r="I178" s="4"/>
      <c r="J178" s="4"/>
      <c r="K178" s="4"/>
      <c r="L178" s="4"/>
      <c r="M178" s="4"/>
      <c r="N178" s="4"/>
      <c r="O178" s="4"/>
    </row>
    <row r="179" spans="1:15">
      <c r="A179" s="4" t="s">
        <v>241</v>
      </c>
      <c r="B179" s="4" t="s">
        <v>1094</v>
      </c>
      <c r="C179" s="9" t="s">
        <v>1266</v>
      </c>
      <c r="F179" s="13">
        <v>0</v>
      </c>
      <c r="I179" s="4"/>
      <c r="J179" s="4"/>
      <c r="K179" s="4"/>
      <c r="L179" s="4"/>
      <c r="M179" s="4"/>
      <c r="N179" s="4"/>
      <c r="O179" s="4"/>
    </row>
    <row r="180" spans="1:15">
      <c r="A180" s="4" t="s">
        <v>241</v>
      </c>
      <c r="B180" s="4" t="s">
        <v>1095</v>
      </c>
      <c r="C180" s="9" t="s">
        <v>1267</v>
      </c>
      <c r="F180" s="13">
        <v>0</v>
      </c>
      <c r="I180" s="4"/>
      <c r="J180" s="4"/>
      <c r="K180" s="4"/>
      <c r="L180" s="4"/>
      <c r="M180" s="4"/>
      <c r="N180" s="4"/>
      <c r="O180" s="4"/>
    </row>
    <row r="181" spans="1:15">
      <c r="A181" s="4" t="s">
        <v>241</v>
      </c>
      <c r="B181" s="4" t="s">
        <v>1096</v>
      </c>
      <c r="C181" s="9" t="s">
        <v>1268</v>
      </c>
      <c r="F181" s="13">
        <v>0</v>
      </c>
      <c r="I181" s="4"/>
      <c r="J181" s="4"/>
      <c r="K181" s="4"/>
      <c r="L181" s="4"/>
      <c r="M181" s="4"/>
      <c r="N181" s="4"/>
      <c r="O181" s="4"/>
    </row>
    <row r="182" spans="1:15">
      <c r="A182" s="4" t="s">
        <v>241</v>
      </c>
      <c r="B182" s="4" t="s">
        <v>253</v>
      </c>
      <c r="C182" s="9" t="s">
        <v>403</v>
      </c>
      <c r="D182" s="13">
        <v>1</v>
      </c>
      <c r="E182" s="13" t="s">
        <v>397</v>
      </c>
      <c r="F182" s="13">
        <v>1</v>
      </c>
      <c r="G182" s="21">
        <v>0</v>
      </c>
      <c r="H182" s="13">
        <v>1</v>
      </c>
      <c r="I182" s="4">
        <v>8</v>
      </c>
      <c r="J182" s="4">
        <v>29</v>
      </c>
      <c r="K182" s="4" t="s">
        <v>124</v>
      </c>
      <c r="L182" s="4" t="s">
        <v>13</v>
      </c>
      <c r="M182" s="4">
        <v>2022</v>
      </c>
      <c r="N182" s="4">
        <v>1</v>
      </c>
      <c r="O182" s="4">
        <v>1</v>
      </c>
    </row>
    <row r="183" spans="1:15">
      <c r="A183" s="4" t="s">
        <v>241</v>
      </c>
      <c r="B183" s="4" t="s">
        <v>1097</v>
      </c>
      <c r="C183" s="9" t="s">
        <v>1269</v>
      </c>
      <c r="F183" s="13">
        <v>0</v>
      </c>
      <c r="I183" s="4"/>
      <c r="J183" s="4"/>
      <c r="K183" s="4"/>
      <c r="L183" s="4"/>
      <c r="M183" s="4"/>
      <c r="N183" s="4"/>
      <c r="O183" s="4"/>
    </row>
    <row r="184" spans="1:15">
      <c r="A184" s="4" t="s">
        <v>241</v>
      </c>
      <c r="B184" s="4" t="s">
        <v>254</v>
      </c>
      <c r="C184" s="9" t="s">
        <v>219</v>
      </c>
      <c r="D184" s="13">
        <v>1</v>
      </c>
      <c r="E184" s="13" t="s">
        <v>397</v>
      </c>
      <c r="F184" s="13">
        <v>1</v>
      </c>
      <c r="G184" s="21">
        <v>0</v>
      </c>
      <c r="H184" s="13">
        <v>1</v>
      </c>
      <c r="I184" s="4">
        <v>10</v>
      </c>
      <c r="J184" s="4">
        <v>29</v>
      </c>
      <c r="K184" s="4" t="s">
        <v>124</v>
      </c>
      <c r="L184" s="4" t="s">
        <v>13</v>
      </c>
      <c r="M184" s="4">
        <v>2022</v>
      </c>
      <c r="N184" s="4">
        <v>1</v>
      </c>
      <c r="O184" s="4">
        <v>1</v>
      </c>
    </row>
    <row r="185" spans="1:15">
      <c r="A185" s="4" t="s">
        <v>241</v>
      </c>
      <c r="B185" s="4" t="s">
        <v>255</v>
      </c>
      <c r="C185" s="9" t="s">
        <v>220</v>
      </c>
      <c r="D185" s="13">
        <v>1</v>
      </c>
      <c r="E185" s="13" t="s">
        <v>397</v>
      </c>
      <c r="F185" s="13">
        <v>1</v>
      </c>
      <c r="G185" s="21">
        <v>0</v>
      </c>
      <c r="H185" s="13">
        <v>1</v>
      </c>
      <c r="I185" s="4">
        <v>11</v>
      </c>
      <c r="J185" s="4">
        <v>29</v>
      </c>
      <c r="K185" s="4" t="s">
        <v>124</v>
      </c>
      <c r="L185" s="4" t="s">
        <v>13</v>
      </c>
      <c r="M185" s="4">
        <v>2022</v>
      </c>
      <c r="N185" s="4">
        <v>1</v>
      </c>
      <c r="O185" s="4">
        <v>1</v>
      </c>
    </row>
    <row r="186" spans="1:15">
      <c r="A186" s="4" t="s">
        <v>241</v>
      </c>
      <c r="B186" s="4" t="s">
        <v>1098</v>
      </c>
      <c r="C186" s="9" t="s">
        <v>1270</v>
      </c>
      <c r="F186" s="13">
        <v>0</v>
      </c>
      <c r="I186" s="4"/>
      <c r="J186" s="4"/>
      <c r="K186" s="4"/>
      <c r="L186" s="4"/>
      <c r="M186" s="4"/>
      <c r="N186" s="4"/>
      <c r="O186" s="4"/>
    </row>
    <row r="187" spans="1:15">
      <c r="A187" s="4" t="s">
        <v>241</v>
      </c>
      <c r="B187" s="4" t="s">
        <v>1099</v>
      </c>
      <c r="C187" s="9" t="s">
        <v>1258</v>
      </c>
      <c r="F187" s="13">
        <v>0</v>
      </c>
      <c r="I187" s="4"/>
      <c r="J187" s="4"/>
      <c r="K187" s="4"/>
      <c r="L187" s="4"/>
      <c r="M187" s="4"/>
      <c r="N187" s="4"/>
      <c r="O187" s="4"/>
    </row>
    <row r="188" spans="1:15">
      <c r="A188" s="4" t="s">
        <v>241</v>
      </c>
      <c r="B188" s="4" t="s">
        <v>256</v>
      </c>
      <c r="C188" s="9" t="s">
        <v>242</v>
      </c>
      <c r="D188" s="13">
        <v>1</v>
      </c>
      <c r="E188" s="13" t="s">
        <v>397</v>
      </c>
      <c r="F188" s="13">
        <v>1</v>
      </c>
      <c r="G188" s="21">
        <v>1</v>
      </c>
      <c r="H188" s="13">
        <v>2</v>
      </c>
      <c r="I188" s="4">
        <v>14</v>
      </c>
      <c r="J188" s="4">
        <v>29</v>
      </c>
      <c r="K188" s="4" t="s">
        <v>124</v>
      </c>
      <c r="L188" s="4" t="s">
        <v>13</v>
      </c>
      <c r="M188" s="4">
        <v>2022</v>
      </c>
      <c r="N188" s="4">
        <v>1</v>
      </c>
      <c r="O188" s="4">
        <v>1</v>
      </c>
    </row>
    <row r="189" spans="1:15">
      <c r="A189" s="4" t="s">
        <v>241</v>
      </c>
      <c r="B189" s="4" t="s">
        <v>1100</v>
      </c>
      <c r="C189" s="9" t="s">
        <v>1271</v>
      </c>
      <c r="F189" s="13">
        <v>0</v>
      </c>
      <c r="I189" s="4"/>
      <c r="J189" s="4"/>
      <c r="K189" s="4"/>
      <c r="L189" s="4"/>
      <c r="M189" s="4"/>
      <c r="N189" s="4"/>
      <c r="O189" s="4"/>
    </row>
    <row r="190" spans="1:15">
      <c r="A190" s="4" t="s">
        <v>241</v>
      </c>
      <c r="B190" s="4" t="s">
        <v>257</v>
      </c>
      <c r="C190" s="9" t="s">
        <v>243</v>
      </c>
      <c r="D190" s="13">
        <v>1</v>
      </c>
      <c r="E190" s="13" t="s">
        <v>397</v>
      </c>
      <c r="F190" s="13">
        <v>1</v>
      </c>
      <c r="G190" s="21">
        <v>0</v>
      </c>
      <c r="H190" s="13">
        <v>1</v>
      </c>
      <c r="I190" s="4">
        <v>16</v>
      </c>
      <c r="J190" s="4">
        <v>29</v>
      </c>
      <c r="K190" s="4" t="s">
        <v>124</v>
      </c>
      <c r="L190" s="4" t="s">
        <v>13</v>
      </c>
      <c r="M190" s="4">
        <v>2022</v>
      </c>
      <c r="N190" s="4">
        <v>1</v>
      </c>
      <c r="O190" s="4">
        <v>1</v>
      </c>
    </row>
    <row r="191" spans="1:15">
      <c r="A191" s="4" t="s">
        <v>241</v>
      </c>
      <c r="B191" s="4" t="s">
        <v>258</v>
      </c>
      <c r="C191" s="9" t="s">
        <v>244</v>
      </c>
      <c r="D191" s="13">
        <v>1</v>
      </c>
      <c r="E191" s="13" t="s">
        <v>395</v>
      </c>
      <c r="F191" s="13">
        <v>1</v>
      </c>
      <c r="G191" s="21">
        <v>0</v>
      </c>
      <c r="H191" s="13">
        <v>2</v>
      </c>
      <c r="I191" s="4">
        <v>17</v>
      </c>
      <c r="J191" s="4">
        <v>29</v>
      </c>
      <c r="K191" s="4" t="s">
        <v>124</v>
      </c>
      <c r="L191" s="4" t="s">
        <v>13</v>
      </c>
      <c r="M191" s="4">
        <v>2022</v>
      </c>
      <c r="N191" s="4">
        <v>1</v>
      </c>
      <c r="O191" s="4">
        <v>1</v>
      </c>
    </row>
    <row r="192" spans="1:15">
      <c r="A192" s="4" t="s">
        <v>241</v>
      </c>
      <c r="B192" s="4" t="s">
        <v>1101</v>
      </c>
      <c r="C192" s="9" t="s">
        <v>1272</v>
      </c>
      <c r="F192" s="13">
        <v>0</v>
      </c>
      <c r="I192" s="4"/>
      <c r="J192" s="4"/>
      <c r="K192" s="4"/>
      <c r="L192" s="4"/>
      <c r="M192" s="4"/>
      <c r="N192" s="4"/>
      <c r="O192" s="4"/>
    </row>
    <row r="193" spans="1:15">
      <c r="A193" s="4" t="s">
        <v>241</v>
      </c>
      <c r="B193" s="4" t="s">
        <v>259</v>
      </c>
      <c r="C193" s="9" t="s">
        <v>245</v>
      </c>
      <c r="D193" s="13">
        <v>1</v>
      </c>
      <c r="E193" s="13" t="s">
        <v>397</v>
      </c>
      <c r="F193" s="13">
        <v>1</v>
      </c>
      <c r="G193" s="21">
        <v>0</v>
      </c>
      <c r="H193" s="13">
        <v>1</v>
      </c>
      <c r="I193" s="4">
        <v>19</v>
      </c>
      <c r="J193" s="4">
        <v>29</v>
      </c>
      <c r="K193" s="4" t="s">
        <v>124</v>
      </c>
      <c r="L193" s="4" t="s">
        <v>13</v>
      </c>
      <c r="M193" s="4">
        <v>2022</v>
      </c>
      <c r="N193" s="4">
        <v>1</v>
      </c>
      <c r="O193" s="4">
        <v>1</v>
      </c>
    </row>
    <row r="194" spans="1:15">
      <c r="A194" s="4" t="s">
        <v>241</v>
      </c>
      <c r="B194" s="4" t="s">
        <v>1102</v>
      </c>
      <c r="C194" s="9" t="s">
        <v>1273</v>
      </c>
      <c r="F194" s="13">
        <v>0</v>
      </c>
      <c r="I194" s="4"/>
      <c r="J194" s="4"/>
      <c r="K194" s="4"/>
      <c r="L194" s="4"/>
      <c r="M194" s="4"/>
      <c r="N194" s="4"/>
      <c r="O194" s="4"/>
    </row>
    <row r="195" spans="1:15">
      <c r="A195" s="4" t="s">
        <v>241</v>
      </c>
      <c r="B195" s="4" t="s">
        <v>260</v>
      </c>
      <c r="C195" s="9" t="s">
        <v>246</v>
      </c>
      <c r="D195" s="13">
        <v>1</v>
      </c>
      <c r="E195" s="13" t="s">
        <v>397</v>
      </c>
      <c r="F195" s="13">
        <v>1</v>
      </c>
      <c r="G195" s="21">
        <v>0</v>
      </c>
      <c r="H195" s="13">
        <v>1</v>
      </c>
      <c r="I195" s="4">
        <v>21</v>
      </c>
      <c r="J195" s="4">
        <v>29</v>
      </c>
      <c r="K195" s="4" t="s">
        <v>124</v>
      </c>
      <c r="L195" s="4" t="s">
        <v>13</v>
      </c>
      <c r="M195" s="4">
        <v>2022</v>
      </c>
      <c r="N195" s="4">
        <v>1</v>
      </c>
      <c r="O195" s="4">
        <v>1</v>
      </c>
    </row>
    <row r="196" spans="1:15">
      <c r="A196" s="4" t="s">
        <v>241</v>
      </c>
      <c r="B196" s="4" t="s">
        <v>261</v>
      </c>
      <c r="C196" s="9" t="s">
        <v>247</v>
      </c>
      <c r="D196" s="13">
        <v>1</v>
      </c>
      <c r="E196" s="13" t="s">
        <v>399</v>
      </c>
      <c r="F196" s="13">
        <v>1</v>
      </c>
      <c r="G196" s="21">
        <v>0</v>
      </c>
      <c r="H196" s="13">
        <v>2</v>
      </c>
      <c r="I196" s="4">
        <v>22</v>
      </c>
      <c r="J196" s="4">
        <v>29</v>
      </c>
      <c r="K196" s="4" t="s">
        <v>124</v>
      </c>
      <c r="L196" s="4" t="s">
        <v>13</v>
      </c>
      <c r="M196" s="4">
        <v>2022</v>
      </c>
      <c r="N196" s="4">
        <v>1</v>
      </c>
      <c r="O196" s="4">
        <v>1</v>
      </c>
    </row>
    <row r="197" spans="1:15">
      <c r="A197" s="4" t="s">
        <v>241</v>
      </c>
      <c r="B197" s="4" t="s">
        <v>1103</v>
      </c>
      <c r="C197" s="9" t="s">
        <v>1274</v>
      </c>
      <c r="F197" s="13">
        <v>0</v>
      </c>
      <c r="I197" s="4"/>
      <c r="J197" s="4"/>
      <c r="K197" s="4"/>
      <c r="L197" s="4"/>
      <c r="M197" s="4"/>
      <c r="N197" s="4"/>
      <c r="O197" s="4"/>
    </row>
    <row r="198" spans="1:15">
      <c r="A198" s="4" t="s">
        <v>241</v>
      </c>
      <c r="B198" s="4" t="s">
        <v>262</v>
      </c>
      <c r="C198" s="9" t="s">
        <v>248</v>
      </c>
      <c r="D198" s="13">
        <v>1</v>
      </c>
      <c r="E198" s="13" t="s">
        <v>399</v>
      </c>
      <c r="F198" s="13">
        <v>1</v>
      </c>
      <c r="G198" s="21">
        <v>0</v>
      </c>
      <c r="H198" s="13">
        <v>2</v>
      </c>
      <c r="I198" s="4">
        <v>24</v>
      </c>
      <c r="J198" s="4">
        <v>29</v>
      </c>
      <c r="K198" s="4" t="s">
        <v>124</v>
      </c>
      <c r="L198" s="4" t="s">
        <v>13</v>
      </c>
      <c r="M198" s="4">
        <v>2022</v>
      </c>
      <c r="N198" s="4">
        <v>1</v>
      </c>
      <c r="O198" s="4">
        <v>1</v>
      </c>
    </row>
    <row r="199" spans="1:15">
      <c r="A199" s="4" t="s">
        <v>241</v>
      </c>
      <c r="B199" s="4" t="s">
        <v>263</v>
      </c>
      <c r="C199" s="9" t="s">
        <v>249</v>
      </c>
      <c r="D199" s="13">
        <v>1</v>
      </c>
      <c r="E199" s="13" t="s">
        <v>397</v>
      </c>
      <c r="F199" s="13">
        <v>1</v>
      </c>
      <c r="G199" s="21">
        <v>0</v>
      </c>
      <c r="H199" s="13">
        <v>1</v>
      </c>
      <c r="I199" s="4">
        <v>25</v>
      </c>
      <c r="J199" s="4">
        <v>29</v>
      </c>
      <c r="K199" s="4" t="s">
        <v>124</v>
      </c>
      <c r="L199" s="4" t="s">
        <v>13</v>
      </c>
      <c r="M199" s="4">
        <v>2022</v>
      </c>
      <c r="N199" s="4">
        <v>1</v>
      </c>
      <c r="O199" s="4">
        <v>1</v>
      </c>
    </row>
    <row r="200" spans="1:15">
      <c r="A200" s="4" t="s">
        <v>241</v>
      </c>
      <c r="B200" s="4" t="s">
        <v>264</v>
      </c>
      <c r="C200" s="9" t="s">
        <v>250</v>
      </c>
      <c r="D200" s="13">
        <v>1</v>
      </c>
      <c r="E200" s="13" t="s">
        <v>399</v>
      </c>
      <c r="F200" s="13">
        <v>1</v>
      </c>
      <c r="G200" s="21">
        <v>0</v>
      </c>
      <c r="H200" s="13">
        <v>2</v>
      </c>
      <c r="I200" s="4">
        <v>26</v>
      </c>
      <c r="J200" s="4">
        <v>29</v>
      </c>
      <c r="K200" s="4" t="s">
        <v>124</v>
      </c>
      <c r="L200" s="4" t="s">
        <v>13</v>
      </c>
      <c r="M200" s="4">
        <v>2022</v>
      </c>
      <c r="N200" s="4">
        <v>1</v>
      </c>
      <c r="O200" s="4">
        <v>1</v>
      </c>
    </row>
    <row r="201" spans="1:15">
      <c r="A201" s="4" t="s">
        <v>241</v>
      </c>
      <c r="B201" s="4" t="s">
        <v>265</v>
      </c>
      <c r="C201" s="9" t="s">
        <v>251</v>
      </c>
      <c r="D201" s="13">
        <v>1</v>
      </c>
      <c r="E201" s="13" t="s">
        <v>397</v>
      </c>
      <c r="F201" s="13">
        <v>1</v>
      </c>
      <c r="G201" s="21">
        <v>1</v>
      </c>
      <c r="H201" s="13">
        <v>1</v>
      </c>
      <c r="I201" s="4">
        <v>27</v>
      </c>
      <c r="J201" s="4">
        <v>29</v>
      </c>
      <c r="K201" s="4" t="s">
        <v>124</v>
      </c>
      <c r="L201" s="4" t="s">
        <v>13</v>
      </c>
      <c r="M201" s="4">
        <v>2022</v>
      </c>
      <c r="N201" s="4">
        <v>1</v>
      </c>
      <c r="O201" s="4">
        <v>1</v>
      </c>
    </row>
    <row r="202" spans="1:15">
      <c r="A202" s="4" t="s">
        <v>241</v>
      </c>
      <c r="B202" s="4" t="s">
        <v>266</v>
      </c>
      <c r="C202" s="9" t="s">
        <v>404</v>
      </c>
      <c r="D202" s="13">
        <v>0</v>
      </c>
      <c r="F202" s="13">
        <v>1</v>
      </c>
      <c r="G202" s="21">
        <v>0</v>
      </c>
      <c r="H202" s="13">
        <v>1</v>
      </c>
      <c r="I202" s="4">
        <v>28</v>
      </c>
      <c r="J202" s="4">
        <v>29</v>
      </c>
      <c r="K202" s="4" t="s">
        <v>124</v>
      </c>
      <c r="L202" s="4" t="s">
        <v>13</v>
      </c>
      <c r="M202" s="4">
        <v>2022</v>
      </c>
      <c r="N202" s="4">
        <v>1</v>
      </c>
      <c r="O202" s="4">
        <v>1</v>
      </c>
    </row>
    <row r="203" spans="1:15">
      <c r="A203" s="4" t="s">
        <v>241</v>
      </c>
      <c r="B203" s="4" t="s">
        <v>267</v>
      </c>
      <c r="C203" s="9" t="s">
        <v>252</v>
      </c>
      <c r="D203" s="13">
        <v>0</v>
      </c>
      <c r="F203" s="13">
        <v>1</v>
      </c>
      <c r="G203" s="21">
        <v>0</v>
      </c>
      <c r="H203" s="13">
        <v>1</v>
      </c>
      <c r="I203" s="4">
        <v>29</v>
      </c>
      <c r="J203" s="4">
        <v>29</v>
      </c>
      <c r="K203" s="4" t="s">
        <v>124</v>
      </c>
      <c r="L203" s="4" t="s">
        <v>13</v>
      </c>
      <c r="M203" s="4">
        <v>2022</v>
      </c>
      <c r="N203" s="4">
        <v>1</v>
      </c>
      <c r="O203" s="4">
        <v>1</v>
      </c>
    </row>
    <row r="204" spans="1:15">
      <c r="A204" s="4" t="s">
        <v>275</v>
      </c>
      <c r="B204" s="4" t="s">
        <v>1104</v>
      </c>
      <c r="C204" s="9" t="s">
        <v>1275</v>
      </c>
      <c r="F204" s="13">
        <v>0</v>
      </c>
      <c r="I204" s="4"/>
      <c r="J204" s="4"/>
      <c r="K204" s="4"/>
      <c r="L204" s="4"/>
      <c r="M204" s="4"/>
      <c r="N204" s="4"/>
      <c r="O204" s="4"/>
    </row>
    <row r="205" spans="1:15">
      <c r="A205" s="4" t="s">
        <v>275</v>
      </c>
      <c r="B205" s="4" t="s">
        <v>1106</v>
      </c>
      <c r="C205" s="9" t="s">
        <v>1276</v>
      </c>
      <c r="F205" s="13">
        <v>0</v>
      </c>
      <c r="I205" s="4"/>
      <c r="J205" s="4"/>
      <c r="K205" s="4"/>
      <c r="L205" s="4"/>
      <c r="M205" s="4"/>
      <c r="N205" s="4"/>
      <c r="O205" s="4"/>
    </row>
    <row r="206" spans="1:15">
      <c r="A206" s="4" t="s">
        <v>275</v>
      </c>
      <c r="B206" s="4" t="s">
        <v>1105</v>
      </c>
      <c r="C206" s="9" t="s">
        <v>1277</v>
      </c>
      <c r="F206" s="13">
        <v>0</v>
      </c>
      <c r="I206" s="4"/>
      <c r="J206" s="4"/>
      <c r="K206" s="4"/>
      <c r="L206" s="4"/>
      <c r="M206" s="4"/>
      <c r="N206" s="4"/>
      <c r="O206" s="4"/>
    </row>
    <row r="207" spans="1:15">
      <c r="A207" s="4" t="s">
        <v>275</v>
      </c>
      <c r="B207" s="4" t="s">
        <v>1107</v>
      </c>
      <c r="C207" s="9" t="s">
        <v>1278</v>
      </c>
      <c r="F207" s="13">
        <v>0</v>
      </c>
      <c r="I207" s="4"/>
      <c r="J207" s="4"/>
      <c r="K207" s="4"/>
      <c r="L207" s="4"/>
      <c r="M207" s="4"/>
      <c r="N207" s="4"/>
      <c r="O207" s="4"/>
    </row>
    <row r="208" spans="1:15">
      <c r="A208" s="4" t="s">
        <v>275</v>
      </c>
      <c r="B208" s="4" t="s">
        <v>1108</v>
      </c>
      <c r="C208" s="9" t="s">
        <v>1279</v>
      </c>
      <c r="F208" s="13">
        <v>0</v>
      </c>
      <c r="I208" s="4"/>
      <c r="J208" s="4"/>
      <c r="K208" s="4"/>
      <c r="L208" s="4"/>
      <c r="M208" s="4"/>
      <c r="N208" s="4"/>
      <c r="O208" s="4"/>
    </row>
    <row r="209" spans="1:16">
      <c r="A209" s="4" t="s">
        <v>275</v>
      </c>
      <c r="B209" s="4" t="s">
        <v>276</v>
      </c>
      <c r="C209" s="9" t="s">
        <v>277</v>
      </c>
      <c r="D209" s="13">
        <v>1</v>
      </c>
      <c r="E209" s="13" t="s">
        <v>399</v>
      </c>
      <c r="F209" s="13">
        <v>1</v>
      </c>
      <c r="G209" s="21">
        <v>0</v>
      </c>
      <c r="H209" s="13">
        <v>1</v>
      </c>
      <c r="I209" s="4">
        <v>6</v>
      </c>
      <c r="J209" s="4">
        <v>38</v>
      </c>
      <c r="K209" s="4" t="s">
        <v>124</v>
      </c>
      <c r="L209" s="4" t="s">
        <v>13</v>
      </c>
      <c r="M209" s="4">
        <v>2023</v>
      </c>
      <c r="N209" s="4">
        <v>1</v>
      </c>
      <c r="O209" s="4">
        <v>1</v>
      </c>
      <c r="P209" s="4"/>
    </row>
    <row r="210" spans="1:16">
      <c r="A210" s="4" t="s">
        <v>275</v>
      </c>
      <c r="B210" s="4" t="s">
        <v>1109</v>
      </c>
      <c r="C210" s="9" t="s">
        <v>1280</v>
      </c>
      <c r="F210" s="13">
        <v>0</v>
      </c>
      <c r="I210" s="4"/>
      <c r="J210" s="4"/>
      <c r="K210" s="4"/>
      <c r="L210" s="4"/>
      <c r="M210" s="4"/>
      <c r="N210" s="4"/>
      <c r="O210" s="4"/>
      <c r="P210" s="4"/>
    </row>
    <row r="211" spans="1:16">
      <c r="A211" s="4" t="s">
        <v>275</v>
      </c>
      <c r="B211" s="4" t="s">
        <v>1110</v>
      </c>
      <c r="C211" s="9" t="s">
        <v>1281</v>
      </c>
      <c r="F211" s="13">
        <v>0</v>
      </c>
      <c r="I211" s="4"/>
      <c r="J211" s="4"/>
      <c r="K211" s="4"/>
      <c r="L211" s="4"/>
      <c r="M211" s="4"/>
      <c r="N211" s="4"/>
      <c r="O211" s="4"/>
      <c r="P211" s="4"/>
    </row>
    <row r="212" spans="1:16">
      <c r="A212" s="4" t="s">
        <v>275</v>
      </c>
      <c r="B212" s="4" t="s">
        <v>1111</v>
      </c>
      <c r="C212" s="9" t="s">
        <v>1282</v>
      </c>
      <c r="F212" s="13">
        <v>0</v>
      </c>
      <c r="I212" s="4"/>
      <c r="J212" s="4"/>
      <c r="K212" s="4"/>
      <c r="L212" s="4"/>
      <c r="M212" s="4"/>
      <c r="N212" s="4"/>
      <c r="O212" s="4"/>
      <c r="P212" s="4"/>
    </row>
    <row r="213" spans="1:16">
      <c r="A213" s="4" t="s">
        <v>275</v>
      </c>
      <c r="B213" s="4" t="s">
        <v>1112</v>
      </c>
      <c r="C213" s="9" t="s">
        <v>1283</v>
      </c>
      <c r="F213" s="13">
        <v>0</v>
      </c>
      <c r="I213" s="4"/>
      <c r="J213" s="4"/>
      <c r="K213" s="4"/>
      <c r="L213" s="4"/>
      <c r="M213" s="4"/>
      <c r="N213" s="4"/>
      <c r="O213" s="4"/>
      <c r="P213" s="4"/>
    </row>
    <row r="214" spans="1:16">
      <c r="A214" s="4" t="s">
        <v>275</v>
      </c>
      <c r="B214" s="4" t="s">
        <v>1113</v>
      </c>
      <c r="C214" s="9" t="s">
        <v>1284</v>
      </c>
      <c r="F214" s="13">
        <v>0</v>
      </c>
      <c r="I214" s="4"/>
      <c r="J214" s="4"/>
      <c r="K214" s="4"/>
      <c r="L214" s="4"/>
      <c r="M214" s="4"/>
      <c r="N214" s="4"/>
      <c r="O214" s="4"/>
      <c r="P214" s="4"/>
    </row>
    <row r="215" spans="1:16">
      <c r="A215" s="4" t="s">
        <v>275</v>
      </c>
      <c r="B215" s="4" t="s">
        <v>278</v>
      </c>
      <c r="C215" s="14" t="s">
        <v>405</v>
      </c>
      <c r="D215" s="13">
        <v>1</v>
      </c>
      <c r="E215" s="13" t="s">
        <v>397</v>
      </c>
      <c r="F215" s="13">
        <v>1</v>
      </c>
      <c r="G215" s="21">
        <v>0</v>
      </c>
      <c r="H215" s="13">
        <v>1</v>
      </c>
      <c r="I215" s="4">
        <v>12</v>
      </c>
      <c r="J215" s="4">
        <v>38</v>
      </c>
      <c r="K215" s="4" t="s">
        <v>124</v>
      </c>
      <c r="L215" s="4" t="s">
        <v>13</v>
      </c>
      <c r="M215" s="4">
        <v>2023</v>
      </c>
      <c r="N215" s="4">
        <v>1</v>
      </c>
      <c r="O215" s="4">
        <v>1</v>
      </c>
      <c r="P215" s="4"/>
    </row>
    <row r="216" spans="1:16">
      <c r="A216" s="4" t="s">
        <v>275</v>
      </c>
      <c r="B216" s="4" t="s">
        <v>1114</v>
      </c>
      <c r="C216" s="9" t="s">
        <v>1285</v>
      </c>
      <c r="F216" s="13">
        <v>0</v>
      </c>
      <c r="I216" s="4"/>
      <c r="J216" s="4"/>
      <c r="K216" s="4"/>
      <c r="L216" s="4"/>
      <c r="M216" s="4"/>
      <c r="N216" s="4"/>
      <c r="O216" s="4"/>
      <c r="P216" s="4"/>
    </row>
    <row r="217" spans="1:16">
      <c r="A217" s="4" t="s">
        <v>275</v>
      </c>
      <c r="B217" s="4" t="s">
        <v>279</v>
      </c>
      <c r="C217" s="9" t="s">
        <v>280</v>
      </c>
      <c r="D217" s="13">
        <v>1</v>
      </c>
      <c r="E217" s="13" t="s">
        <v>397</v>
      </c>
      <c r="F217" s="13">
        <v>1</v>
      </c>
      <c r="G217" s="21">
        <v>0</v>
      </c>
      <c r="H217" s="13">
        <v>1</v>
      </c>
      <c r="I217" s="4">
        <v>14</v>
      </c>
      <c r="J217" s="4">
        <v>38</v>
      </c>
      <c r="K217" s="4" t="s">
        <v>124</v>
      </c>
      <c r="L217" s="4" t="s">
        <v>13</v>
      </c>
      <c r="M217" s="4">
        <v>2023</v>
      </c>
      <c r="N217" s="4">
        <v>1</v>
      </c>
      <c r="O217" s="4">
        <v>1</v>
      </c>
      <c r="P217" s="4"/>
    </row>
    <row r="218" spans="1:16">
      <c r="A218" s="4" t="s">
        <v>275</v>
      </c>
      <c r="B218" s="4" t="s">
        <v>281</v>
      </c>
      <c r="C218" s="9" t="s">
        <v>282</v>
      </c>
      <c r="D218" s="13">
        <v>1</v>
      </c>
      <c r="E218" s="13" t="s">
        <v>397</v>
      </c>
      <c r="F218" s="13">
        <v>1</v>
      </c>
      <c r="G218" s="21">
        <v>0</v>
      </c>
      <c r="H218" s="13">
        <v>1</v>
      </c>
      <c r="I218" s="4">
        <v>15</v>
      </c>
      <c r="J218" s="4">
        <v>38</v>
      </c>
      <c r="K218" s="4" t="s">
        <v>124</v>
      </c>
      <c r="L218" s="4" t="s">
        <v>13</v>
      </c>
      <c r="M218" s="4">
        <v>2023</v>
      </c>
      <c r="N218" s="4">
        <v>1</v>
      </c>
      <c r="O218" s="4">
        <v>1</v>
      </c>
      <c r="P218" s="4"/>
    </row>
    <row r="219" spans="1:16">
      <c r="A219" s="4" t="s">
        <v>275</v>
      </c>
      <c r="B219" s="4" t="s">
        <v>1115</v>
      </c>
      <c r="C219" s="9" t="s">
        <v>1286</v>
      </c>
      <c r="F219" s="13">
        <v>0</v>
      </c>
      <c r="I219" s="4"/>
      <c r="J219" s="4"/>
      <c r="K219" s="4"/>
      <c r="L219" s="4"/>
      <c r="M219" s="4"/>
      <c r="N219" s="4"/>
      <c r="O219" s="4"/>
      <c r="P219" s="4"/>
    </row>
    <row r="220" spans="1:16">
      <c r="A220" s="4" t="s">
        <v>275</v>
      </c>
      <c r="B220" s="4" t="s">
        <v>1116</v>
      </c>
      <c r="C220" s="9" t="s">
        <v>1287</v>
      </c>
      <c r="F220" s="13">
        <v>0</v>
      </c>
      <c r="I220" s="4"/>
      <c r="J220" s="4"/>
      <c r="K220" s="4"/>
      <c r="L220" s="4"/>
      <c r="M220" s="4"/>
      <c r="N220" s="4"/>
      <c r="O220" s="4"/>
      <c r="P220" s="4"/>
    </row>
    <row r="221" spans="1:16">
      <c r="A221" s="4" t="s">
        <v>275</v>
      </c>
      <c r="B221" s="4" t="s">
        <v>1117</v>
      </c>
      <c r="C221" s="9" t="s">
        <v>1288</v>
      </c>
      <c r="F221" s="13">
        <v>0</v>
      </c>
      <c r="I221" s="4"/>
      <c r="J221" s="4"/>
      <c r="K221" s="4"/>
      <c r="L221" s="4"/>
      <c r="M221" s="4"/>
      <c r="N221" s="4"/>
      <c r="O221" s="4"/>
      <c r="P221" s="4"/>
    </row>
    <row r="222" spans="1:16">
      <c r="A222" s="4" t="s">
        <v>275</v>
      </c>
      <c r="B222" s="4" t="s">
        <v>283</v>
      </c>
      <c r="C222" s="9" t="s">
        <v>284</v>
      </c>
      <c r="D222" s="13">
        <v>1</v>
      </c>
      <c r="E222" s="13" t="s">
        <v>397</v>
      </c>
      <c r="F222" s="13">
        <v>1</v>
      </c>
      <c r="G222" s="21">
        <v>0</v>
      </c>
      <c r="H222" s="13">
        <v>1</v>
      </c>
      <c r="I222" s="4">
        <v>19</v>
      </c>
      <c r="J222" s="4">
        <v>38</v>
      </c>
      <c r="K222" s="4" t="s">
        <v>124</v>
      </c>
      <c r="L222" s="4" t="s">
        <v>13</v>
      </c>
      <c r="M222" s="4">
        <v>2023</v>
      </c>
      <c r="N222" s="4">
        <v>1</v>
      </c>
      <c r="O222" s="4">
        <v>1</v>
      </c>
      <c r="P222" s="4"/>
    </row>
    <row r="223" spans="1:16">
      <c r="A223" s="4" t="s">
        <v>275</v>
      </c>
      <c r="B223" s="4" t="s">
        <v>1118</v>
      </c>
      <c r="C223" s="9" t="s">
        <v>1289</v>
      </c>
      <c r="F223" s="13">
        <v>0</v>
      </c>
      <c r="I223" s="4"/>
      <c r="J223" s="4"/>
      <c r="K223" s="4"/>
      <c r="L223" s="4"/>
      <c r="M223" s="4"/>
      <c r="N223" s="4"/>
      <c r="O223" s="4"/>
      <c r="P223" s="4"/>
    </row>
    <row r="224" spans="1:16">
      <c r="A224" s="4" t="s">
        <v>275</v>
      </c>
      <c r="B224" s="4" t="s">
        <v>1119</v>
      </c>
      <c r="C224" s="14" t="s">
        <v>1290</v>
      </c>
      <c r="F224" s="13">
        <v>0</v>
      </c>
      <c r="I224" s="4"/>
      <c r="J224" s="4"/>
      <c r="K224" s="4"/>
      <c r="L224" s="4"/>
      <c r="M224" s="4"/>
      <c r="N224" s="4"/>
      <c r="O224" s="4"/>
      <c r="P224" s="4"/>
    </row>
    <row r="225" spans="1:16">
      <c r="A225" s="4" t="s">
        <v>275</v>
      </c>
      <c r="B225" s="4" t="s">
        <v>1120</v>
      </c>
      <c r="C225" s="14" t="s">
        <v>1291</v>
      </c>
      <c r="F225" s="13">
        <v>0</v>
      </c>
      <c r="I225" s="4"/>
      <c r="J225" s="4"/>
      <c r="K225" s="4"/>
      <c r="L225" s="4"/>
      <c r="M225" s="4"/>
      <c r="N225" s="4"/>
      <c r="O225" s="4"/>
      <c r="P225" s="4"/>
    </row>
    <row r="226" spans="1:16">
      <c r="A226" s="4" t="s">
        <v>275</v>
      </c>
      <c r="B226" s="4" t="s">
        <v>285</v>
      </c>
      <c r="C226" s="14" t="s">
        <v>286</v>
      </c>
      <c r="D226" s="13">
        <v>1</v>
      </c>
      <c r="E226" s="13" t="s">
        <v>397</v>
      </c>
      <c r="F226" s="13">
        <v>1</v>
      </c>
      <c r="G226" s="21">
        <v>0</v>
      </c>
      <c r="H226" s="13">
        <v>1</v>
      </c>
      <c r="I226" s="4">
        <v>23</v>
      </c>
      <c r="J226" s="4">
        <v>38</v>
      </c>
      <c r="K226" s="4" t="s">
        <v>124</v>
      </c>
      <c r="L226" s="4" t="s">
        <v>13</v>
      </c>
      <c r="M226" s="4">
        <v>2023</v>
      </c>
      <c r="N226" s="4">
        <v>1</v>
      </c>
      <c r="O226" s="4">
        <v>1</v>
      </c>
      <c r="P226" s="4"/>
    </row>
    <row r="227" spans="1:16">
      <c r="A227" s="4" t="s">
        <v>275</v>
      </c>
      <c r="B227" s="4" t="s">
        <v>1121</v>
      </c>
      <c r="C227" s="14" t="s">
        <v>1292</v>
      </c>
      <c r="F227" s="13">
        <v>0</v>
      </c>
      <c r="I227" s="4"/>
      <c r="J227" s="4"/>
      <c r="K227" s="4"/>
      <c r="L227" s="4"/>
      <c r="M227" s="4"/>
      <c r="N227" s="4"/>
      <c r="O227" s="4"/>
      <c r="P227" s="4"/>
    </row>
    <row r="228" spans="1:16">
      <c r="A228" s="4" t="s">
        <v>275</v>
      </c>
      <c r="B228" s="4" t="s">
        <v>1122</v>
      </c>
      <c r="C228" s="14" t="s">
        <v>1293</v>
      </c>
      <c r="F228" s="13">
        <v>0</v>
      </c>
      <c r="I228" s="4"/>
      <c r="J228" s="4"/>
      <c r="K228" s="4"/>
      <c r="L228" s="4"/>
      <c r="M228" s="4"/>
      <c r="N228" s="4"/>
      <c r="O228" s="4"/>
      <c r="P228" s="4"/>
    </row>
    <row r="229" spans="1:16">
      <c r="A229" s="4" t="s">
        <v>275</v>
      </c>
      <c r="B229" s="4" t="s">
        <v>287</v>
      </c>
      <c r="C229" s="14" t="s">
        <v>288</v>
      </c>
      <c r="D229" s="13">
        <v>1</v>
      </c>
      <c r="E229" s="13" t="s">
        <v>395</v>
      </c>
      <c r="F229" s="13">
        <v>1</v>
      </c>
      <c r="G229" s="21">
        <v>0</v>
      </c>
      <c r="H229" s="13">
        <v>2</v>
      </c>
      <c r="I229" s="4">
        <v>26</v>
      </c>
      <c r="J229" s="4">
        <v>38</v>
      </c>
      <c r="K229" s="4" t="s">
        <v>124</v>
      </c>
      <c r="L229" s="4" t="s">
        <v>13</v>
      </c>
      <c r="M229" s="4">
        <v>2023</v>
      </c>
      <c r="N229" s="4">
        <v>1</v>
      </c>
      <c r="O229" s="4">
        <v>1</v>
      </c>
      <c r="P229" s="4"/>
    </row>
    <row r="230" spans="1:16">
      <c r="A230" s="4" t="s">
        <v>275</v>
      </c>
      <c r="B230" s="4" t="s">
        <v>289</v>
      </c>
      <c r="C230" s="14" t="s">
        <v>290</v>
      </c>
      <c r="D230" s="13">
        <v>1</v>
      </c>
      <c r="E230" s="13" t="s">
        <v>395</v>
      </c>
      <c r="F230" s="13">
        <v>1</v>
      </c>
      <c r="G230" s="21">
        <v>0</v>
      </c>
      <c r="H230" s="13">
        <v>2</v>
      </c>
      <c r="I230" s="4">
        <v>27</v>
      </c>
      <c r="J230" s="4">
        <v>38</v>
      </c>
      <c r="K230" s="4" t="s">
        <v>124</v>
      </c>
      <c r="L230" s="4" t="s">
        <v>13</v>
      </c>
      <c r="M230" s="4">
        <v>2023</v>
      </c>
      <c r="N230" s="4">
        <v>1</v>
      </c>
      <c r="O230" s="4">
        <v>1</v>
      </c>
      <c r="P230" s="4"/>
    </row>
    <row r="231" spans="1:16">
      <c r="A231" s="4" t="s">
        <v>275</v>
      </c>
      <c r="B231" s="4" t="s">
        <v>291</v>
      </c>
      <c r="C231" s="14" t="s">
        <v>292</v>
      </c>
      <c r="D231" s="13">
        <v>1</v>
      </c>
      <c r="E231" s="13" t="s">
        <v>397</v>
      </c>
      <c r="F231" s="13">
        <v>1</v>
      </c>
      <c r="G231" s="21">
        <v>0</v>
      </c>
      <c r="H231" s="13">
        <v>1</v>
      </c>
      <c r="I231" s="4">
        <v>28</v>
      </c>
      <c r="J231" s="4">
        <v>38</v>
      </c>
      <c r="K231" s="4" t="s">
        <v>124</v>
      </c>
      <c r="L231" s="4" t="s">
        <v>13</v>
      </c>
      <c r="M231" s="4">
        <v>2023</v>
      </c>
      <c r="N231" s="4">
        <v>1</v>
      </c>
      <c r="O231" s="4">
        <v>1</v>
      </c>
      <c r="P231" s="4"/>
    </row>
    <row r="232" spans="1:16">
      <c r="A232" s="4" t="s">
        <v>275</v>
      </c>
      <c r="B232" s="4" t="s">
        <v>293</v>
      </c>
      <c r="C232" s="14" t="s">
        <v>294</v>
      </c>
      <c r="D232" s="13">
        <v>1</v>
      </c>
      <c r="E232" s="13" t="s">
        <v>399</v>
      </c>
      <c r="F232" s="13">
        <v>1</v>
      </c>
      <c r="G232" s="21">
        <v>1</v>
      </c>
      <c r="H232" s="13">
        <v>1</v>
      </c>
      <c r="I232" s="4">
        <v>29</v>
      </c>
      <c r="J232" s="4">
        <v>38</v>
      </c>
      <c r="K232" s="4" t="s">
        <v>124</v>
      </c>
      <c r="L232" s="4" t="s">
        <v>13</v>
      </c>
      <c r="M232" s="4">
        <v>2023</v>
      </c>
      <c r="N232" s="4">
        <v>1</v>
      </c>
      <c r="O232" s="4">
        <v>1</v>
      </c>
      <c r="P232" s="4"/>
    </row>
    <row r="233" spans="1:16">
      <c r="A233" s="4" t="s">
        <v>275</v>
      </c>
      <c r="B233" s="4" t="s">
        <v>295</v>
      </c>
      <c r="C233" s="14" t="s">
        <v>296</v>
      </c>
      <c r="D233" s="13">
        <v>1</v>
      </c>
      <c r="E233" s="13" t="s">
        <v>397</v>
      </c>
      <c r="F233" s="13">
        <v>1</v>
      </c>
      <c r="G233" s="21">
        <v>1</v>
      </c>
      <c r="H233" s="13">
        <v>1</v>
      </c>
      <c r="I233" s="4">
        <v>30</v>
      </c>
      <c r="J233" s="4">
        <v>38</v>
      </c>
      <c r="K233" s="4" t="s">
        <v>124</v>
      </c>
      <c r="L233" s="4" t="s">
        <v>13</v>
      </c>
      <c r="M233" s="4">
        <v>2023</v>
      </c>
      <c r="N233" s="4">
        <v>1</v>
      </c>
      <c r="O233" s="4">
        <v>1</v>
      </c>
      <c r="P233" s="4"/>
    </row>
    <row r="234" spans="1:16">
      <c r="A234" s="4" t="s">
        <v>275</v>
      </c>
      <c r="B234" s="4" t="s">
        <v>297</v>
      </c>
      <c r="C234" s="14" t="s">
        <v>298</v>
      </c>
      <c r="D234" s="13">
        <v>1</v>
      </c>
      <c r="E234" s="13" t="s">
        <v>397</v>
      </c>
      <c r="F234" s="13">
        <v>1</v>
      </c>
      <c r="G234" s="21">
        <v>0</v>
      </c>
      <c r="H234" s="13">
        <v>1</v>
      </c>
      <c r="I234" s="4">
        <v>31</v>
      </c>
      <c r="J234" s="4">
        <v>38</v>
      </c>
      <c r="K234" s="4" t="s">
        <v>124</v>
      </c>
      <c r="L234" s="4" t="s">
        <v>13</v>
      </c>
      <c r="M234" s="4">
        <v>2023</v>
      </c>
      <c r="N234" s="4">
        <v>1</v>
      </c>
      <c r="O234" s="4">
        <v>1</v>
      </c>
      <c r="P234" s="4"/>
    </row>
    <row r="235" spans="1:16">
      <c r="A235" s="4" t="s">
        <v>275</v>
      </c>
      <c r="B235" s="4" t="s">
        <v>299</v>
      </c>
      <c r="C235" s="14" t="s">
        <v>300</v>
      </c>
      <c r="D235" s="13">
        <v>1</v>
      </c>
      <c r="E235" s="13" t="s">
        <v>399</v>
      </c>
      <c r="F235" s="13">
        <v>1</v>
      </c>
      <c r="G235" s="21">
        <v>0</v>
      </c>
      <c r="H235" s="13">
        <v>1</v>
      </c>
      <c r="I235" s="4">
        <v>32</v>
      </c>
      <c r="J235" s="4">
        <v>38</v>
      </c>
      <c r="K235" s="4" t="s">
        <v>124</v>
      </c>
      <c r="L235" s="4" t="s">
        <v>13</v>
      </c>
      <c r="M235" s="4">
        <v>2023</v>
      </c>
      <c r="N235" s="4">
        <v>1</v>
      </c>
      <c r="O235" s="4">
        <v>1</v>
      </c>
      <c r="P235" s="4"/>
    </row>
    <row r="236" spans="1:16">
      <c r="A236" s="4" t="s">
        <v>275</v>
      </c>
      <c r="B236" s="4" t="s">
        <v>301</v>
      </c>
      <c r="C236" s="9" t="s">
        <v>302</v>
      </c>
      <c r="D236" s="13">
        <v>1</v>
      </c>
      <c r="E236" s="13" t="s">
        <v>399</v>
      </c>
      <c r="F236" s="13">
        <v>1</v>
      </c>
      <c r="G236" s="21">
        <v>0</v>
      </c>
      <c r="H236" s="13">
        <v>1</v>
      </c>
      <c r="I236" s="4">
        <v>33</v>
      </c>
      <c r="J236" s="4">
        <v>38</v>
      </c>
      <c r="K236" s="4" t="s">
        <v>124</v>
      </c>
      <c r="L236" s="4" t="s">
        <v>13</v>
      </c>
      <c r="M236" s="4">
        <v>2023</v>
      </c>
      <c r="N236" s="4">
        <v>1</v>
      </c>
      <c r="O236" s="4">
        <v>1</v>
      </c>
      <c r="P236" s="4"/>
    </row>
    <row r="237" spans="1:16">
      <c r="A237" s="4" t="s">
        <v>275</v>
      </c>
      <c r="B237" s="4" t="s">
        <v>303</v>
      </c>
      <c r="C237" s="14" t="s">
        <v>304</v>
      </c>
      <c r="D237" s="13">
        <v>1</v>
      </c>
      <c r="E237" s="13" t="s">
        <v>399</v>
      </c>
      <c r="F237" s="13">
        <v>1</v>
      </c>
      <c r="G237" s="21">
        <v>0</v>
      </c>
      <c r="H237" s="13">
        <v>2</v>
      </c>
      <c r="I237" s="4">
        <v>34</v>
      </c>
      <c r="J237" s="4">
        <v>38</v>
      </c>
      <c r="K237" s="4" t="s">
        <v>124</v>
      </c>
      <c r="L237" s="4" t="s">
        <v>13</v>
      </c>
      <c r="M237" s="4">
        <v>2023</v>
      </c>
      <c r="N237" s="4">
        <v>1</v>
      </c>
      <c r="O237" s="4">
        <v>1</v>
      </c>
      <c r="P237" s="4"/>
    </row>
    <row r="238" spans="1:16">
      <c r="A238" s="4" t="s">
        <v>275</v>
      </c>
      <c r="B238" s="4" t="s">
        <v>305</v>
      </c>
      <c r="C238" s="14" t="s">
        <v>306</v>
      </c>
      <c r="D238" s="13">
        <v>1</v>
      </c>
      <c r="E238" s="13" t="s">
        <v>397</v>
      </c>
      <c r="F238" s="13">
        <v>1</v>
      </c>
      <c r="G238" s="21">
        <v>1</v>
      </c>
      <c r="H238" s="13">
        <v>1</v>
      </c>
      <c r="I238" s="4">
        <v>35</v>
      </c>
      <c r="J238" s="4">
        <v>38</v>
      </c>
      <c r="K238" s="4" t="s">
        <v>124</v>
      </c>
      <c r="L238" s="4" t="s">
        <v>13</v>
      </c>
      <c r="M238" s="4">
        <v>2023</v>
      </c>
      <c r="N238" s="4">
        <v>1</v>
      </c>
      <c r="O238" s="4">
        <v>1</v>
      </c>
      <c r="P238" s="4"/>
    </row>
    <row r="239" spans="1:16">
      <c r="A239" s="4" t="s">
        <v>275</v>
      </c>
      <c r="B239" s="4" t="s">
        <v>307</v>
      </c>
      <c r="C239" s="14" t="s">
        <v>308</v>
      </c>
      <c r="D239" s="13">
        <v>0</v>
      </c>
      <c r="F239" s="13">
        <v>1</v>
      </c>
      <c r="G239" s="21">
        <v>0</v>
      </c>
      <c r="H239" s="13">
        <v>1</v>
      </c>
      <c r="I239" s="4">
        <v>36</v>
      </c>
      <c r="J239" s="4">
        <v>38</v>
      </c>
      <c r="K239" s="4" t="s">
        <v>124</v>
      </c>
      <c r="L239" s="4" t="s">
        <v>13</v>
      </c>
      <c r="M239" s="4">
        <v>2023</v>
      </c>
      <c r="N239" s="4">
        <v>1</v>
      </c>
      <c r="O239" s="4">
        <v>1</v>
      </c>
      <c r="P239" s="4"/>
    </row>
    <row r="240" spans="1:16">
      <c r="A240" s="4" t="s">
        <v>275</v>
      </c>
      <c r="B240" s="4" t="s">
        <v>309</v>
      </c>
      <c r="C240" s="14" t="s">
        <v>310</v>
      </c>
      <c r="D240" s="13">
        <v>0</v>
      </c>
      <c r="F240" s="13">
        <v>1</v>
      </c>
      <c r="G240" s="21">
        <v>0</v>
      </c>
      <c r="H240" s="13">
        <v>1</v>
      </c>
      <c r="I240" s="4">
        <v>37</v>
      </c>
      <c r="J240" s="4">
        <v>38</v>
      </c>
      <c r="K240" s="4" t="s">
        <v>124</v>
      </c>
      <c r="L240" s="4" t="s">
        <v>13</v>
      </c>
      <c r="M240" s="4">
        <v>2023</v>
      </c>
      <c r="N240" s="4">
        <v>1</v>
      </c>
      <c r="O240" s="4">
        <v>1</v>
      </c>
      <c r="P240" s="4"/>
    </row>
    <row r="241" spans="1:16">
      <c r="A241" s="4" t="s">
        <v>275</v>
      </c>
      <c r="B241" s="4" t="s">
        <v>311</v>
      </c>
      <c r="C241" s="14" t="s">
        <v>312</v>
      </c>
      <c r="D241" s="13">
        <v>0</v>
      </c>
      <c r="F241" s="13">
        <v>1</v>
      </c>
      <c r="G241" s="21">
        <v>0</v>
      </c>
      <c r="H241" s="13">
        <v>1</v>
      </c>
      <c r="I241" s="4">
        <v>38</v>
      </c>
      <c r="J241" s="4">
        <v>38</v>
      </c>
      <c r="K241" s="4" t="s">
        <v>124</v>
      </c>
      <c r="L241" s="4" t="s">
        <v>13</v>
      </c>
      <c r="M241" s="4">
        <v>2023</v>
      </c>
      <c r="N241" s="4">
        <v>1</v>
      </c>
      <c r="O241" s="4">
        <v>1</v>
      </c>
      <c r="P241" s="4"/>
    </row>
    <row r="242" spans="1:16">
      <c r="A242" s="4" t="s">
        <v>313</v>
      </c>
      <c r="B242" s="4" t="s">
        <v>1123</v>
      </c>
      <c r="C242" s="14" t="s">
        <v>1294</v>
      </c>
      <c r="F242" s="13">
        <v>0</v>
      </c>
      <c r="I242" s="4"/>
      <c r="J242" s="4"/>
      <c r="K242" s="4"/>
      <c r="L242" s="4"/>
      <c r="M242" s="4"/>
      <c r="N242" s="4"/>
      <c r="O242" s="4"/>
      <c r="P242" s="4"/>
    </row>
    <row r="243" spans="1:16">
      <c r="A243" s="4" t="s">
        <v>313</v>
      </c>
      <c r="B243" s="4" t="s">
        <v>1124</v>
      </c>
      <c r="C243" s="14" t="s">
        <v>1295</v>
      </c>
      <c r="F243" s="13">
        <v>0</v>
      </c>
      <c r="I243" s="4"/>
      <c r="J243" s="4"/>
      <c r="K243" s="4"/>
      <c r="L243" s="4"/>
      <c r="M243" s="4"/>
      <c r="N243" s="4"/>
      <c r="O243" s="4"/>
      <c r="P243" s="4"/>
    </row>
    <row r="244" spans="1:16">
      <c r="A244" s="4" t="s">
        <v>313</v>
      </c>
      <c r="B244" s="4" t="s">
        <v>314</v>
      </c>
      <c r="C244" s="14" t="s">
        <v>315</v>
      </c>
      <c r="D244" s="13">
        <v>1</v>
      </c>
      <c r="E244" s="13" t="s">
        <v>399</v>
      </c>
      <c r="F244" s="13">
        <v>1</v>
      </c>
      <c r="G244" s="21">
        <v>0</v>
      </c>
      <c r="H244" s="13">
        <v>1</v>
      </c>
      <c r="I244" s="4">
        <v>3</v>
      </c>
      <c r="J244" s="4">
        <v>41</v>
      </c>
      <c r="K244" s="4" t="s">
        <v>124</v>
      </c>
      <c r="L244" s="4" t="s">
        <v>13</v>
      </c>
      <c r="M244" s="4">
        <v>2024</v>
      </c>
      <c r="N244" s="4">
        <v>1</v>
      </c>
      <c r="O244" s="4">
        <v>1</v>
      </c>
      <c r="P244" s="4"/>
    </row>
    <row r="245" spans="1:16">
      <c r="A245" s="4" t="s">
        <v>313</v>
      </c>
      <c r="B245" s="4" t="s">
        <v>316</v>
      </c>
      <c r="C245" s="14" t="s">
        <v>317</v>
      </c>
      <c r="D245" s="13">
        <v>1</v>
      </c>
      <c r="E245" s="13" t="s">
        <v>399</v>
      </c>
      <c r="F245" s="13">
        <v>1</v>
      </c>
      <c r="G245" s="21">
        <v>0</v>
      </c>
      <c r="H245" s="13">
        <v>1</v>
      </c>
      <c r="I245" s="4">
        <v>4</v>
      </c>
      <c r="J245" s="4">
        <v>41</v>
      </c>
      <c r="K245" s="4" t="s">
        <v>124</v>
      </c>
      <c r="L245" s="4" t="s">
        <v>13</v>
      </c>
      <c r="M245" s="4">
        <v>2024</v>
      </c>
      <c r="N245" s="4">
        <v>1</v>
      </c>
      <c r="O245" s="4">
        <v>1</v>
      </c>
      <c r="P245" s="4"/>
    </row>
    <row r="246" spans="1:16">
      <c r="A246" s="4" t="s">
        <v>313</v>
      </c>
      <c r="B246" s="4" t="s">
        <v>1125</v>
      </c>
      <c r="C246" s="14" t="s">
        <v>1296</v>
      </c>
      <c r="F246" s="13">
        <v>0</v>
      </c>
      <c r="I246" s="4"/>
      <c r="J246" s="4"/>
      <c r="K246" s="4"/>
      <c r="L246" s="4"/>
      <c r="M246" s="4"/>
      <c r="N246" s="4"/>
      <c r="O246" s="4"/>
      <c r="P246" s="4"/>
    </row>
    <row r="247" spans="1:16">
      <c r="A247" s="4" t="s">
        <v>313</v>
      </c>
      <c r="B247" s="4" t="s">
        <v>1126</v>
      </c>
      <c r="C247" s="14" t="s">
        <v>1297</v>
      </c>
      <c r="F247" s="13">
        <v>0</v>
      </c>
      <c r="I247" s="4"/>
      <c r="J247" s="4"/>
      <c r="K247" s="4"/>
      <c r="L247" s="4"/>
      <c r="M247" s="4"/>
      <c r="N247" s="4"/>
      <c r="O247" s="4"/>
      <c r="P247" s="4"/>
    </row>
    <row r="248" spans="1:16">
      <c r="A248" s="4" t="s">
        <v>313</v>
      </c>
      <c r="B248" s="4" t="s">
        <v>1127</v>
      </c>
      <c r="C248" s="14" t="s">
        <v>1298</v>
      </c>
      <c r="F248" s="13">
        <v>0</v>
      </c>
      <c r="I248" s="4"/>
      <c r="J248" s="4"/>
      <c r="K248" s="4"/>
      <c r="L248" s="4"/>
      <c r="M248" s="4"/>
      <c r="N248" s="4"/>
      <c r="O248" s="4"/>
      <c r="P248" s="4"/>
    </row>
    <row r="249" spans="1:16">
      <c r="A249" s="4" t="s">
        <v>313</v>
      </c>
      <c r="B249" s="4" t="s">
        <v>318</v>
      </c>
      <c r="C249" s="14" t="s">
        <v>319</v>
      </c>
      <c r="D249" s="13">
        <v>1</v>
      </c>
      <c r="E249" s="13" t="s">
        <v>399</v>
      </c>
      <c r="F249" s="13">
        <v>1</v>
      </c>
      <c r="G249" s="21">
        <v>0</v>
      </c>
      <c r="H249" s="13">
        <v>2</v>
      </c>
      <c r="I249" s="4">
        <v>8</v>
      </c>
      <c r="J249" s="4">
        <v>41</v>
      </c>
      <c r="K249" s="4" t="s">
        <v>124</v>
      </c>
      <c r="L249" s="4" t="s">
        <v>13</v>
      </c>
      <c r="M249" s="4">
        <v>2024</v>
      </c>
      <c r="N249" s="4">
        <v>1</v>
      </c>
      <c r="O249" s="4">
        <v>1</v>
      </c>
      <c r="P249" s="4"/>
    </row>
    <row r="250" spans="1:16">
      <c r="A250" s="4" t="s">
        <v>313</v>
      </c>
      <c r="B250" s="4" t="s">
        <v>1128</v>
      </c>
      <c r="C250" s="9" t="s">
        <v>1299</v>
      </c>
      <c r="F250" s="13">
        <v>0</v>
      </c>
      <c r="I250" s="4"/>
      <c r="J250" s="4"/>
      <c r="K250" s="4"/>
      <c r="L250" s="4"/>
      <c r="M250" s="4"/>
      <c r="N250" s="4"/>
      <c r="O250" s="4"/>
      <c r="P250" s="4"/>
    </row>
    <row r="251" spans="1:16">
      <c r="A251" s="4" t="s">
        <v>313</v>
      </c>
      <c r="B251" s="4" t="s">
        <v>1129</v>
      </c>
      <c r="C251" s="14" t="s">
        <v>1300</v>
      </c>
      <c r="F251" s="13">
        <v>0</v>
      </c>
      <c r="I251" s="4"/>
      <c r="J251" s="4"/>
      <c r="K251" s="4"/>
      <c r="L251" s="4"/>
      <c r="M251" s="4"/>
      <c r="N251" s="4"/>
      <c r="O251" s="4"/>
      <c r="P251" s="4"/>
    </row>
    <row r="252" spans="1:16">
      <c r="A252" s="4" t="s">
        <v>313</v>
      </c>
      <c r="B252" s="4" t="s">
        <v>320</v>
      </c>
      <c r="C252" s="14" t="s">
        <v>321</v>
      </c>
      <c r="D252" s="13">
        <v>1</v>
      </c>
      <c r="E252" s="13" t="s">
        <v>395</v>
      </c>
      <c r="F252" s="13">
        <v>1</v>
      </c>
      <c r="G252" s="21">
        <v>1</v>
      </c>
      <c r="H252" s="13">
        <v>2</v>
      </c>
      <c r="I252" s="4">
        <v>11</v>
      </c>
      <c r="J252" s="4">
        <v>41</v>
      </c>
      <c r="K252" s="4" t="s">
        <v>124</v>
      </c>
      <c r="L252" s="4" t="s">
        <v>13</v>
      </c>
      <c r="M252" s="4">
        <v>2024</v>
      </c>
      <c r="N252" s="4">
        <v>1</v>
      </c>
      <c r="O252" s="4">
        <v>1</v>
      </c>
      <c r="P252" s="4"/>
    </row>
    <row r="253" spans="1:16">
      <c r="A253" s="4" t="s">
        <v>313</v>
      </c>
      <c r="B253" s="4" t="s">
        <v>322</v>
      </c>
      <c r="C253" s="9" t="s">
        <v>323</v>
      </c>
      <c r="D253" s="13">
        <v>1</v>
      </c>
      <c r="E253" s="13" t="s">
        <v>399</v>
      </c>
      <c r="F253" s="13">
        <v>1</v>
      </c>
      <c r="G253" s="21">
        <v>0</v>
      </c>
      <c r="H253" s="13">
        <v>1</v>
      </c>
      <c r="I253" s="4">
        <v>12</v>
      </c>
      <c r="J253" s="4">
        <v>41</v>
      </c>
      <c r="K253" s="4" t="s">
        <v>124</v>
      </c>
      <c r="L253" s="4" t="s">
        <v>13</v>
      </c>
      <c r="M253" s="4">
        <v>2024</v>
      </c>
      <c r="N253" s="4">
        <v>1</v>
      </c>
      <c r="O253" s="4">
        <v>1</v>
      </c>
      <c r="P253" s="4"/>
    </row>
    <row r="254" spans="1:16">
      <c r="A254" s="4" t="s">
        <v>313</v>
      </c>
      <c r="B254" s="4" t="s">
        <v>1130</v>
      </c>
      <c r="C254" s="14" t="s">
        <v>1301</v>
      </c>
      <c r="F254" s="13">
        <v>0</v>
      </c>
      <c r="I254" s="4"/>
      <c r="J254" s="4"/>
      <c r="K254" s="4"/>
      <c r="L254" s="4"/>
      <c r="M254" s="4"/>
      <c r="N254" s="4"/>
      <c r="O254" s="4"/>
      <c r="P254" s="4"/>
    </row>
    <row r="255" spans="1:16">
      <c r="A255" s="4" t="s">
        <v>313</v>
      </c>
      <c r="B255" s="4" t="s">
        <v>324</v>
      </c>
      <c r="C255" s="14" t="s">
        <v>325</v>
      </c>
      <c r="D255" s="13">
        <v>1</v>
      </c>
      <c r="E255" s="13" t="s">
        <v>399</v>
      </c>
      <c r="F255" s="13">
        <v>1</v>
      </c>
      <c r="G255" s="21">
        <v>0</v>
      </c>
      <c r="H255" s="13">
        <v>2</v>
      </c>
      <c r="I255" s="4">
        <v>14</v>
      </c>
      <c r="J255" s="4">
        <v>41</v>
      </c>
      <c r="K255" s="4" t="s">
        <v>124</v>
      </c>
      <c r="L255" s="4" t="s">
        <v>13</v>
      </c>
      <c r="M255" s="4">
        <v>2024</v>
      </c>
      <c r="N255" s="4">
        <v>1</v>
      </c>
      <c r="O255" s="4">
        <v>1</v>
      </c>
      <c r="P255" s="4"/>
    </row>
    <row r="256" spans="1:16">
      <c r="A256" s="4" t="s">
        <v>313</v>
      </c>
      <c r="B256" s="4" t="s">
        <v>326</v>
      </c>
      <c r="C256" s="14" t="s">
        <v>327</v>
      </c>
      <c r="D256" s="13">
        <v>1</v>
      </c>
      <c r="E256" s="13" t="s">
        <v>397</v>
      </c>
      <c r="F256" s="13">
        <v>1</v>
      </c>
      <c r="G256" s="21">
        <v>0</v>
      </c>
      <c r="H256" s="13">
        <v>1</v>
      </c>
      <c r="I256" s="4">
        <v>15</v>
      </c>
      <c r="J256" s="4">
        <v>41</v>
      </c>
      <c r="K256" s="4" t="s">
        <v>124</v>
      </c>
      <c r="L256" s="4" t="s">
        <v>13</v>
      </c>
      <c r="M256" s="4">
        <v>2024</v>
      </c>
      <c r="N256" s="4">
        <v>1</v>
      </c>
      <c r="O256" s="4">
        <v>1</v>
      </c>
      <c r="P256" s="4"/>
    </row>
    <row r="257" spans="1:16">
      <c r="A257" s="4" t="s">
        <v>313</v>
      </c>
      <c r="B257" s="4" t="s">
        <v>1131</v>
      </c>
      <c r="C257" s="14" t="s">
        <v>1302</v>
      </c>
      <c r="F257" s="13">
        <v>0</v>
      </c>
      <c r="I257" s="4"/>
      <c r="J257" s="4"/>
      <c r="K257" s="4"/>
      <c r="L257" s="4"/>
      <c r="M257" s="4"/>
      <c r="N257" s="4"/>
      <c r="O257" s="4"/>
      <c r="P257" s="4"/>
    </row>
    <row r="258" spans="1:16">
      <c r="A258" s="4" t="s">
        <v>313</v>
      </c>
      <c r="B258" s="4" t="s">
        <v>328</v>
      </c>
      <c r="C258" s="14" t="s">
        <v>330</v>
      </c>
      <c r="D258" s="13">
        <v>1</v>
      </c>
      <c r="E258" s="13" t="s">
        <v>397</v>
      </c>
      <c r="F258" s="13">
        <v>1</v>
      </c>
      <c r="G258" s="21">
        <v>0</v>
      </c>
      <c r="H258" s="13">
        <v>1</v>
      </c>
      <c r="I258" s="4">
        <v>17</v>
      </c>
      <c r="J258" s="4">
        <v>41</v>
      </c>
      <c r="K258" s="4" t="s">
        <v>124</v>
      </c>
      <c r="L258" s="4" t="s">
        <v>13</v>
      </c>
      <c r="M258" s="4">
        <v>2024</v>
      </c>
      <c r="N258" s="4">
        <v>1</v>
      </c>
      <c r="O258" s="4">
        <v>1</v>
      </c>
      <c r="P258" s="4"/>
    </row>
    <row r="259" spans="1:16">
      <c r="A259" s="4" t="s">
        <v>313</v>
      </c>
      <c r="B259" s="4" t="s">
        <v>329</v>
      </c>
      <c r="C259" s="14" t="s">
        <v>331</v>
      </c>
      <c r="D259" s="13">
        <v>1</v>
      </c>
      <c r="E259" s="13" t="s">
        <v>397</v>
      </c>
      <c r="F259" s="13">
        <v>1</v>
      </c>
      <c r="G259" s="21">
        <v>0</v>
      </c>
      <c r="H259" s="13">
        <v>1</v>
      </c>
      <c r="I259" s="4">
        <v>18</v>
      </c>
      <c r="J259" s="4">
        <v>41</v>
      </c>
      <c r="K259" s="4" t="s">
        <v>124</v>
      </c>
      <c r="L259" s="4" t="s">
        <v>13</v>
      </c>
      <c r="M259" s="4">
        <v>2024</v>
      </c>
      <c r="N259" s="4">
        <v>1</v>
      </c>
      <c r="O259" s="4">
        <v>1</v>
      </c>
      <c r="P259" s="4"/>
    </row>
    <row r="260" spans="1:16">
      <c r="A260" s="4" t="s">
        <v>313</v>
      </c>
      <c r="B260" s="4" t="s">
        <v>1132</v>
      </c>
      <c r="C260" s="14" t="s">
        <v>1303</v>
      </c>
      <c r="F260" s="13">
        <v>0</v>
      </c>
      <c r="I260" s="4"/>
      <c r="J260" s="4"/>
      <c r="K260" s="4"/>
      <c r="L260" s="4"/>
      <c r="M260" s="4"/>
      <c r="N260" s="4"/>
      <c r="O260" s="4"/>
      <c r="P260" s="4"/>
    </row>
    <row r="261" spans="1:16">
      <c r="A261" s="4" t="s">
        <v>313</v>
      </c>
      <c r="B261" s="4" t="s">
        <v>1133</v>
      </c>
      <c r="C261" s="14" t="s">
        <v>1304</v>
      </c>
      <c r="F261" s="13">
        <v>0</v>
      </c>
      <c r="I261" s="4"/>
      <c r="J261" s="4"/>
      <c r="K261" s="4"/>
      <c r="L261" s="4"/>
      <c r="M261" s="4"/>
      <c r="N261" s="4"/>
      <c r="O261" s="4"/>
      <c r="P261" s="4"/>
    </row>
    <row r="262" spans="1:16">
      <c r="A262" s="4" t="s">
        <v>313</v>
      </c>
      <c r="B262" s="4" t="s">
        <v>332</v>
      </c>
      <c r="C262" s="14" t="s">
        <v>333</v>
      </c>
      <c r="D262" s="13">
        <v>0</v>
      </c>
      <c r="F262" s="13">
        <v>1</v>
      </c>
      <c r="G262" s="21">
        <v>0</v>
      </c>
      <c r="H262" s="13">
        <v>1</v>
      </c>
      <c r="I262" s="4">
        <v>21</v>
      </c>
      <c r="J262" s="4">
        <v>41</v>
      </c>
      <c r="K262" s="4" t="s">
        <v>124</v>
      </c>
      <c r="L262" s="4" t="s">
        <v>13</v>
      </c>
      <c r="M262" s="4">
        <v>2024</v>
      </c>
      <c r="N262" s="4">
        <v>1</v>
      </c>
      <c r="O262" s="4">
        <v>1</v>
      </c>
      <c r="P262" s="4"/>
    </row>
    <row r="263" spans="1:16">
      <c r="A263" s="4" t="s">
        <v>313</v>
      </c>
      <c r="B263" s="4" t="s">
        <v>1134</v>
      </c>
      <c r="C263" s="9" t="s">
        <v>1305</v>
      </c>
      <c r="F263" s="13">
        <v>0</v>
      </c>
      <c r="I263" s="4"/>
      <c r="J263" s="4"/>
      <c r="K263" s="4"/>
      <c r="L263" s="4"/>
      <c r="M263" s="4"/>
      <c r="N263" s="4"/>
      <c r="O263" s="4"/>
      <c r="P263" s="4"/>
    </row>
    <row r="264" spans="1:16">
      <c r="A264" s="4" t="s">
        <v>313</v>
      </c>
      <c r="B264" s="4" t="s">
        <v>1135</v>
      </c>
      <c r="C264" s="14" t="s">
        <v>1306</v>
      </c>
      <c r="F264" s="13">
        <v>0</v>
      </c>
      <c r="I264" s="4"/>
      <c r="J264" s="4"/>
      <c r="K264" s="4"/>
      <c r="L264" s="4"/>
      <c r="M264" s="4"/>
      <c r="N264" s="4"/>
      <c r="O264" s="4"/>
      <c r="P264" s="4"/>
    </row>
    <row r="265" spans="1:16">
      <c r="A265" s="4" t="s">
        <v>313</v>
      </c>
      <c r="B265" s="4" t="s">
        <v>1136</v>
      </c>
      <c r="C265" s="14" t="s">
        <v>1291</v>
      </c>
      <c r="F265" s="13">
        <v>0</v>
      </c>
      <c r="I265" s="4"/>
      <c r="J265" s="4"/>
      <c r="K265" s="4"/>
      <c r="L265" s="4"/>
      <c r="M265" s="4"/>
      <c r="N265" s="4"/>
      <c r="O265" s="4"/>
      <c r="P265" s="4"/>
    </row>
    <row r="266" spans="1:16">
      <c r="A266" s="4" t="s">
        <v>313</v>
      </c>
      <c r="B266" s="4" t="s">
        <v>1137</v>
      </c>
      <c r="C266" s="14" t="s">
        <v>1307</v>
      </c>
      <c r="F266" s="13">
        <v>0</v>
      </c>
      <c r="I266" s="4"/>
      <c r="J266" s="4"/>
      <c r="K266" s="4"/>
      <c r="L266" s="4"/>
      <c r="M266" s="4"/>
      <c r="N266" s="4"/>
      <c r="O266" s="4"/>
      <c r="P266" s="4"/>
    </row>
    <row r="267" spans="1:16">
      <c r="A267" s="4" t="s">
        <v>313</v>
      </c>
      <c r="B267" s="4" t="s">
        <v>1138</v>
      </c>
      <c r="C267" s="14" t="s">
        <v>1308</v>
      </c>
      <c r="F267" s="13">
        <v>0</v>
      </c>
      <c r="I267" s="4"/>
      <c r="J267" s="4"/>
      <c r="K267" s="4"/>
      <c r="L267" s="4"/>
      <c r="M267" s="4"/>
      <c r="N267" s="4"/>
      <c r="O267" s="4"/>
      <c r="P267" s="4"/>
    </row>
    <row r="268" spans="1:16">
      <c r="A268" s="4" t="s">
        <v>313</v>
      </c>
      <c r="B268" s="4" t="s">
        <v>1139</v>
      </c>
      <c r="C268" s="14" t="s">
        <v>1292</v>
      </c>
      <c r="F268" s="13">
        <v>0</v>
      </c>
      <c r="I268" s="4"/>
      <c r="J268" s="4"/>
      <c r="K268" s="4"/>
      <c r="L268" s="4"/>
      <c r="M268" s="4"/>
      <c r="N268" s="4"/>
      <c r="O268" s="4"/>
      <c r="P268" s="4"/>
    </row>
    <row r="269" spans="1:16">
      <c r="A269" s="4" t="s">
        <v>313</v>
      </c>
      <c r="B269" s="4" t="s">
        <v>1140</v>
      </c>
      <c r="C269" s="14" t="s">
        <v>1309</v>
      </c>
      <c r="F269" s="13">
        <v>0</v>
      </c>
      <c r="I269" s="4"/>
      <c r="J269" s="4"/>
      <c r="K269" s="4"/>
      <c r="L269" s="4"/>
      <c r="M269" s="4"/>
      <c r="N269" s="4"/>
      <c r="O269" s="4"/>
      <c r="P269" s="4"/>
    </row>
    <row r="270" spans="1:16">
      <c r="A270" s="4" t="s">
        <v>313</v>
      </c>
      <c r="B270" s="4" t="s">
        <v>334</v>
      </c>
      <c r="C270" s="14" t="s">
        <v>335</v>
      </c>
      <c r="D270" s="13">
        <v>1</v>
      </c>
      <c r="E270" s="13" t="s">
        <v>399</v>
      </c>
      <c r="F270" s="13">
        <v>1</v>
      </c>
      <c r="G270" s="21">
        <v>0</v>
      </c>
      <c r="H270" s="13">
        <v>2</v>
      </c>
      <c r="I270" s="4">
        <v>29</v>
      </c>
      <c r="J270" s="4">
        <v>41</v>
      </c>
      <c r="K270" s="4" t="s">
        <v>124</v>
      </c>
      <c r="L270" s="4" t="s">
        <v>13</v>
      </c>
      <c r="M270" s="4">
        <v>2024</v>
      </c>
      <c r="N270" s="4">
        <v>1</v>
      </c>
      <c r="O270" s="4">
        <v>1</v>
      </c>
      <c r="P270" s="4"/>
    </row>
    <row r="271" spans="1:16">
      <c r="A271" s="4" t="s">
        <v>313</v>
      </c>
      <c r="B271" s="4" t="s">
        <v>1141</v>
      </c>
      <c r="C271" s="14" t="s">
        <v>1310</v>
      </c>
      <c r="F271" s="13">
        <v>0</v>
      </c>
      <c r="I271" s="4"/>
      <c r="J271" s="4"/>
      <c r="K271" s="4"/>
      <c r="L271" s="4"/>
      <c r="M271" s="4"/>
      <c r="N271" s="4"/>
      <c r="O271" s="4"/>
      <c r="P271" s="4"/>
    </row>
    <row r="272" spans="1:16">
      <c r="A272" s="4" t="s">
        <v>313</v>
      </c>
      <c r="B272" s="4" t="s">
        <v>336</v>
      </c>
      <c r="C272" s="14" t="s">
        <v>298</v>
      </c>
      <c r="D272" s="13">
        <v>1</v>
      </c>
      <c r="E272" s="13" t="s">
        <v>397</v>
      </c>
      <c r="F272" s="13">
        <v>1</v>
      </c>
      <c r="G272" s="21">
        <v>0</v>
      </c>
      <c r="H272" s="13">
        <v>1</v>
      </c>
      <c r="I272" s="4">
        <v>31</v>
      </c>
      <c r="J272" s="4">
        <v>41</v>
      </c>
      <c r="K272" s="4" t="s">
        <v>124</v>
      </c>
      <c r="L272" s="4" t="s">
        <v>13</v>
      </c>
      <c r="M272" s="4">
        <v>2024</v>
      </c>
      <c r="N272" s="4">
        <v>1</v>
      </c>
      <c r="O272" s="4">
        <v>1</v>
      </c>
      <c r="P272" s="4"/>
    </row>
    <row r="273" spans="1:16">
      <c r="A273" s="4" t="s">
        <v>313</v>
      </c>
      <c r="B273" s="4" t="s">
        <v>337</v>
      </c>
      <c r="C273" s="14" t="s">
        <v>339</v>
      </c>
      <c r="D273" s="13">
        <v>1</v>
      </c>
      <c r="E273" s="13" t="s">
        <v>399</v>
      </c>
      <c r="F273" s="13">
        <v>1</v>
      </c>
      <c r="G273" s="21">
        <v>0</v>
      </c>
      <c r="H273" s="13">
        <v>1</v>
      </c>
      <c r="I273" s="4">
        <v>32</v>
      </c>
      <c r="J273" s="4">
        <v>41</v>
      </c>
      <c r="K273" s="4" t="s">
        <v>124</v>
      </c>
      <c r="L273" s="4" t="s">
        <v>13</v>
      </c>
      <c r="M273" s="4">
        <v>2024</v>
      </c>
      <c r="N273" s="4">
        <v>1</v>
      </c>
      <c r="O273" s="4">
        <v>1</v>
      </c>
      <c r="P273" s="4"/>
    </row>
    <row r="274" spans="1:16">
      <c r="A274" s="4" t="s">
        <v>313</v>
      </c>
      <c r="B274" s="4" t="s">
        <v>338</v>
      </c>
      <c r="C274" s="14" t="s">
        <v>340</v>
      </c>
      <c r="D274" s="13">
        <v>1</v>
      </c>
      <c r="E274" s="13" t="s">
        <v>399</v>
      </c>
      <c r="F274" s="13">
        <v>1</v>
      </c>
      <c r="G274" s="21">
        <v>0</v>
      </c>
      <c r="H274" s="13">
        <v>2</v>
      </c>
      <c r="I274" s="4">
        <v>33</v>
      </c>
      <c r="J274" s="4">
        <v>41</v>
      </c>
      <c r="K274" s="4" t="s">
        <v>124</v>
      </c>
      <c r="L274" s="4" t="s">
        <v>13</v>
      </c>
      <c r="M274" s="4">
        <v>2024</v>
      </c>
      <c r="N274" s="4">
        <v>1</v>
      </c>
      <c r="O274" s="4">
        <v>1</v>
      </c>
      <c r="P274" s="4"/>
    </row>
    <row r="275" spans="1:16">
      <c r="A275" s="4" t="s">
        <v>313</v>
      </c>
      <c r="B275" s="4" t="s">
        <v>406</v>
      </c>
      <c r="C275" s="14" t="s">
        <v>304</v>
      </c>
      <c r="D275" s="13">
        <v>1</v>
      </c>
      <c r="E275" s="13" t="s">
        <v>399</v>
      </c>
      <c r="F275" s="13">
        <v>1</v>
      </c>
      <c r="G275" s="21">
        <v>0</v>
      </c>
      <c r="H275" s="13">
        <v>2</v>
      </c>
      <c r="I275" s="4">
        <v>34</v>
      </c>
      <c r="J275" s="4">
        <v>41</v>
      </c>
      <c r="K275" s="4" t="s">
        <v>124</v>
      </c>
      <c r="L275" s="4" t="s">
        <v>13</v>
      </c>
      <c r="M275" s="4">
        <v>2024</v>
      </c>
      <c r="N275" s="4">
        <v>1</v>
      </c>
      <c r="O275" s="4">
        <v>1</v>
      </c>
      <c r="P275" s="4"/>
    </row>
    <row r="276" spans="1:16">
      <c r="A276" s="4" t="s">
        <v>313</v>
      </c>
      <c r="B276" s="4" t="s">
        <v>1142</v>
      </c>
      <c r="C276" s="14" t="s">
        <v>1311</v>
      </c>
      <c r="F276" s="13">
        <v>0</v>
      </c>
      <c r="I276" s="4"/>
      <c r="J276" s="4"/>
      <c r="K276" s="4"/>
      <c r="L276" s="4"/>
      <c r="M276" s="4"/>
      <c r="N276" s="4"/>
      <c r="O276" s="4"/>
      <c r="P276" s="4"/>
    </row>
    <row r="277" spans="1:16">
      <c r="A277" s="4" t="s">
        <v>313</v>
      </c>
      <c r="B277" s="4" t="s">
        <v>1143</v>
      </c>
      <c r="C277" s="9" t="s">
        <v>1312</v>
      </c>
      <c r="F277" s="13">
        <v>0</v>
      </c>
      <c r="I277" s="4"/>
      <c r="J277" s="4"/>
      <c r="K277" s="4"/>
      <c r="L277" s="4"/>
      <c r="M277" s="4"/>
      <c r="N277" s="4"/>
      <c r="O277" s="4"/>
      <c r="P277" s="4"/>
    </row>
    <row r="278" spans="1:16">
      <c r="A278" s="4" t="s">
        <v>313</v>
      </c>
      <c r="B278" s="4" t="s">
        <v>1144</v>
      </c>
      <c r="C278" s="14" t="s">
        <v>1313</v>
      </c>
      <c r="F278" s="13">
        <v>0</v>
      </c>
      <c r="I278" s="4"/>
      <c r="J278" s="4"/>
      <c r="K278" s="4"/>
      <c r="L278" s="4"/>
      <c r="M278" s="4"/>
      <c r="N278" s="4"/>
      <c r="O278" s="4"/>
      <c r="P278" s="4"/>
    </row>
    <row r="279" spans="1:16">
      <c r="A279" s="4" t="s">
        <v>313</v>
      </c>
      <c r="B279" s="4" t="s">
        <v>341</v>
      </c>
      <c r="C279" s="14" t="s">
        <v>306</v>
      </c>
      <c r="D279" s="13">
        <v>1</v>
      </c>
      <c r="E279" s="13" t="s">
        <v>397</v>
      </c>
      <c r="F279" s="13">
        <v>1</v>
      </c>
      <c r="G279" s="21">
        <v>1</v>
      </c>
      <c r="H279" s="13">
        <v>1</v>
      </c>
      <c r="I279" s="4">
        <v>38</v>
      </c>
      <c r="J279" s="4">
        <v>41</v>
      </c>
      <c r="K279" s="4" t="s">
        <v>124</v>
      </c>
      <c r="L279" s="4" t="s">
        <v>13</v>
      </c>
      <c r="M279" s="4">
        <v>2024</v>
      </c>
      <c r="N279" s="4">
        <v>1</v>
      </c>
      <c r="O279" s="4">
        <v>1</v>
      </c>
      <c r="P279" s="4"/>
    </row>
    <row r="280" spans="1:16">
      <c r="A280" s="4" t="s">
        <v>313</v>
      </c>
      <c r="B280" s="4" t="s">
        <v>342</v>
      </c>
      <c r="C280" s="14" t="s">
        <v>344</v>
      </c>
      <c r="D280" s="13">
        <v>0</v>
      </c>
      <c r="F280" s="13">
        <v>1</v>
      </c>
      <c r="G280" s="21">
        <v>0</v>
      </c>
      <c r="H280" s="13">
        <v>1</v>
      </c>
      <c r="I280" s="4">
        <v>39</v>
      </c>
      <c r="J280" s="4">
        <v>41</v>
      </c>
      <c r="K280" s="4" t="s">
        <v>124</v>
      </c>
      <c r="L280" s="4" t="s">
        <v>13</v>
      </c>
      <c r="M280" s="4">
        <v>2024</v>
      </c>
      <c r="N280" s="4">
        <v>1</v>
      </c>
      <c r="O280" s="4">
        <v>1</v>
      </c>
      <c r="P280" s="4"/>
    </row>
    <row r="281" spans="1:16">
      <c r="A281" s="4" t="s">
        <v>313</v>
      </c>
      <c r="B281" s="4" t="s">
        <v>343</v>
      </c>
      <c r="C281" s="14" t="s">
        <v>310</v>
      </c>
      <c r="D281" s="13">
        <v>0</v>
      </c>
      <c r="F281" s="13">
        <v>1</v>
      </c>
      <c r="G281" s="21">
        <v>0</v>
      </c>
      <c r="H281" s="13">
        <v>1</v>
      </c>
      <c r="I281" s="4">
        <v>40</v>
      </c>
      <c r="J281" s="4">
        <v>41</v>
      </c>
      <c r="K281" s="4" t="s">
        <v>124</v>
      </c>
      <c r="L281" s="4" t="s">
        <v>13</v>
      </c>
      <c r="M281" s="4">
        <v>2024</v>
      </c>
      <c r="N281" s="4">
        <v>1</v>
      </c>
      <c r="O281" s="4">
        <v>1</v>
      </c>
      <c r="P281" s="4"/>
    </row>
    <row r="282" spans="1:16">
      <c r="A282" s="4" t="s">
        <v>313</v>
      </c>
      <c r="B282" s="4" t="s">
        <v>345</v>
      </c>
      <c r="C282" s="14" t="s">
        <v>346</v>
      </c>
      <c r="D282" s="13">
        <v>0</v>
      </c>
      <c r="F282" s="13">
        <v>1</v>
      </c>
      <c r="G282" s="21">
        <v>0</v>
      </c>
      <c r="H282" s="13">
        <v>1</v>
      </c>
      <c r="I282" s="4">
        <v>41</v>
      </c>
      <c r="J282" s="4">
        <v>41</v>
      </c>
      <c r="K282" s="4" t="s">
        <v>124</v>
      </c>
      <c r="L282" s="4" t="s">
        <v>13</v>
      </c>
      <c r="M282" s="4">
        <v>2024</v>
      </c>
      <c r="N282" s="4">
        <v>1</v>
      </c>
      <c r="O282" s="4">
        <v>1</v>
      </c>
      <c r="P282" s="4"/>
    </row>
    <row r="283" spans="1:16">
      <c r="A283" s="4" t="s">
        <v>347</v>
      </c>
      <c r="B283" s="4" t="s">
        <v>348</v>
      </c>
      <c r="C283" s="9" t="s">
        <v>349</v>
      </c>
      <c r="D283" s="13">
        <v>0</v>
      </c>
      <c r="F283" s="13">
        <v>1</v>
      </c>
      <c r="G283" s="21">
        <v>0</v>
      </c>
      <c r="H283" s="13">
        <v>1</v>
      </c>
      <c r="I283" s="4">
        <v>1</v>
      </c>
      <c r="J283" s="4">
        <v>46</v>
      </c>
      <c r="K283" s="4" t="s">
        <v>124</v>
      </c>
      <c r="L283" s="4" t="s">
        <v>13</v>
      </c>
      <c r="M283" s="4">
        <v>2025</v>
      </c>
      <c r="N283" s="4">
        <v>1</v>
      </c>
      <c r="O283" s="4">
        <v>1</v>
      </c>
      <c r="P283" s="4"/>
    </row>
    <row r="284" spans="1:16">
      <c r="A284" s="4" t="s">
        <v>347</v>
      </c>
      <c r="B284" s="4" t="s">
        <v>350</v>
      </c>
      <c r="C284" s="14" t="s">
        <v>351</v>
      </c>
      <c r="D284" s="13">
        <v>0</v>
      </c>
      <c r="F284" s="13">
        <v>1</v>
      </c>
      <c r="G284" s="21">
        <v>0</v>
      </c>
      <c r="H284" s="13">
        <v>1</v>
      </c>
      <c r="I284" s="4">
        <v>2</v>
      </c>
      <c r="J284" s="4">
        <v>46</v>
      </c>
      <c r="K284" s="4" t="s">
        <v>124</v>
      </c>
      <c r="L284" s="4" t="s">
        <v>13</v>
      </c>
      <c r="M284" s="4">
        <v>2025</v>
      </c>
      <c r="N284" s="4">
        <v>1</v>
      </c>
      <c r="O284" s="4">
        <v>1</v>
      </c>
      <c r="P284" s="4"/>
    </row>
    <row r="285" spans="1:16">
      <c r="A285" s="4" t="s">
        <v>347</v>
      </c>
      <c r="B285" s="4" t="s">
        <v>352</v>
      </c>
      <c r="C285" s="14" t="s">
        <v>353</v>
      </c>
      <c r="D285" s="13">
        <v>0</v>
      </c>
      <c r="F285" s="13">
        <v>1</v>
      </c>
      <c r="G285" s="21">
        <v>0</v>
      </c>
      <c r="H285" s="13">
        <v>1</v>
      </c>
      <c r="I285" s="4">
        <v>3</v>
      </c>
      <c r="J285" s="4">
        <v>46</v>
      </c>
      <c r="K285" s="4" t="s">
        <v>124</v>
      </c>
      <c r="L285" s="4" t="s">
        <v>13</v>
      </c>
      <c r="M285" s="4">
        <v>2025</v>
      </c>
      <c r="N285" s="4">
        <v>1</v>
      </c>
      <c r="O285" s="4">
        <v>1</v>
      </c>
      <c r="P285" s="4"/>
    </row>
    <row r="286" spans="1:16">
      <c r="A286" s="4" t="s">
        <v>347</v>
      </c>
      <c r="B286" s="4" t="s">
        <v>354</v>
      </c>
      <c r="C286" s="14" t="s">
        <v>355</v>
      </c>
      <c r="D286" s="13">
        <v>1</v>
      </c>
      <c r="E286" s="13" t="s">
        <v>399</v>
      </c>
      <c r="F286" s="13">
        <v>1</v>
      </c>
      <c r="G286" s="21">
        <v>1</v>
      </c>
      <c r="H286" s="13">
        <v>1</v>
      </c>
      <c r="I286" s="4">
        <v>4</v>
      </c>
      <c r="J286" s="4">
        <v>46</v>
      </c>
      <c r="K286" s="4" t="s">
        <v>124</v>
      </c>
      <c r="L286" s="4" t="s">
        <v>13</v>
      </c>
      <c r="M286" s="4">
        <v>2025</v>
      </c>
      <c r="N286" s="4">
        <v>1</v>
      </c>
      <c r="O286" s="4">
        <v>1</v>
      </c>
      <c r="P286" s="4"/>
    </row>
    <row r="287" spans="1:16">
      <c r="A287" s="4" t="s">
        <v>347</v>
      </c>
      <c r="B287" s="4" t="s">
        <v>356</v>
      </c>
      <c r="C287" s="14" t="s">
        <v>357</v>
      </c>
      <c r="D287" s="13">
        <v>1</v>
      </c>
      <c r="E287" s="13" t="s">
        <v>397</v>
      </c>
      <c r="F287" s="13">
        <v>1</v>
      </c>
      <c r="G287" s="21">
        <v>0</v>
      </c>
      <c r="H287" s="13">
        <v>1</v>
      </c>
      <c r="I287" s="4">
        <v>5</v>
      </c>
      <c r="J287" s="4">
        <v>46</v>
      </c>
      <c r="K287" s="4" t="s">
        <v>124</v>
      </c>
      <c r="L287" s="4" t="s">
        <v>13</v>
      </c>
      <c r="M287" s="4">
        <v>2025</v>
      </c>
      <c r="N287" s="4">
        <v>1</v>
      </c>
      <c r="O287" s="4">
        <v>1</v>
      </c>
      <c r="P287" s="4"/>
    </row>
    <row r="288" spans="1:16">
      <c r="A288" s="4" t="s">
        <v>347</v>
      </c>
      <c r="B288" s="4" t="s">
        <v>358</v>
      </c>
      <c r="C288" s="14" t="s">
        <v>359</v>
      </c>
      <c r="D288" s="13">
        <v>1</v>
      </c>
      <c r="E288" s="13" t="s">
        <v>399</v>
      </c>
      <c r="F288" s="13">
        <v>1</v>
      </c>
      <c r="G288" s="21">
        <v>0</v>
      </c>
      <c r="H288" s="13">
        <v>1</v>
      </c>
      <c r="I288" s="4">
        <v>6</v>
      </c>
      <c r="J288" s="4">
        <v>46</v>
      </c>
      <c r="K288" s="4" t="s">
        <v>124</v>
      </c>
      <c r="L288" s="4" t="s">
        <v>13</v>
      </c>
      <c r="M288" s="4">
        <v>2025</v>
      </c>
      <c r="N288" s="4">
        <v>1</v>
      </c>
      <c r="O288" s="4">
        <v>1</v>
      </c>
      <c r="P288" s="4"/>
    </row>
    <row r="289" spans="1:16">
      <c r="A289" s="4" t="s">
        <v>347</v>
      </c>
      <c r="B289" s="4" t="s">
        <v>360</v>
      </c>
      <c r="C289" s="14" t="s">
        <v>361</v>
      </c>
      <c r="D289" s="13">
        <v>1</v>
      </c>
      <c r="E289" s="13" t="s">
        <v>399</v>
      </c>
      <c r="F289" s="13">
        <v>1</v>
      </c>
      <c r="G289" s="21">
        <v>0</v>
      </c>
      <c r="H289" s="13">
        <v>1</v>
      </c>
      <c r="I289" s="4">
        <v>7</v>
      </c>
      <c r="J289" s="4">
        <v>46</v>
      </c>
      <c r="K289" s="4" t="s">
        <v>124</v>
      </c>
      <c r="L289" s="4" t="s">
        <v>13</v>
      </c>
      <c r="M289" s="4">
        <v>2025</v>
      </c>
      <c r="N289" s="4">
        <v>1</v>
      </c>
      <c r="O289" s="4">
        <v>1</v>
      </c>
      <c r="P289" s="4"/>
    </row>
    <row r="290" spans="1:16">
      <c r="A290" s="4" t="s">
        <v>347</v>
      </c>
      <c r="B290" s="4" t="s">
        <v>1145</v>
      </c>
      <c r="C290" s="14" t="s">
        <v>1314</v>
      </c>
      <c r="F290" s="13">
        <v>0</v>
      </c>
      <c r="I290" s="4"/>
      <c r="J290" s="4"/>
      <c r="K290" s="4"/>
      <c r="L290" s="4"/>
      <c r="M290" s="4"/>
      <c r="N290" s="4"/>
      <c r="O290" s="4"/>
      <c r="P290" s="4"/>
    </row>
    <row r="291" spans="1:16">
      <c r="A291" s="4" t="s">
        <v>347</v>
      </c>
      <c r="B291" s="4" t="s">
        <v>1146</v>
      </c>
      <c r="C291" s="14" t="s">
        <v>1315</v>
      </c>
      <c r="F291" s="13">
        <v>0</v>
      </c>
      <c r="I291" s="4"/>
      <c r="J291" s="4"/>
      <c r="K291" s="4"/>
      <c r="L291" s="4"/>
      <c r="M291" s="4"/>
      <c r="N291" s="4"/>
      <c r="O291" s="4"/>
      <c r="P291" s="4"/>
    </row>
    <row r="292" spans="1:16">
      <c r="A292" s="4" t="s">
        <v>347</v>
      </c>
      <c r="B292" s="4" t="s">
        <v>1147</v>
      </c>
      <c r="C292" s="14" t="s">
        <v>1316</v>
      </c>
      <c r="F292" s="13">
        <v>0</v>
      </c>
      <c r="I292" s="4"/>
      <c r="J292" s="4"/>
      <c r="K292" s="4"/>
      <c r="L292" s="4"/>
      <c r="M292" s="4"/>
      <c r="N292" s="4"/>
      <c r="O292" s="4"/>
      <c r="P292" s="4"/>
    </row>
    <row r="293" spans="1:16">
      <c r="A293" s="4" t="s">
        <v>347</v>
      </c>
      <c r="B293" s="4" t="s">
        <v>1148</v>
      </c>
      <c r="C293" s="14" t="s">
        <v>1317</v>
      </c>
      <c r="F293" s="13">
        <v>0</v>
      </c>
      <c r="I293" s="4"/>
      <c r="J293" s="4"/>
      <c r="K293" s="4"/>
      <c r="L293" s="4"/>
      <c r="M293" s="4"/>
      <c r="N293" s="4"/>
      <c r="O293" s="4"/>
      <c r="P293" s="4"/>
    </row>
    <row r="294" spans="1:16">
      <c r="A294" s="4" t="s">
        <v>347</v>
      </c>
      <c r="B294" s="4" t="s">
        <v>1149</v>
      </c>
      <c r="C294" s="14" t="s">
        <v>1318</v>
      </c>
      <c r="F294" s="13">
        <v>0</v>
      </c>
      <c r="I294" s="4"/>
      <c r="J294" s="4"/>
      <c r="K294" s="4"/>
      <c r="L294" s="4"/>
      <c r="M294" s="4"/>
      <c r="N294" s="4"/>
      <c r="O294" s="4"/>
      <c r="P294" s="4"/>
    </row>
    <row r="295" spans="1:16">
      <c r="A295" s="4" t="s">
        <v>347</v>
      </c>
      <c r="B295" s="4" t="s">
        <v>1150</v>
      </c>
      <c r="C295" s="14" t="s">
        <v>1319</v>
      </c>
      <c r="F295" s="13">
        <v>0</v>
      </c>
      <c r="I295" s="4"/>
      <c r="J295" s="4"/>
      <c r="K295" s="4"/>
      <c r="L295" s="4"/>
      <c r="M295" s="4"/>
      <c r="N295" s="4"/>
      <c r="O295" s="4"/>
      <c r="P295" s="4"/>
    </row>
    <row r="296" spans="1:16">
      <c r="A296" s="4" t="s">
        <v>347</v>
      </c>
      <c r="B296" s="4" t="s">
        <v>1151</v>
      </c>
      <c r="C296" s="14" t="s">
        <v>1320</v>
      </c>
      <c r="F296" s="13">
        <v>0</v>
      </c>
      <c r="I296" s="4"/>
      <c r="J296" s="4"/>
      <c r="K296" s="4"/>
      <c r="L296" s="4"/>
      <c r="M296" s="4"/>
      <c r="N296" s="4"/>
      <c r="O296" s="4"/>
      <c r="P296" s="4"/>
    </row>
    <row r="297" spans="1:16">
      <c r="A297" s="4" t="s">
        <v>347</v>
      </c>
      <c r="B297" s="4" t="s">
        <v>1152</v>
      </c>
      <c r="C297" s="9" t="s">
        <v>1321</v>
      </c>
      <c r="F297" s="13">
        <v>0</v>
      </c>
      <c r="I297" s="4"/>
      <c r="J297" s="4"/>
      <c r="K297" s="4"/>
      <c r="L297" s="4"/>
      <c r="M297" s="4"/>
      <c r="N297" s="4"/>
      <c r="O297" s="4"/>
      <c r="P297" s="4"/>
    </row>
    <row r="298" spans="1:16">
      <c r="A298" s="4" t="s">
        <v>347</v>
      </c>
      <c r="B298" s="4" t="s">
        <v>362</v>
      </c>
      <c r="C298" s="9" t="s">
        <v>363</v>
      </c>
      <c r="D298" s="13">
        <v>1</v>
      </c>
      <c r="E298" s="13" t="s">
        <v>397</v>
      </c>
      <c r="F298" s="13">
        <v>1</v>
      </c>
      <c r="G298" s="21">
        <v>0</v>
      </c>
      <c r="H298" s="13">
        <v>1</v>
      </c>
      <c r="I298" s="4">
        <v>16</v>
      </c>
      <c r="J298" s="4">
        <v>46</v>
      </c>
      <c r="K298" s="4" t="s">
        <v>124</v>
      </c>
      <c r="L298" s="4" t="s">
        <v>13</v>
      </c>
      <c r="M298" s="4">
        <v>2025</v>
      </c>
      <c r="N298" s="4">
        <v>1</v>
      </c>
      <c r="O298" s="4">
        <v>1</v>
      </c>
      <c r="P298" s="4"/>
    </row>
    <row r="299" spans="1:16">
      <c r="A299" s="4" t="s">
        <v>347</v>
      </c>
      <c r="B299" s="4" t="s">
        <v>1153</v>
      </c>
      <c r="C299" s="9" t="s">
        <v>1322</v>
      </c>
      <c r="F299" s="13">
        <v>0</v>
      </c>
      <c r="I299" s="4"/>
      <c r="J299" s="4"/>
      <c r="K299" s="4"/>
      <c r="L299" s="4"/>
      <c r="M299" s="4"/>
      <c r="N299" s="4"/>
      <c r="O299" s="4"/>
      <c r="P299" s="4"/>
    </row>
    <row r="300" spans="1:16">
      <c r="A300" s="4" t="s">
        <v>347</v>
      </c>
      <c r="B300" s="4" t="s">
        <v>364</v>
      </c>
      <c r="C300" s="9" t="s">
        <v>365</v>
      </c>
      <c r="D300" s="13">
        <v>1</v>
      </c>
      <c r="E300" s="13" t="s">
        <v>397</v>
      </c>
      <c r="F300" s="13">
        <v>1</v>
      </c>
      <c r="G300" s="21">
        <v>0</v>
      </c>
      <c r="H300" s="13">
        <v>1</v>
      </c>
      <c r="I300" s="4">
        <v>18</v>
      </c>
      <c r="J300" s="4">
        <v>46</v>
      </c>
      <c r="K300" s="4" t="s">
        <v>124</v>
      </c>
      <c r="L300" s="4" t="s">
        <v>13</v>
      </c>
      <c r="M300" s="4">
        <v>2025</v>
      </c>
      <c r="N300" s="4">
        <v>1</v>
      </c>
      <c r="O300" s="4">
        <v>1</v>
      </c>
      <c r="P300" s="4"/>
    </row>
    <row r="301" spans="1:16">
      <c r="A301" s="4" t="s">
        <v>347</v>
      </c>
      <c r="B301" s="4" t="s">
        <v>1154</v>
      </c>
      <c r="C301" s="9" t="s">
        <v>1323</v>
      </c>
      <c r="F301" s="13">
        <v>0</v>
      </c>
      <c r="I301" s="4"/>
      <c r="J301" s="4"/>
      <c r="K301" s="4"/>
      <c r="L301" s="4"/>
      <c r="M301" s="4"/>
      <c r="N301" s="4"/>
      <c r="O301" s="4"/>
      <c r="P301" s="4"/>
    </row>
    <row r="302" spans="1:16">
      <c r="A302" s="4" t="s">
        <v>347</v>
      </c>
      <c r="B302" s="4" t="s">
        <v>1155</v>
      </c>
      <c r="C302" s="9" t="s">
        <v>1324</v>
      </c>
      <c r="F302" s="13">
        <v>0</v>
      </c>
      <c r="I302" s="4"/>
      <c r="J302" s="4"/>
      <c r="K302" s="4"/>
      <c r="L302" s="4"/>
      <c r="M302" s="4"/>
      <c r="N302" s="4"/>
      <c r="O302" s="4"/>
      <c r="P302" s="4"/>
    </row>
    <row r="303" spans="1:16">
      <c r="A303" s="4" t="s">
        <v>347</v>
      </c>
      <c r="B303" s="4" t="s">
        <v>1156</v>
      </c>
      <c r="C303" s="9" t="s">
        <v>1325</v>
      </c>
      <c r="F303" s="13">
        <v>0</v>
      </c>
      <c r="I303" s="4"/>
      <c r="J303" s="4"/>
      <c r="K303" s="4"/>
      <c r="L303" s="4"/>
      <c r="M303" s="4"/>
      <c r="N303" s="4"/>
      <c r="O303" s="4"/>
      <c r="P303" s="4"/>
    </row>
    <row r="304" spans="1:16">
      <c r="A304" s="4" t="s">
        <v>347</v>
      </c>
      <c r="B304" s="4" t="s">
        <v>1157</v>
      </c>
      <c r="C304" s="9" t="s">
        <v>1326</v>
      </c>
      <c r="F304" s="13">
        <v>0</v>
      </c>
      <c r="I304" s="4"/>
      <c r="J304" s="4"/>
      <c r="K304" s="4"/>
      <c r="L304" s="4"/>
      <c r="M304" s="4"/>
      <c r="N304" s="4"/>
      <c r="O304" s="4"/>
      <c r="P304" s="4"/>
    </row>
    <row r="305" spans="1:16">
      <c r="A305" s="4" t="s">
        <v>347</v>
      </c>
      <c r="B305" s="4" t="s">
        <v>366</v>
      </c>
      <c r="C305" s="9" t="s">
        <v>367</v>
      </c>
      <c r="D305" s="13">
        <v>1</v>
      </c>
      <c r="E305" s="13" t="s">
        <v>399</v>
      </c>
      <c r="F305" s="13">
        <v>1</v>
      </c>
      <c r="G305" s="21">
        <v>0</v>
      </c>
      <c r="H305" s="13">
        <v>2</v>
      </c>
      <c r="I305" s="4">
        <v>23</v>
      </c>
      <c r="J305" s="4">
        <v>46</v>
      </c>
      <c r="K305" s="4" t="s">
        <v>124</v>
      </c>
      <c r="L305" s="4" t="s">
        <v>13</v>
      </c>
      <c r="M305" s="4">
        <v>2025</v>
      </c>
      <c r="N305" s="4">
        <v>1</v>
      </c>
      <c r="O305" s="4">
        <v>1</v>
      </c>
      <c r="P305" s="4"/>
    </row>
    <row r="306" spans="1:16">
      <c r="A306" s="4" t="s">
        <v>347</v>
      </c>
      <c r="B306" s="4" t="s">
        <v>1158</v>
      </c>
      <c r="C306" s="9" t="s">
        <v>1327</v>
      </c>
      <c r="F306" s="13">
        <v>0</v>
      </c>
      <c r="I306" s="4"/>
      <c r="J306" s="4"/>
      <c r="K306" s="4"/>
      <c r="L306" s="4"/>
      <c r="M306" s="4"/>
      <c r="N306" s="4"/>
      <c r="O306" s="4"/>
      <c r="P306" s="4"/>
    </row>
    <row r="307" spans="1:16">
      <c r="A307" s="4" t="s">
        <v>347</v>
      </c>
      <c r="B307" s="4" t="s">
        <v>1159</v>
      </c>
      <c r="C307" s="9" t="s">
        <v>1328</v>
      </c>
      <c r="F307" s="13">
        <v>0</v>
      </c>
      <c r="I307" s="4"/>
      <c r="J307" s="4"/>
      <c r="K307" s="4"/>
      <c r="L307" s="4"/>
      <c r="M307" s="4"/>
      <c r="N307" s="4"/>
      <c r="O307" s="4"/>
      <c r="P307" s="4"/>
    </row>
    <row r="308" spans="1:16">
      <c r="A308" s="4" t="s">
        <v>347</v>
      </c>
      <c r="B308" s="4" t="s">
        <v>368</v>
      </c>
      <c r="C308" s="9" t="s">
        <v>369</v>
      </c>
      <c r="D308" s="13">
        <v>1</v>
      </c>
      <c r="E308" s="13" t="s">
        <v>399</v>
      </c>
      <c r="F308" s="13">
        <v>1</v>
      </c>
      <c r="G308" s="21">
        <v>1</v>
      </c>
      <c r="H308" s="13">
        <v>1</v>
      </c>
      <c r="I308" s="4">
        <v>26</v>
      </c>
      <c r="J308" s="4">
        <v>46</v>
      </c>
      <c r="K308" s="4" t="s">
        <v>124</v>
      </c>
      <c r="L308" s="4" t="s">
        <v>13</v>
      </c>
      <c r="M308" s="4">
        <v>2025</v>
      </c>
      <c r="N308" s="4">
        <v>1</v>
      </c>
      <c r="O308" s="4">
        <v>1</v>
      </c>
      <c r="P308" s="4"/>
    </row>
    <row r="309" spans="1:16">
      <c r="A309" s="4" t="s">
        <v>347</v>
      </c>
      <c r="B309" s="4" t="s">
        <v>1160</v>
      </c>
      <c r="C309" s="9" t="s">
        <v>1329</v>
      </c>
      <c r="F309" s="13">
        <v>0</v>
      </c>
      <c r="I309" s="4"/>
      <c r="J309" s="4"/>
      <c r="K309" s="4"/>
      <c r="L309" s="4"/>
      <c r="M309" s="4"/>
      <c r="N309" s="4"/>
      <c r="O309" s="4"/>
      <c r="P309" s="4"/>
    </row>
    <row r="310" spans="1:16">
      <c r="A310" s="4" t="s">
        <v>347</v>
      </c>
      <c r="B310" s="4" t="s">
        <v>370</v>
      </c>
      <c r="C310" s="9" t="s">
        <v>371</v>
      </c>
      <c r="D310" s="13">
        <v>1</v>
      </c>
      <c r="E310" s="13" t="s">
        <v>399</v>
      </c>
      <c r="F310" s="13">
        <v>1</v>
      </c>
      <c r="G310" s="21">
        <v>0</v>
      </c>
      <c r="H310" s="13">
        <v>2</v>
      </c>
      <c r="I310" s="4">
        <v>28</v>
      </c>
      <c r="J310" s="4">
        <v>46</v>
      </c>
      <c r="K310" s="4" t="s">
        <v>124</v>
      </c>
      <c r="L310" s="4" t="s">
        <v>13</v>
      </c>
      <c r="M310" s="4">
        <v>2025</v>
      </c>
      <c r="N310" s="4">
        <v>1</v>
      </c>
      <c r="O310" s="4">
        <v>1</v>
      </c>
      <c r="P310" s="4"/>
    </row>
    <row r="311" spans="1:16">
      <c r="A311" s="4" t="s">
        <v>347</v>
      </c>
      <c r="B311" s="4" t="s">
        <v>1161</v>
      </c>
      <c r="C311" s="9" t="s">
        <v>1330</v>
      </c>
      <c r="F311" s="13">
        <v>0</v>
      </c>
      <c r="I311" s="4"/>
      <c r="J311" s="4"/>
      <c r="K311" s="4"/>
      <c r="L311" s="4"/>
      <c r="M311" s="4"/>
      <c r="N311" s="4"/>
      <c r="O311" s="4"/>
      <c r="P311" s="4"/>
    </row>
    <row r="312" spans="1:16">
      <c r="A312" s="4" t="s">
        <v>347</v>
      </c>
      <c r="B312" s="4" t="s">
        <v>372</v>
      </c>
      <c r="C312" s="9" t="s">
        <v>373</v>
      </c>
      <c r="D312" s="13">
        <v>1</v>
      </c>
      <c r="E312" s="13" t="s">
        <v>399</v>
      </c>
      <c r="F312" s="13">
        <v>1</v>
      </c>
      <c r="G312" s="21">
        <v>0</v>
      </c>
      <c r="H312" s="13">
        <v>1</v>
      </c>
      <c r="I312" s="4">
        <v>30</v>
      </c>
      <c r="J312" s="4">
        <v>46</v>
      </c>
      <c r="K312" s="4" t="s">
        <v>124</v>
      </c>
      <c r="L312" s="4" t="s">
        <v>13</v>
      </c>
      <c r="M312" s="4">
        <v>2025</v>
      </c>
      <c r="N312" s="4">
        <v>1</v>
      </c>
      <c r="O312" s="4">
        <v>1</v>
      </c>
      <c r="P312" s="4"/>
    </row>
    <row r="313" spans="1:16">
      <c r="A313" s="4" t="s">
        <v>347</v>
      </c>
      <c r="B313" s="4" t="s">
        <v>1162</v>
      </c>
      <c r="C313" s="9" t="s">
        <v>1331</v>
      </c>
      <c r="F313" s="13">
        <v>0</v>
      </c>
      <c r="I313" s="4"/>
      <c r="J313" s="4"/>
      <c r="K313" s="4"/>
      <c r="L313" s="4"/>
      <c r="M313" s="4"/>
      <c r="N313" s="4"/>
      <c r="O313" s="4"/>
      <c r="P313" s="4"/>
    </row>
    <row r="314" spans="1:16">
      <c r="A314" s="4" t="s">
        <v>347</v>
      </c>
      <c r="B314" s="4" t="s">
        <v>1163</v>
      </c>
      <c r="C314" s="9" t="s">
        <v>1332</v>
      </c>
      <c r="F314" s="13">
        <v>0</v>
      </c>
      <c r="I314" s="4"/>
      <c r="J314" s="4"/>
      <c r="K314" s="4"/>
      <c r="L314" s="4"/>
      <c r="M314" s="4"/>
      <c r="N314" s="4"/>
      <c r="O314" s="4"/>
      <c r="P314" s="4"/>
    </row>
    <row r="315" spans="1:16">
      <c r="A315" s="4" t="s">
        <v>347</v>
      </c>
      <c r="B315" s="4" t="s">
        <v>1164</v>
      </c>
      <c r="C315" s="9" t="s">
        <v>1333</v>
      </c>
      <c r="F315" s="13">
        <v>0</v>
      </c>
      <c r="I315" s="4"/>
      <c r="J315" s="4"/>
      <c r="K315" s="4"/>
      <c r="L315" s="4"/>
      <c r="M315" s="4"/>
      <c r="N315" s="4"/>
      <c r="O315" s="4"/>
      <c r="P315" s="4"/>
    </row>
    <row r="316" spans="1:16">
      <c r="A316" s="4" t="s">
        <v>347</v>
      </c>
      <c r="B316" s="4" t="s">
        <v>1165</v>
      </c>
      <c r="C316" s="9" t="s">
        <v>1334</v>
      </c>
      <c r="F316" s="13">
        <v>0</v>
      </c>
      <c r="I316" s="4"/>
      <c r="J316" s="4"/>
      <c r="K316" s="4"/>
      <c r="L316" s="4"/>
      <c r="M316" s="4"/>
      <c r="N316" s="4"/>
      <c r="O316" s="4"/>
      <c r="P316" s="4"/>
    </row>
    <row r="317" spans="1:16">
      <c r="A317" s="4" t="s">
        <v>347</v>
      </c>
      <c r="B317" s="4" t="s">
        <v>374</v>
      </c>
      <c r="C317" s="9" t="s">
        <v>375</v>
      </c>
      <c r="D317" s="13">
        <v>1</v>
      </c>
      <c r="E317" s="13" t="s">
        <v>397</v>
      </c>
      <c r="F317" s="13">
        <v>1</v>
      </c>
      <c r="G317" s="21">
        <v>0</v>
      </c>
      <c r="H317" s="13">
        <v>1</v>
      </c>
      <c r="I317" s="4">
        <v>35</v>
      </c>
      <c r="J317" s="4">
        <v>46</v>
      </c>
      <c r="K317" s="4" t="s">
        <v>124</v>
      </c>
      <c r="L317" s="4" t="s">
        <v>13</v>
      </c>
      <c r="M317" s="4">
        <v>2025</v>
      </c>
      <c r="N317" s="4">
        <v>1</v>
      </c>
      <c r="O317" s="4">
        <v>1</v>
      </c>
      <c r="P317" s="4"/>
    </row>
    <row r="318" spans="1:16">
      <c r="A318" s="4" t="s">
        <v>347</v>
      </c>
      <c r="B318" s="4" t="s">
        <v>376</v>
      </c>
      <c r="C318" s="9" t="s">
        <v>377</v>
      </c>
      <c r="D318" s="13">
        <v>1</v>
      </c>
      <c r="E318" s="13" t="s">
        <v>399</v>
      </c>
      <c r="F318" s="13">
        <v>1</v>
      </c>
      <c r="G318" s="21">
        <v>0</v>
      </c>
      <c r="H318" s="13">
        <v>1</v>
      </c>
      <c r="I318" s="4">
        <v>36</v>
      </c>
      <c r="J318" s="4">
        <v>46</v>
      </c>
      <c r="K318" s="4" t="s">
        <v>124</v>
      </c>
      <c r="L318" s="4" t="s">
        <v>13</v>
      </c>
      <c r="M318" s="4">
        <v>2025</v>
      </c>
      <c r="N318" s="4">
        <v>1</v>
      </c>
      <c r="O318" s="4">
        <v>1</v>
      </c>
      <c r="P318" s="4"/>
    </row>
    <row r="319" spans="1:16">
      <c r="A319" s="4" t="s">
        <v>347</v>
      </c>
      <c r="B319" s="4" t="s">
        <v>378</v>
      </c>
      <c r="C319" s="9" t="s">
        <v>379</v>
      </c>
      <c r="D319" s="13">
        <v>1</v>
      </c>
      <c r="E319" s="13" t="s">
        <v>399</v>
      </c>
      <c r="F319" s="13">
        <v>1</v>
      </c>
      <c r="G319" s="21">
        <v>0</v>
      </c>
      <c r="H319" s="13">
        <v>1</v>
      </c>
      <c r="I319" s="4">
        <v>37</v>
      </c>
      <c r="J319" s="4">
        <v>46</v>
      </c>
      <c r="K319" s="4" t="s">
        <v>124</v>
      </c>
      <c r="L319" s="4" t="s">
        <v>13</v>
      </c>
      <c r="M319" s="4">
        <v>2025</v>
      </c>
      <c r="N319" s="4">
        <v>1</v>
      </c>
      <c r="O319" s="4">
        <v>1</v>
      </c>
      <c r="P319" s="4"/>
    </row>
    <row r="320" spans="1:16">
      <c r="A320" s="4" t="s">
        <v>347</v>
      </c>
      <c r="B320" s="4" t="s">
        <v>380</v>
      </c>
      <c r="C320" s="9" t="s">
        <v>381</v>
      </c>
      <c r="D320" s="13">
        <v>1</v>
      </c>
      <c r="E320" s="13" t="s">
        <v>397</v>
      </c>
      <c r="F320" s="13">
        <v>1</v>
      </c>
      <c r="G320" s="21">
        <v>0</v>
      </c>
      <c r="H320" s="13">
        <v>1</v>
      </c>
      <c r="I320" s="4">
        <v>38</v>
      </c>
      <c r="J320" s="4">
        <v>46</v>
      </c>
      <c r="K320" s="4" t="s">
        <v>124</v>
      </c>
      <c r="L320" s="4" t="s">
        <v>13</v>
      </c>
      <c r="M320" s="4">
        <v>2025</v>
      </c>
      <c r="N320" s="4">
        <v>1</v>
      </c>
      <c r="O320" s="4">
        <v>1</v>
      </c>
      <c r="P320" s="4"/>
    </row>
    <row r="321" spans="1:16">
      <c r="A321" s="4" t="s">
        <v>347</v>
      </c>
      <c r="B321" s="4" t="s">
        <v>1166</v>
      </c>
      <c r="C321" s="9" t="s">
        <v>1335</v>
      </c>
      <c r="F321" s="13">
        <v>0</v>
      </c>
      <c r="I321" s="4"/>
      <c r="J321" s="4"/>
      <c r="K321" s="4"/>
      <c r="L321" s="4"/>
      <c r="M321" s="4"/>
      <c r="N321" s="4"/>
      <c r="O321" s="4"/>
      <c r="P321" s="4"/>
    </row>
    <row r="322" spans="1:16">
      <c r="A322" s="4" t="s">
        <v>347</v>
      </c>
      <c r="B322" s="4" t="s">
        <v>1167</v>
      </c>
      <c r="C322" s="9" t="s">
        <v>1336</v>
      </c>
      <c r="F322" s="13">
        <v>0</v>
      </c>
      <c r="I322" s="4"/>
      <c r="J322" s="4"/>
      <c r="K322" s="4"/>
      <c r="L322" s="4"/>
      <c r="M322" s="4"/>
      <c r="N322" s="4"/>
      <c r="O322" s="4"/>
      <c r="P322" s="4"/>
    </row>
    <row r="323" spans="1:16">
      <c r="A323" s="4" t="s">
        <v>347</v>
      </c>
      <c r="B323" s="4" t="s">
        <v>1168</v>
      </c>
      <c r="C323" s="9" t="s">
        <v>1337</v>
      </c>
      <c r="F323" s="13">
        <v>0</v>
      </c>
      <c r="I323" s="4"/>
      <c r="J323" s="4"/>
      <c r="K323" s="4"/>
      <c r="L323" s="4"/>
      <c r="M323" s="4"/>
      <c r="N323" s="4"/>
      <c r="O323" s="4"/>
      <c r="P323" s="4"/>
    </row>
    <row r="324" spans="1:16">
      <c r="A324" s="4" t="s">
        <v>347</v>
      </c>
      <c r="B324" s="4" t="s">
        <v>1169</v>
      </c>
      <c r="C324" s="9" t="s">
        <v>1338</v>
      </c>
      <c r="F324" s="13">
        <v>0</v>
      </c>
      <c r="I324" s="4"/>
      <c r="J324" s="4"/>
      <c r="K324" s="4"/>
      <c r="L324" s="4"/>
      <c r="M324" s="4"/>
      <c r="N324" s="4"/>
      <c r="O324" s="4"/>
      <c r="P324" s="4"/>
    </row>
    <row r="325" spans="1:16" ht="30" customHeight="1">
      <c r="A325" s="4" t="s">
        <v>347</v>
      </c>
      <c r="B325" s="4" t="s">
        <v>385</v>
      </c>
      <c r="C325" s="9" t="s">
        <v>382</v>
      </c>
      <c r="D325" s="13">
        <v>1</v>
      </c>
      <c r="E325" s="13" t="s">
        <v>397</v>
      </c>
      <c r="F325" s="13">
        <v>1</v>
      </c>
      <c r="G325" s="21">
        <v>1</v>
      </c>
      <c r="H325" s="13">
        <v>1</v>
      </c>
      <c r="I325" s="4">
        <v>43</v>
      </c>
      <c r="J325" s="4">
        <v>46</v>
      </c>
      <c r="K325" s="4" t="s">
        <v>124</v>
      </c>
      <c r="L325" s="4" t="s">
        <v>13</v>
      </c>
      <c r="M325" s="4">
        <v>2025</v>
      </c>
      <c r="N325" s="4">
        <v>1</v>
      </c>
      <c r="O325" s="4">
        <v>1</v>
      </c>
      <c r="P325" s="4"/>
    </row>
    <row r="326" spans="1:16">
      <c r="A326" s="4" t="s">
        <v>347</v>
      </c>
      <c r="B326" s="4" t="s">
        <v>388</v>
      </c>
      <c r="C326" s="9" t="s">
        <v>383</v>
      </c>
      <c r="D326" s="13">
        <v>0</v>
      </c>
      <c r="F326" s="13">
        <v>1</v>
      </c>
      <c r="G326" s="21">
        <v>0</v>
      </c>
      <c r="H326" s="13">
        <v>1</v>
      </c>
      <c r="I326" s="4">
        <v>44</v>
      </c>
      <c r="J326" s="4">
        <v>46</v>
      </c>
      <c r="K326" s="4" t="s">
        <v>124</v>
      </c>
      <c r="L326" s="4" t="s">
        <v>13</v>
      </c>
      <c r="M326" s="4">
        <v>2025</v>
      </c>
      <c r="N326" s="4">
        <v>1</v>
      </c>
      <c r="O326" s="4">
        <v>1</v>
      </c>
      <c r="P326" s="4"/>
    </row>
    <row r="327" spans="1:16">
      <c r="A327" s="4" t="s">
        <v>347</v>
      </c>
      <c r="B327" s="4" t="s">
        <v>389</v>
      </c>
      <c r="C327" s="9" t="s">
        <v>384</v>
      </c>
      <c r="D327" s="13">
        <v>0</v>
      </c>
      <c r="F327" s="13">
        <v>1</v>
      </c>
      <c r="G327" s="21">
        <v>0</v>
      </c>
      <c r="H327" s="13">
        <v>1</v>
      </c>
      <c r="I327" s="4">
        <v>45</v>
      </c>
      <c r="J327" s="4">
        <v>46</v>
      </c>
      <c r="K327" s="4" t="s">
        <v>124</v>
      </c>
      <c r="L327" s="4" t="s">
        <v>13</v>
      </c>
      <c r="M327" s="4">
        <v>2025</v>
      </c>
      <c r="N327" s="4">
        <v>1</v>
      </c>
      <c r="O327" s="4">
        <v>1</v>
      </c>
      <c r="P327" s="4"/>
    </row>
    <row r="328" spans="1:16">
      <c r="A328" s="4" t="s">
        <v>347</v>
      </c>
      <c r="B328" s="4" t="s">
        <v>390</v>
      </c>
      <c r="C328" s="9" t="s">
        <v>386</v>
      </c>
      <c r="D328" s="13">
        <v>0</v>
      </c>
      <c r="F328" s="13">
        <v>1</v>
      </c>
      <c r="G328" s="21">
        <v>0</v>
      </c>
      <c r="H328" s="13">
        <v>1</v>
      </c>
      <c r="I328" s="4">
        <v>46</v>
      </c>
      <c r="J328" s="4">
        <v>46</v>
      </c>
      <c r="K328" s="4" t="s">
        <v>124</v>
      </c>
      <c r="L328" s="4" t="s">
        <v>13</v>
      </c>
      <c r="M328" s="4">
        <v>2025</v>
      </c>
      <c r="N328" s="4">
        <v>1</v>
      </c>
      <c r="O328" s="4">
        <v>1</v>
      </c>
      <c r="P328" s="4"/>
    </row>
    <row r="329" spans="1:16">
      <c r="A329" s="4" t="s">
        <v>414</v>
      </c>
      <c r="B329" s="4" t="s">
        <v>1170</v>
      </c>
      <c r="C329" s="9" t="s">
        <v>1342</v>
      </c>
      <c r="F329" s="13">
        <v>0</v>
      </c>
      <c r="I329" s="4"/>
      <c r="J329" s="4"/>
      <c r="K329" s="4"/>
      <c r="L329" s="4"/>
      <c r="M329" s="4"/>
      <c r="N329" s="4"/>
      <c r="O329" s="4"/>
      <c r="P329" s="4"/>
    </row>
    <row r="330" spans="1:16">
      <c r="A330" s="4" t="s">
        <v>414</v>
      </c>
      <c r="B330" s="4" t="s">
        <v>1171</v>
      </c>
      <c r="C330" s="9" t="s">
        <v>1343</v>
      </c>
      <c r="F330" s="13">
        <v>0</v>
      </c>
      <c r="I330" s="4"/>
      <c r="J330" s="4"/>
      <c r="K330" s="4"/>
      <c r="L330" s="4"/>
      <c r="M330" s="4"/>
      <c r="N330" s="4"/>
      <c r="O330" s="4"/>
      <c r="P330" s="4"/>
    </row>
    <row r="331" spans="1:16">
      <c r="A331" s="4" t="s">
        <v>414</v>
      </c>
      <c r="B331" s="4" t="s">
        <v>1172</v>
      </c>
      <c r="C331" s="22" t="s">
        <v>1344</v>
      </c>
      <c r="F331" s="13">
        <v>0</v>
      </c>
      <c r="I331" s="4"/>
      <c r="J331" s="4"/>
      <c r="K331" s="4"/>
      <c r="L331" s="4"/>
      <c r="M331" s="4"/>
      <c r="N331" s="4"/>
      <c r="O331" s="4"/>
      <c r="P331" s="4"/>
    </row>
    <row r="332" spans="1:16">
      <c r="A332" s="4" t="s">
        <v>414</v>
      </c>
      <c r="B332" s="4" t="s">
        <v>1173</v>
      </c>
      <c r="C332" s="9" t="s">
        <v>1345</v>
      </c>
      <c r="F332" s="13">
        <v>0</v>
      </c>
      <c r="I332" s="4"/>
      <c r="J332" s="4"/>
      <c r="K332" s="4"/>
      <c r="L332" s="4"/>
      <c r="M332" s="4"/>
      <c r="N332" s="4"/>
      <c r="O332" s="4"/>
      <c r="P332" s="4"/>
    </row>
    <row r="333" spans="1:16">
      <c r="A333" s="4" t="s">
        <v>414</v>
      </c>
      <c r="B333" s="4" t="s">
        <v>416</v>
      </c>
      <c r="C333" s="9" t="s">
        <v>417</v>
      </c>
      <c r="D333" s="13">
        <v>0</v>
      </c>
      <c r="F333" s="13">
        <v>1</v>
      </c>
      <c r="G333" s="21">
        <v>0</v>
      </c>
      <c r="H333" s="13">
        <v>1</v>
      </c>
      <c r="I333" s="4">
        <v>5</v>
      </c>
      <c r="J333" s="4">
        <v>11</v>
      </c>
      <c r="K333" s="4" t="s">
        <v>415</v>
      </c>
      <c r="L333" s="4" t="s">
        <v>13</v>
      </c>
      <c r="M333" s="4">
        <v>2019</v>
      </c>
      <c r="N333" s="4">
        <v>1</v>
      </c>
      <c r="O333" s="4">
        <v>1</v>
      </c>
    </row>
    <row r="334" spans="1:16">
      <c r="A334" s="4" t="s">
        <v>414</v>
      </c>
      <c r="B334" s="4" t="s">
        <v>418</v>
      </c>
      <c r="C334" s="9" t="s">
        <v>419</v>
      </c>
      <c r="D334" s="13">
        <v>0</v>
      </c>
      <c r="F334" s="13">
        <v>1</v>
      </c>
      <c r="G334" s="21">
        <v>0</v>
      </c>
      <c r="I334" s="4">
        <v>6</v>
      </c>
      <c r="J334" s="4">
        <v>11</v>
      </c>
      <c r="K334" s="4" t="s">
        <v>415</v>
      </c>
      <c r="L334" s="4" t="s">
        <v>13</v>
      </c>
      <c r="M334" s="4">
        <v>2019</v>
      </c>
      <c r="N334" s="4">
        <v>1</v>
      </c>
      <c r="O334" s="4">
        <v>1</v>
      </c>
    </row>
    <row r="335" spans="1:16">
      <c r="A335" s="4" t="s">
        <v>414</v>
      </c>
      <c r="B335" s="4" t="s">
        <v>1174</v>
      </c>
      <c r="C335" s="9" t="s">
        <v>1346</v>
      </c>
      <c r="F335" s="13">
        <v>0</v>
      </c>
      <c r="I335" s="4"/>
      <c r="J335" s="4"/>
      <c r="K335" s="4"/>
      <c r="L335" s="4"/>
      <c r="M335" s="4"/>
      <c r="N335" s="4"/>
      <c r="O335" s="4"/>
    </row>
    <row r="336" spans="1:16" ht="17" customHeight="1">
      <c r="A336" s="4" t="s">
        <v>414</v>
      </c>
      <c r="B336" s="4" t="s">
        <v>472</v>
      </c>
      <c r="C336" s="9" t="s">
        <v>475</v>
      </c>
      <c r="F336" s="13">
        <v>1</v>
      </c>
      <c r="G336" s="21">
        <v>1</v>
      </c>
      <c r="I336" s="4">
        <v>8</v>
      </c>
      <c r="J336" s="4">
        <v>11</v>
      </c>
      <c r="K336" s="4" t="s">
        <v>415</v>
      </c>
      <c r="L336" s="4" t="s">
        <v>13</v>
      </c>
      <c r="M336" s="4">
        <v>2019</v>
      </c>
      <c r="N336" s="4">
        <v>1</v>
      </c>
      <c r="O336" s="4">
        <v>1</v>
      </c>
    </row>
    <row r="337" spans="1:15" ht="17" customHeight="1">
      <c r="A337" s="4" t="s">
        <v>414</v>
      </c>
      <c r="B337" s="4" t="s">
        <v>473</v>
      </c>
      <c r="C337" s="9" t="s">
        <v>474</v>
      </c>
      <c r="F337" s="13">
        <v>1</v>
      </c>
      <c r="G337" s="21">
        <v>1</v>
      </c>
      <c r="I337" s="4">
        <v>9</v>
      </c>
      <c r="J337" s="4">
        <v>11</v>
      </c>
      <c r="K337" s="4" t="s">
        <v>415</v>
      </c>
      <c r="L337" s="4" t="s">
        <v>13</v>
      </c>
      <c r="M337" s="4">
        <v>2019</v>
      </c>
      <c r="N337" s="4">
        <v>1</v>
      </c>
      <c r="O337" s="4">
        <v>1</v>
      </c>
    </row>
    <row r="338" spans="1:15">
      <c r="A338" s="4" t="s">
        <v>414</v>
      </c>
      <c r="B338" s="4" t="s">
        <v>476</v>
      </c>
      <c r="C338" s="9" t="s">
        <v>477</v>
      </c>
      <c r="F338" s="13">
        <v>1</v>
      </c>
      <c r="G338" s="21">
        <v>0</v>
      </c>
      <c r="I338" s="4">
        <v>10</v>
      </c>
      <c r="J338" s="4">
        <v>11</v>
      </c>
      <c r="K338" s="4" t="s">
        <v>415</v>
      </c>
      <c r="L338" s="4" t="s">
        <v>13</v>
      </c>
      <c r="M338" s="4">
        <v>2019</v>
      </c>
      <c r="N338" s="4">
        <v>1</v>
      </c>
      <c r="O338" s="4">
        <v>1</v>
      </c>
    </row>
    <row r="339" spans="1:15">
      <c r="A339" s="4" t="s">
        <v>414</v>
      </c>
      <c r="B339" s="4" t="s">
        <v>1339</v>
      </c>
      <c r="C339" s="9" t="s">
        <v>1347</v>
      </c>
      <c r="F339" s="13">
        <v>0</v>
      </c>
      <c r="I339" s="4"/>
      <c r="J339" s="4"/>
      <c r="K339" s="4"/>
      <c r="L339" s="4"/>
      <c r="M339" s="4"/>
      <c r="N339" s="4"/>
      <c r="O339" s="4"/>
    </row>
    <row r="340" spans="1:15">
      <c r="A340" s="4" t="s">
        <v>420</v>
      </c>
      <c r="B340" s="4" t="s">
        <v>421</v>
      </c>
      <c r="C340" s="9" t="s">
        <v>422</v>
      </c>
      <c r="D340" s="13">
        <v>0</v>
      </c>
      <c r="F340" s="13">
        <v>1</v>
      </c>
      <c r="G340" s="21">
        <v>1</v>
      </c>
      <c r="I340" s="4">
        <v>1</v>
      </c>
      <c r="J340" s="4">
        <v>15</v>
      </c>
      <c r="K340" s="4" t="s">
        <v>415</v>
      </c>
      <c r="L340" s="4" t="s">
        <v>13</v>
      </c>
      <c r="M340" s="4">
        <v>2025</v>
      </c>
      <c r="N340" s="4">
        <v>1</v>
      </c>
      <c r="O340" s="4">
        <v>1</v>
      </c>
    </row>
    <row r="341" spans="1:15">
      <c r="A341" s="4" t="s">
        <v>420</v>
      </c>
      <c r="B341" s="4" t="s">
        <v>423</v>
      </c>
      <c r="C341" s="9" t="s">
        <v>424</v>
      </c>
      <c r="D341" s="13">
        <v>0</v>
      </c>
      <c r="F341" s="13">
        <v>1</v>
      </c>
      <c r="G341" s="21">
        <v>0</v>
      </c>
      <c r="I341" s="4">
        <v>2</v>
      </c>
      <c r="J341" s="4">
        <v>15</v>
      </c>
      <c r="K341" s="4" t="s">
        <v>415</v>
      </c>
      <c r="L341" s="4" t="s">
        <v>13</v>
      </c>
      <c r="M341" s="4">
        <v>2025</v>
      </c>
      <c r="N341" s="4">
        <v>1</v>
      </c>
      <c r="O341" s="4">
        <v>1</v>
      </c>
    </row>
    <row r="342" spans="1:15">
      <c r="A342" s="4" t="s">
        <v>420</v>
      </c>
      <c r="B342" s="4" t="s">
        <v>1175</v>
      </c>
      <c r="C342" s="9" t="s">
        <v>1348</v>
      </c>
      <c r="F342" s="13">
        <v>0</v>
      </c>
      <c r="I342" s="4"/>
      <c r="J342" s="4"/>
      <c r="K342" s="4"/>
      <c r="L342" s="4"/>
      <c r="M342" s="4"/>
      <c r="N342" s="4"/>
      <c r="O342" s="4"/>
    </row>
    <row r="343" spans="1:15">
      <c r="A343" s="4" t="s">
        <v>420</v>
      </c>
      <c r="B343" s="4" t="s">
        <v>425</v>
      </c>
      <c r="C343" s="9" t="s">
        <v>426</v>
      </c>
      <c r="D343" s="13">
        <v>1</v>
      </c>
      <c r="E343" s="13" t="s">
        <v>399</v>
      </c>
      <c r="F343" s="13">
        <v>1</v>
      </c>
      <c r="G343" s="21">
        <v>1</v>
      </c>
      <c r="I343" s="4">
        <v>4</v>
      </c>
      <c r="J343" s="4">
        <v>15</v>
      </c>
      <c r="K343" s="4" t="s">
        <v>415</v>
      </c>
      <c r="L343" s="4" t="s">
        <v>13</v>
      </c>
      <c r="M343" s="4">
        <v>2025</v>
      </c>
      <c r="N343" s="4">
        <v>1</v>
      </c>
      <c r="O343" s="4">
        <v>1</v>
      </c>
    </row>
    <row r="344" spans="1:15">
      <c r="A344" s="4" t="s">
        <v>420</v>
      </c>
      <c r="B344" s="4" t="s">
        <v>427</v>
      </c>
      <c r="C344" s="9" t="s">
        <v>428</v>
      </c>
      <c r="D344" s="13">
        <v>1</v>
      </c>
      <c r="E344" s="13" t="s">
        <v>395</v>
      </c>
      <c r="F344" s="13">
        <v>1</v>
      </c>
      <c r="G344" s="21">
        <v>1</v>
      </c>
      <c r="I344" s="4">
        <v>5</v>
      </c>
      <c r="J344" s="4">
        <v>15</v>
      </c>
      <c r="K344" s="4" t="s">
        <v>415</v>
      </c>
      <c r="L344" s="4" t="s">
        <v>13</v>
      </c>
      <c r="M344" s="4">
        <v>2025</v>
      </c>
      <c r="N344" s="4">
        <v>1</v>
      </c>
      <c r="O344" s="4">
        <v>1</v>
      </c>
    </row>
    <row r="345" spans="1:15">
      <c r="A345" s="4" t="s">
        <v>420</v>
      </c>
      <c r="B345" s="4" t="s">
        <v>429</v>
      </c>
      <c r="C345" s="9" t="s">
        <v>430</v>
      </c>
      <c r="D345" s="13">
        <v>1</v>
      </c>
      <c r="E345" s="13" t="s">
        <v>399</v>
      </c>
      <c r="F345" s="13">
        <v>1</v>
      </c>
      <c r="G345" s="21">
        <v>1</v>
      </c>
      <c r="I345" s="4">
        <v>6</v>
      </c>
      <c r="J345" s="4">
        <v>15</v>
      </c>
      <c r="K345" s="4" t="s">
        <v>415</v>
      </c>
      <c r="L345" s="4" t="s">
        <v>13</v>
      </c>
      <c r="M345" s="4">
        <v>2025</v>
      </c>
      <c r="N345" s="4">
        <v>1</v>
      </c>
      <c r="O345" s="4">
        <v>1</v>
      </c>
    </row>
    <row r="346" spans="1:15">
      <c r="A346" s="4" t="s">
        <v>420</v>
      </c>
      <c r="B346" s="4" t="s">
        <v>431</v>
      </c>
      <c r="C346" s="9" t="s">
        <v>432</v>
      </c>
      <c r="D346" s="13">
        <v>1</v>
      </c>
      <c r="E346" s="13" t="s">
        <v>395</v>
      </c>
      <c r="F346" s="13">
        <v>1</v>
      </c>
      <c r="G346" s="21">
        <v>1</v>
      </c>
      <c r="I346" s="4">
        <v>7</v>
      </c>
      <c r="J346" s="4">
        <v>15</v>
      </c>
      <c r="K346" s="4" t="s">
        <v>415</v>
      </c>
      <c r="L346" s="4" t="s">
        <v>13</v>
      </c>
      <c r="M346" s="4">
        <v>2025</v>
      </c>
      <c r="N346" s="4">
        <v>1</v>
      </c>
      <c r="O346" s="4">
        <v>1</v>
      </c>
    </row>
    <row r="347" spans="1:15">
      <c r="A347" s="4" t="s">
        <v>420</v>
      </c>
      <c r="B347" s="4" t="s">
        <v>433</v>
      </c>
      <c r="C347" s="9" t="s">
        <v>434</v>
      </c>
      <c r="D347" s="13">
        <v>1</v>
      </c>
      <c r="E347" s="13" t="s">
        <v>395</v>
      </c>
      <c r="F347" s="13">
        <v>1</v>
      </c>
      <c r="G347" s="21">
        <v>1</v>
      </c>
      <c r="I347" s="4">
        <v>8</v>
      </c>
      <c r="J347" s="4">
        <v>15</v>
      </c>
      <c r="K347" s="4" t="s">
        <v>415</v>
      </c>
      <c r="L347" s="4" t="s">
        <v>13</v>
      </c>
      <c r="M347" s="4">
        <v>2025</v>
      </c>
      <c r="N347" s="4">
        <v>1</v>
      </c>
      <c r="O347" s="4">
        <v>1</v>
      </c>
    </row>
    <row r="348" spans="1:15">
      <c r="A348" s="4" t="s">
        <v>420</v>
      </c>
      <c r="B348" s="4" t="s">
        <v>435</v>
      </c>
      <c r="C348" s="9" t="s">
        <v>436</v>
      </c>
      <c r="D348" s="13">
        <v>1</v>
      </c>
      <c r="E348" s="13" t="s">
        <v>395</v>
      </c>
      <c r="F348" s="13">
        <v>1</v>
      </c>
      <c r="G348" s="21">
        <v>1</v>
      </c>
      <c r="I348" s="4">
        <v>9</v>
      </c>
      <c r="J348" s="4">
        <v>15</v>
      </c>
      <c r="K348" s="4" t="s">
        <v>415</v>
      </c>
      <c r="L348" s="4" t="s">
        <v>13</v>
      </c>
      <c r="M348" s="4">
        <v>2025</v>
      </c>
      <c r="N348" s="4">
        <v>1</v>
      </c>
      <c r="O348" s="4">
        <v>1</v>
      </c>
    </row>
    <row r="349" spans="1:15">
      <c r="A349" s="4" t="s">
        <v>420</v>
      </c>
      <c r="B349" s="4" t="s">
        <v>437</v>
      </c>
      <c r="C349" s="9" t="s">
        <v>438</v>
      </c>
      <c r="D349" s="13">
        <v>1</v>
      </c>
      <c r="E349" s="13" t="s">
        <v>399</v>
      </c>
      <c r="F349" s="13">
        <v>1</v>
      </c>
      <c r="G349" s="21">
        <v>1</v>
      </c>
      <c r="I349" s="4">
        <v>10</v>
      </c>
      <c r="J349" s="4">
        <v>15</v>
      </c>
      <c r="K349" s="4" t="s">
        <v>415</v>
      </c>
      <c r="L349" s="4" t="s">
        <v>13</v>
      </c>
      <c r="M349" s="4">
        <v>2025</v>
      </c>
      <c r="N349" s="4">
        <v>1</v>
      </c>
      <c r="O349" s="4">
        <v>1</v>
      </c>
    </row>
    <row r="350" spans="1:15">
      <c r="A350" s="4" t="s">
        <v>420</v>
      </c>
      <c r="B350" s="4" t="s">
        <v>439</v>
      </c>
      <c r="C350" s="9" t="s">
        <v>440</v>
      </c>
      <c r="D350" s="13">
        <v>1</v>
      </c>
      <c r="E350" s="13" t="s">
        <v>395</v>
      </c>
      <c r="F350" s="13">
        <v>1</v>
      </c>
      <c r="G350" s="21">
        <v>1</v>
      </c>
      <c r="I350" s="4">
        <v>11</v>
      </c>
      <c r="J350" s="4">
        <v>15</v>
      </c>
      <c r="K350" s="4" t="s">
        <v>415</v>
      </c>
      <c r="L350" s="4" t="s">
        <v>13</v>
      </c>
      <c r="M350" s="4">
        <v>2025</v>
      </c>
      <c r="N350" s="4">
        <v>1</v>
      </c>
      <c r="O350" s="4">
        <v>1</v>
      </c>
    </row>
    <row r="351" spans="1:15">
      <c r="A351" s="4" t="s">
        <v>420</v>
      </c>
      <c r="B351" s="4" t="s">
        <v>441</v>
      </c>
      <c r="C351" s="9" t="s">
        <v>442</v>
      </c>
      <c r="D351" s="13">
        <v>1</v>
      </c>
      <c r="E351" s="13" t="s">
        <v>443</v>
      </c>
      <c r="F351" s="13">
        <v>1</v>
      </c>
      <c r="G351" s="21">
        <v>1</v>
      </c>
      <c r="I351" s="4">
        <v>12</v>
      </c>
      <c r="J351" s="4">
        <v>15</v>
      </c>
      <c r="K351" s="4" t="s">
        <v>415</v>
      </c>
      <c r="L351" s="4" t="s">
        <v>13</v>
      </c>
      <c r="M351" s="4">
        <v>2025</v>
      </c>
      <c r="N351" s="4">
        <v>1</v>
      </c>
      <c r="O351" s="4">
        <v>1</v>
      </c>
    </row>
    <row r="352" spans="1:15">
      <c r="A352" s="4" t="s">
        <v>420</v>
      </c>
      <c r="B352" s="4" t="s">
        <v>444</v>
      </c>
      <c r="C352" s="9" t="s">
        <v>445</v>
      </c>
      <c r="D352" s="13">
        <v>1</v>
      </c>
      <c r="E352" s="13" t="s">
        <v>395</v>
      </c>
      <c r="F352" s="13">
        <v>1</v>
      </c>
      <c r="G352" s="21">
        <v>1</v>
      </c>
      <c r="I352" s="4">
        <v>13</v>
      </c>
      <c r="J352" s="4">
        <v>15</v>
      </c>
      <c r="K352" s="4" t="s">
        <v>415</v>
      </c>
      <c r="L352" s="4" t="s">
        <v>13</v>
      </c>
      <c r="M352" s="4">
        <v>2025</v>
      </c>
      <c r="N352" s="4">
        <v>1</v>
      </c>
      <c r="O352" s="4">
        <v>1</v>
      </c>
    </row>
    <row r="353" spans="1:15">
      <c r="A353" s="4" t="s">
        <v>420</v>
      </c>
      <c r="B353" s="4" t="s">
        <v>446</v>
      </c>
      <c r="C353" s="9" t="s">
        <v>447</v>
      </c>
      <c r="D353" s="13">
        <v>1</v>
      </c>
      <c r="E353" s="13" t="s">
        <v>399</v>
      </c>
      <c r="F353" s="13">
        <v>1</v>
      </c>
      <c r="G353" s="21">
        <v>1</v>
      </c>
      <c r="I353" s="4">
        <v>14</v>
      </c>
      <c r="J353" s="4">
        <v>15</v>
      </c>
      <c r="K353" s="4" t="s">
        <v>415</v>
      </c>
      <c r="L353" s="4" t="s">
        <v>13</v>
      </c>
      <c r="M353" s="4">
        <v>2025</v>
      </c>
      <c r="N353" s="4">
        <v>1</v>
      </c>
      <c r="O353" s="4">
        <v>1</v>
      </c>
    </row>
    <row r="354" spans="1:15">
      <c r="A354" s="4" t="s">
        <v>420</v>
      </c>
      <c r="B354" s="4" t="s">
        <v>448</v>
      </c>
      <c r="C354" s="9" t="s">
        <v>449</v>
      </c>
      <c r="D354" s="13">
        <v>1</v>
      </c>
      <c r="E354" s="13" t="s">
        <v>395</v>
      </c>
      <c r="F354" s="13">
        <v>1</v>
      </c>
      <c r="G354" s="21">
        <v>1</v>
      </c>
      <c r="I354" s="4">
        <v>15</v>
      </c>
      <c r="J354" s="4">
        <v>15</v>
      </c>
      <c r="K354" s="4" t="s">
        <v>415</v>
      </c>
      <c r="L354" s="4" t="s">
        <v>13</v>
      </c>
      <c r="M354" s="4">
        <v>2025</v>
      </c>
      <c r="N354" s="4">
        <v>1</v>
      </c>
      <c r="O354" s="4">
        <v>1</v>
      </c>
    </row>
    <row r="355" spans="1:15">
      <c r="A355" s="4" t="s">
        <v>450</v>
      </c>
      <c r="B355" s="4" t="s">
        <v>1176</v>
      </c>
      <c r="C355" s="9" t="s">
        <v>1349</v>
      </c>
      <c r="F355" s="13">
        <v>0</v>
      </c>
      <c r="I355" s="4"/>
      <c r="J355" s="4"/>
      <c r="K355" s="4"/>
      <c r="L355" s="4"/>
      <c r="M355" s="4"/>
      <c r="N355" s="4"/>
      <c r="O355" s="4"/>
    </row>
    <row r="356" spans="1:15">
      <c r="A356" s="4" t="s">
        <v>450</v>
      </c>
      <c r="B356" s="4" t="s">
        <v>452</v>
      </c>
      <c r="C356" s="9" t="s">
        <v>453</v>
      </c>
      <c r="D356" s="13">
        <v>0</v>
      </c>
      <c r="F356" s="13">
        <v>1</v>
      </c>
      <c r="G356" s="21">
        <v>1</v>
      </c>
      <c r="I356" s="4">
        <v>2</v>
      </c>
      <c r="J356" s="4">
        <v>7</v>
      </c>
      <c r="K356" s="4" t="s">
        <v>451</v>
      </c>
      <c r="L356" s="4" t="s">
        <v>13</v>
      </c>
      <c r="M356" s="4">
        <v>2019</v>
      </c>
      <c r="N356" s="4">
        <v>1</v>
      </c>
      <c r="O356" s="4">
        <v>1</v>
      </c>
    </row>
    <row r="357" spans="1:15">
      <c r="A357" s="4" t="s">
        <v>450</v>
      </c>
      <c r="B357" s="4" t="s">
        <v>1177</v>
      </c>
      <c r="C357" s="9" t="s">
        <v>1350</v>
      </c>
      <c r="F357" s="13">
        <v>0</v>
      </c>
      <c r="I357" s="4"/>
      <c r="J357" s="4"/>
      <c r="K357" s="4"/>
      <c r="L357" s="4"/>
      <c r="M357" s="4"/>
      <c r="N357" s="4"/>
      <c r="O357" s="4"/>
    </row>
    <row r="358" spans="1:15">
      <c r="A358" s="4" t="s">
        <v>450</v>
      </c>
      <c r="B358" s="4" t="s">
        <v>1178</v>
      </c>
      <c r="C358" s="9" t="s">
        <v>1351</v>
      </c>
      <c r="F358" s="13">
        <v>0</v>
      </c>
      <c r="I358" s="4"/>
      <c r="J358" s="4"/>
      <c r="K358" s="4"/>
      <c r="L358" s="4"/>
      <c r="M358" s="4"/>
      <c r="N358" s="4"/>
      <c r="O358" s="4"/>
    </row>
    <row r="359" spans="1:15">
      <c r="A359" s="4" t="s">
        <v>450</v>
      </c>
      <c r="B359" s="4" t="s">
        <v>454</v>
      </c>
      <c r="C359" s="9" t="s">
        <v>455</v>
      </c>
      <c r="D359" s="13">
        <v>1</v>
      </c>
      <c r="E359" s="13" t="s">
        <v>397</v>
      </c>
      <c r="F359" s="13">
        <v>1</v>
      </c>
      <c r="G359" s="21">
        <v>1</v>
      </c>
      <c r="I359" s="4">
        <v>5</v>
      </c>
      <c r="J359" s="4">
        <v>7</v>
      </c>
      <c r="K359" s="4" t="s">
        <v>451</v>
      </c>
      <c r="L359" s="4" t="s">
        <v>13</v>
      </c>
      <c r="M359" s="4">
        <v>2019</v>
      </c>
      <c r="N359" s="4">
        <v>1</v>
      </c>
      <c r="O359" s="4">
        <v>1</v>
      </c>
    </row>
    <row r="360" spans="1:15">
      <c r="A360" s="4" t="s">
        <v>450</v>
      </c>
      <c r="B360" s="4" t="s">
        <v>1179</v>
      </c>
      <c r="C360" s="9" t="s">
        <v>1352</v>
      </c>
      <c r="F360" s="13">
        <v>0</v>
      </c>
      <c r="I360" s="4"/>
      <c r="J360" s="4"/>
      <c r="K360" s="4"/>
      <c r="L360" s="4"/>
      <c r="M360" s="4"/>
      <c r="N360" s="4"/>
      <c r="O360" s="4"/>
    </row>
    <row r="361" spans="1:15">
      <c r="A361" s="4" t="s">
        <v>450</v>
      </c>
      <c r="B361" s="4" t="s">
        <v>456</v>
      </c>
      <c r="C361" s="9" t="s">
        <v>457</v>
      </c>
      <c r="D361" s="13">
        <v>1</v>
      </c>
      <c r="E361" s="13" t="s">
        <v>399</v>
      </c>
      <c r="F361" s="13">
        <v>1</v>
      </c>
      <c r="G361" s="21">
        <v>0</v>
      </c>
      <c r="I361" s="4">
        <v>7</v>
      </c>
      <c r="J361" s="4">
        <v>7</v>
      </c>
      <c r="K361" s="4" t="s">
        <v>451</v>
      </c>
      <c r="L361" s="4" t="s">
        <v>13</v>
      </c>
      <c r="M361" s="4">
        <v>2019</v>
      </c>
      <c r="N361" s="4">
        <v>1</v>
      </c>
      <c r="O361" s="4">
        <v>1</v>
      </c>
    </row>
    <row r="362" spans="1:15">
      <c r="A362" s="4" t="s">
        <v>458</v>
      </c>
      <c r="B362" s="4" t="s">
        <v>1180</v>
      </c>
      <c r="C362" s="9" t="s">
        <v>1353</v>
      </c>
      <c r="F362" s="13">
        <v>0</v>
      </c>
      <c r="I362" s="4"/>
      <c r="J362" s="4"/>
      <c r="K362" s="4"/>
      <c r="L362" s="4"/>
      <c r="M362" s="4"/>
      <c r="N362" s="4"/>
      <c r="O362" s="4"/>
    </row>
    <row r="363" spans="1:15">
      <c r="A363" s="4" t="s">
        <v>458</v>
      </c>
      <c r="B363" s="4" t="s">
        <v>1181</v>
      </c>
      <c r="C363" s="9" t="s">
        <v>1354</v>
      </c>
      <c r="F363" s="13">
        <v>0</v>
      </c>
      <c r="I363" s="4"/>
      <c r="J363" s="4"/>
      <c r="K363" s="4"/>
      <c r="L363" s="4"/>
      <c r="M363" s="4"/>
      <c r="N363" s="4"/>
      <c r="O363" s="4"/>
    </row>
    <row r="364" spans="1:15">
      <c r="A364" s="4" t="s">
        <v>458</v>
      </c>
      <c r="B364" s="4" t="s">
        <v>1182</v>
      </c>
      <c r="C364" s="9" t="s">
        <v>1355</v>
      </c>
      <c r="F364" s="13">
        <v>0</v>
      </c>
      <c r="I364" s="4"/>
      <c r="J364" s="4"/>
      <c r="K364" s="4"/>
      <c r="L364" s="4"/>
      <c r="M364" s="4"/>
      <c r="N364" s="4"/>
      <c r="O364" s="4"/>
    </row>
    <row r="365" spans="1:15">
      <c r="A365" s="4" t="s">
        <v>458</v>
      </c>
      <c r="B365" s="4" t="s">
        <v>459</v>
      </c>
      <c r="C365" s="9" t="s">
        <v>460</v>
      </c>
      <c r="D365" s="13">
        <v>1</v>
      </c>
      <c r="E365" s="13" t="s">
        <v>399</v>
      </c>
      <c r="F365" s="13">
        <v>1</v>
      </c>
      <c r="G365" s="21">
        <v>0</v>
      </c>
      <c r="I365" s="4">
        <v>4</v>
      </c>
      <c r="J365" s="4">
        <v>5</v>
      </c>
      <c r="K365" s="4" t="s">
        <v>451</v>
      </c>
      <c r="L365" s="4" t="s">
        <v>13</v>
      </c>
      <c r="M365" s="4">
        <v>2020</v>
      </c>
      <c r="N365" s="4">
        <v>1</v>
      </c>
      <c r="O365" s="4">
        <v>1</v>
      </c>
    </row>
    <row r="366" spans="1:15">
      <c r="A366" s="4" t="s">
        <v>458</v>
      </c>
      <c r="B366" s="4" t="s">
        <v>461</v>
      </c>
      <c r="C366" s="9" t="s">
        <v>462</v>
      </c>
      <c r="D366" s="13">
        <v>1</v>
      </c>
      <c r="E366" s="13" t="s">
        <v>399</v>
      </c>
      <c r="F366" s="13">
        <v>1</v>
      </c>
      <c r="G366" s="21">
        <v>0</v>
      </c>
      <c r="I366" s="4">
        <v>5</v>
      </c>
      <c r="J366" s="4">
        <v>5</v>
      </c>
      <c r="K366" s="4" t="s">
        <v>451</v>
      </c>
      <c r="L366" s="4" t="s">
        <v>13</v>
      </c>
      <c r="M366" s="4">
        <v>2020</v>
      </c>
      <c r="N366" s="4">
        <v>1</v>
      </c>
      <c r="O366" s="4">
        <v>1</v>
      </c>
    </row>
    <row r="367" spans="1:15">
      <c r="A367" s="4" t="s">
        <v>463</v>
      </c>
      <c r="B367" s="4" t="s">
        <v>1183</v>
      </c>
      <c r="C367" s="9" t="s">
        <v>1356</v>
      </c>
      <c r="F367" s="13">
        <v>0</v>
      </c>
      <c r="I367" s="4"/>
      <c r="J367" s="4"/>
      <c r="K367" s="4"/>
      <c r="L367" s="4"/>
      <c r="M367" s="4"/>
      <c r="N367" s="4"/>
      <c r="O367" s="4"/>
    </row>
    <row r="368" spans="1:15">
      <c r="A368" s="4" t="s">
        <v>463</v>
      </c>
      <c r="B368" s="4" t="s">
        <v>464</v>
      </c>
      <c r="C368" s="9" t="s">
        <v>465</v>
      </c>
      <c r="D368" s="13">
        <v>1</v>
      </c>
      <c r="E368" s="13" t="s">
        <v>399</v>
      </c>
      <c r="F368" s="13">
        <v>1</v>
      </c>
      <c r="G368" s="21">
        <v>1</v>
      </c>
      <c r="I368" s="4">
        <v>2</v>
      </c>
      <c r="J368" s="4">
        <v>8</v>
      </c>
      <c r="K368" s="4" t="s">
        <v>451</v>
      </c>
      <c r="L368" s="4" t="s">
        <v>13</v>
      </c>
      <c r="M368" s="4">
        <v>2021</v>
      </c>
      <c r="N368" s="4">
        <v>1</v>
      </c>
      <c r="O368" s="4">
        <v>1</v>
      </c>
    </row>
    <row r="369" spans="1:15">
      <c r="A369" s="4" t="s">
        <v>463</v>
      </c>
      <c r="B369" s="4" t="s">
        <v>1184</v>
      </c>
      <c r="C369" s="9" t="s">
        <v>1357</v>
      </c>
      <c r="F369" s="13">
        <v>0</v>
      </c>
      <c r="I369" s="4"/>
      <c r="J369" s="4"/>
      <c r="K369" s="4"/>
      <c r="L369" s="4"/>
      <c r="M369" s="4"/>
      <c r="N369" s="4"/>
      <c r="O369" s="4"/>
    </row>
    <row r="370" spans="1:15">
      <c r="A370" s="4" t="s">
        <v>463</v>
      </c>
      <c r="B370" s="4" t="s">
        <v>466</v>
      </c>
      <c r="C370" s="9" t="s">
        <v>467</v>
      </c>
      <c r="D370" s="13">
        <v>1</v>
      </c>
      <c r="E370" s="13" t="s">
        <v>399</v>
      </c>
      <c r="F370" s="13">
        <v>1</v>
      </c>
      <c r="G370" s="21">
        <v>0</v>
      </c>
      <c r="I370" s="4">
        <v>4</v>
      </c>
      <c r="J370" s="4">
        <v>8</v>
      </c>
      <c r="K370" s="4" t="s">
        <v>451</v>
      </c>
      <c r="L370" s="4" t="s">
        <v>13</v>
      </c>
      <c r="M370" s="4">
        <v>2021</v>
      </c>
      <c r="N370" s="4">
        <v>1</v>
      </c>
      <c r="O370" s="4">
        <v>1</v>
      </c>
    </row>
    <row r="371" spans="1:15">
      <c r="A371" s="4" t="s">
        <v>463</v>
      </c>
      <c r="B371" s="4" t="s">
        <v>1185</v>
      </c>
      <c r="C371" s="9" t="s">
        <v>1358</v>
      </c>
      <c r="F371" s="13">
        <v>0</v>
      </c>
      <c r="I371" s="4"/>
      <c r="J371" s="4"/>
      <c r="K371" s="4"/>
      <c r="L371" s="4"/>
      <c r="M371" s="4"/>
      <c r="N371" s="4"/>
      <c r="O371" s="4"/>
    </row>
    <row r="372" spans="1:15">
      <c r="A372" s="4" t="s">
        <v>463</v>
      </c>
      <c r="B372" s="4" t="s">
        <v>468</v>
      </c>
      <c r="C372" s="9" t="s">
        <v>469</v>
      </c>
      <c r="D372" s="13">
        <v>0</v>
      </c>
      <c r="F372" s="13">
        <v>1</v>
      </c>
      <c r="G372" s="21">
        <v>0</v>
      </c>
      <c r="I372" s="4">
        <v>6</v>
      </c>
      <c r="J372" s="4">
        <v>8</v>
      </c>
      <c r="K372" s="4" t="s">
        <v>451</v>
      </c>
      <c r="L372" s="4" t="s">
        <v>13</v>
      </c>
      <c r="M372" s="4">
        <v>2021</v>
      </c>
      <c r="N372" s="4">
        <v>1</v>
      </c>
      <c r="O372" s="4">
        <v>1</v>
      </c>
    </row>
    <row r="373" spans="1:15">
      <c r="A373" s="4" t="s">
        <v>463</v>
      </c>
      <c r="B373" s="4" t="s">
        <v>470</v>
      </c>
      <c r="C373" s="9" t="s">
        <v>471</v>
      </c>
      <c r="D373" s="13">
        <v>1</v>
      </c>
      <c r="E373" s="13" t="s">
        <v>397</v>
      </c>
      <c r="F373" s="13">
        <v>1</v>
      </c>
      <c r="G373" s="21">
        <v>0</v>
      </c>
      <c r="I373" s="4">
        <v>7</v>
      </c>
      <c r="J373" s="4">
        <v>8</v>
      </c>
      <c r="K373" s="4" t="s">
        <v>451</v>
      </c>
      <c r="L373" s="4" t="s">
        <v>13</v>
      </c>
      <c r="M373" s="4">
        <v>2021</v>
      </c>
      <c r="N373" s="4">
        <v>1</v>
      </c>
      <c r="O373" s="4">
        <v>1</v>
      </c>
    </row>
    <row r="374" spans="1:15">
      <c r="A374" s="4" t="s">
        <v>463</v>
      </c>
      <c r="B374" s="4" t="s">
        <v>1340</v>
      </c>
      <c r="C374" s="9" t="s">
        <v>1359</v>
      </c>
      <c r="F374" s="13">
        <v>0</v>
      </c>
      <c r="I374" s="4"/>
      <c r="J374" s="4"/>
      <c r="K374" s="4"/>
      <c r="L374" s="4"/>
      <c r="M374" s="4"/>
      <c r="N374" s="4"/>
      <c r="O374" s="4"/>
    </row>
    <row r="375" spans="1:15">
      <c r="A375" s="4" t="s">
        <v>478</v>
      </c>
      <c r="B375" s="4" t="s">
        <v>479</v>
      </c>
      <c r="C375" t="s">
        <v>480</v>
      </c>
      <c r="F375" s="13">
        <v>1</v>
      </c>
      <c r="G375" s="21">
        <v>0</v>
      </c>
      <c r="I375" s="4">
        <v>1</v>
      </c>
      <c r="J375" s="4">
        <v>8</v>
      </c>
      <c r="K375" s="4" t="s">
        <v>451</v>
      </c>
      <c r="L375" s="4" t="s">
        <v>13</v>
      </c>
      <c r="M375" s="4">
        <v>2022</v>
      </c>
      <c r="N375" s="4">
        <v>1</v>
      </c>
      <c r="O375" s="4">
        <v>1</v>
      </c>
    </row>
    <row r="376" spans="1:15">
      <c r="A376" s="4" t="s">
        <v>478</v>
      </c>
      <c r="B376" s="4" t="s">
        <v>481</v>
      </c>
      <c r="C376" s="9" t="s">
        <v>482</v>
      </c>
      <c r="F376" s="13">
        <v>1</v>
      </c>
      <c r="G376" s="21">
        <v>1</v>
      </c>
      <c r="I376" s="4">
        <v>2</v>
      </c>
      <c r="J376" s="4">
        <v>8</v>
      </c>
      <c r="K376" s="4" t="s">
        <v>451</v>
      </c>
      <c r="L376" s="4" t="s">
        <v>13</v>
      </c>
      <c r="M376" s="4">
        <v>2022</v>
      </c>
      <c r="N376" s="4">
        <v>1</v>
      </c>
      <c r="O376" s="4">
        <v>1</v>
      </c>
    </row>
    <row r="377" spans="1:15">
      <c r="A377" s="4" t="s">
        <v>478</v>
      </c>
      <c r="B377" s="4" t="s">
        <v>1186</v>
      </c>
      <c r="C377" s="9" t="s">
        <v>1360</v>
      </c>
      <c r="F377" s="13">
        <v>0</v>
      </c>
      <c r="I377" s="4"/>
      <c r="J377" s="4"/>
      <c r="K377" s="4"/>
      <c r="L377" s="4"/>
      <c r="M377" s="4"/>
      <c r="N377" s="4"/>
      <c r="O377" s="4"/>
    </row>
    <row r="378" spans="1:15">
      <c r="A378" s="4" t="s">
        <v>478</v>
      </c>
      <c r="B378" s="4" t="s">
        <v>1187</v>
      </c>
      <c r="C378" s="9" t="s">
        <v>1361</v>
      </c>
      <c r="F378" s="13">
        <v>0</v>
      </c>
      <c r="I378" s="4"/>
      <c r="J378" s="4"/>
      <c r="K378" s="4"/>
      <c r="L378" s="4"/>
      <c r="M378" s="4"/>
      <c r="N378" s="4"/>
      <c r="O378" s="4"/>
    </row>
    <row r="379" spans="1:15">
      <c r="A379" s="4" t="s">
        <v>478</v>
      </c>
      <c r="B379" s="4" t="s">
        <v>485</v>
      </c>
      <c r="C379" s="9" t="s">
        <v>483</v>
      </c>
      <c r="F379" s="13">
        <v>1</v>
      </c>
      <c r="G379" s="21">
        <v>0</v>
      </c>
      <c r="I379" s="4">
        <v>5</v>
      </c>
      <c r="J379" s="4">
        <v>8</v>
      </c>
      <c r="K379" s="4" t="s">
        <v>451</v>
      </c>
      <c r="L379" s="4" t="s">
        <v>13</v>
      </c>
      <c r="M379" s="4">
        <v>2022</v>
      </c>
      <c r="N379" s="4">
        <v>1</v>
      </c>
      <c r="O379" s="4">
        <v>1</v>
      </c>
    </row>
    <row r="380" spans="1:15">
      <c r="A380" s="4" t="s">
        <v>478</v>
      </c>
      <c r="B380" s="4" t="s">
        <v>1188</v>
      </c>
      <c r="C380" t="s">
        <v>1362</v>
      </c>
      <c r="F380" s="13">
        <v>0</v>
      </c>
      <c r="I380" s="4"/>
      <c r="J380" s="4"/>
      <c r="K380" s="4"/>
      <c r="L380" s="4"/>
      <c r="M380" s="4"/>
      <c r="N380" s="4"/>
      <c r="O380" s="4"/>
    </row>
    <row r="381" spans="1:15">
      <c r="A381" s="4" t="s">
        <v>478</v>
      </c>
      <c r="B381" s="4" t="s">
        <v>486</v>
      </c>
      <c r="C381" s="9" t="s">
        <v>484</v>
      </c>
      <c r="F381" s="13">
        <v>1</v>
      </c>
      <c r="G381" s="21">
        <v>0</v>
      </c>
      <c r="I381" s="4">
        <v>7</v>
      </c>
      <c r="J381" s="4">
        <v>8</v>
      </c>
      <c r="K381" s="4" t="s">
        <v>451</v>
      </c>
      <c r="L381" s="4" t="s">
        <v>13</v>
      </c>
      <c r="M381" s="4">
        <v>2022</v>
      </c>
      <c r="N381" s="4">
        <v>1</v>
      </c>
      <c r="O381" s="4">
        <v>1</v>
      </c>
    </row>
    <row r="382" spans="1:15">
      <c r="A382" s="4" t="s">
        <v>478</v>
      </c>
      <c r="B382" s="4" t="s">
        <v>1341</v>
      </c>
      <c r="C382" s="9" t="s">
        <v>1363</v>
      </c>
      <c r="F382" s="13">
        <v>0</v>
      </c>
      <c r="I382" s="4"/>
      <c r="J382" s="4"/>
      <c r="K382" s="4"/>
      <c r="L382" s="4"/>
      <c r="M382" s="4"/>
      <c r="N382" s="4"/>
      <c r="O382" s="4"/>
    </row>
    <row r="383" spans="1:15">
      <c r="A383" s="4" t="s">
        <v>487</v>
      </c>
      <c r="B383" s="4" t="s">
        <v>1189</v>
      </c>
      <c r="C383" s="9" t="s">
        <v>1364</v>
      </c>
      <c r="F383" s="13">
        <v>0</v>
      </c>
      <c r="I383" s="4"/>
      <c r="J383" s="4"/>
      <c r="K383" s="4"/>
      <c r="L383" s="4"/>
      <c r="M383" s="4"/>
      <c r="N383" s="4"/>
      <c r="O383" s="4"/>
    </row>
    <row r="384" spans="1:15">
      <c r="A384" s="4" t="s">
        <v>487</v>
      </c>
      <c r="B384" s="4" t="s">
        <v>1190</v>
      </c>
      <c r="C384" s="9" t="s">
        <v>1365</v>
      </c>
      <c r="F384" s="13">
        <v>0</v>
      </c>
      <c r="I384" s="4"/>
      <c r="J384" s="4"/>
      <c r="K384" s="4"/>
      <c r="L384" s="4"/>
      <c r="M384" s="4"/>
      <c r="N384" s="4"/>
      <c r="O384" s="4"/>
    </row>
    <row r="385" spans="1:15">
      <c r="A385" s="4" t="s">
        <v>487</v>
      </c>
      <c r="B385" s="4" t="s">
        <v>492</v>
      </c>
      <c r="C385" s="9" t="s">
        <v>488</v>
      </c>
      <c r="F385" s="13">
        <v>1</v>
      </c>
      <c r="G385" s="21">
        <v>0</v>
      </c>
      <c r="I385" s="4">
        <v>3</v>
      </c>
      <c r="J385" s="4">
        <v>10</v>
      </c>
      <c r="K385" s="4" t="s">
        <v>451</v>
      </c>
      <c r="L385" s="4" t="s">
        <v>13</v>
      </c>
      <c r="M385" s="4">
        <v>2023</v>
      </c>
      <c r="N385" s="4">
        <v>1</v>
      </c>
      <c r="O385" s="4">
        <v>1</v>
      </c>
    </row>
    <row r="386" spans="1:15">
      <c r="A386" s="4" t="s">
        <v>487</v>
      </c>
      <c r="B386" s="4" t="s">
        <v>493</v>
      </c>
      <c r="C386" s="9" t="s">
        <v>489</v>
      </c>
      <c r="F386" s="13">
        <v>1</v>
      </c>
      <c r="G386" s="21">
        <v>0</v>
      </c>
      <c r="I386" s="4">
        <v>4</v>
      </c>
      <c r="J386" s="4">
        <v>10</v>
      </c>
      <c r="K386" s="4" t="s">
        <v>451</v>
      </c>
      <c r="L386" s="4" t="s">
        <v>13</v>
      </c>
      <c r="M386" s="4">
        <v>2023</v>
      </c>
      <c r="N386" s="4">
        <v>1</v>
      </c>
      <c r="O386" s="4">
        <v>1</v>
      </c>
    </row>
    <row r="387" spans="1:15">
      <c r="A387" s="4" t="s">
        <v>487</v>
      </c>
      <c r="B387" s="4" t="s">
        <v>494</v>
      </c>
      <c r="C387" s="9" t="s">
        <v>490</v>
      </c>
      <c r="F387" s="13">
        <v>1</v>
      </c>
      <c r="G387" s="21">
        <v>1</v>
      </c>
      <c r="I387" s="4">
        <v>5</v>
      </c>
      <c r="J387" s="4">
        <v>10</v>
      </c>
      <c r="K387" s="4" t="s">
        <v>451</v>
      </c>
      <c r="L387" s="4" t="s">
        <v>13</v>
      </c>
      <c r="M387" s="4">
        <v>2023</v>
      </c>
      <c r="N387" s="4">
        <v>1</v>
      </c>
      <c r="O387" s="4">
        <v>1</v>
      </c>
    </row>
    <row r="388" spans="1:15">
      <c r="A388" s="4" t="s">
        <v>487</v>
      </c>
      <c r="B388" s="4" t="s">
        <v>1191</v>
      </c>
      <c r="C388" s="9" t="s">
        <v>1366</v>
      </c>
      <c r="F388" s="13">
        <v>0</v>
      </c>
      <c r="I388" s="4"/>
      <c r="J388" s="4"/>
      <c r="K388" s="4"/>
      <c r="L388" s="4"/>
      <c r="M388" s="4"/>
      <c r="N388" s="4"/>
      <c r="O388" s="4"/>
    </row>
    <row r="389" spans="1:15">
      <c r="A389" s="4" t="s">
        <v>487</v>
      </c>
      <c r="B389" s="4" t="s">
        <v>1192</v>
      </c>
      <c r="C389" t="s">
        <v>1367</v>
      </c>
      <c r="F389" s="13">
        <v>0</v>
      </c>
      <c r="I389" s="4"/>
      <c r="J389" s="4"/>
      <c r="K389" s="4"/>
      <c r="L389" s="4"/>
      <c r="M389" s="4"/>
      <c r="N389" s="4"/>
      <c r="O389" s="4"/>
    </row>
    <row r="390" spans="1:15">
      <c r="A390" s="4" t="s">
        <v>487</v>
      </c>
      <c r="B390" s="4" t="s">
        <v>1193</v>
      </c>
      <c r="C390" s="9" t="s">
        <v>1368</v>
      </c>
      <c r="F390" s="13">
        <v>0</v>
      </c>
      <c r="I390" s="4"/>
      <c r="J390" s="4"/>
      <c r="K390" s="4"/>
      <c r="L390" s="4"/>
      <c r="M390" s="4"/>
      <c r="N390" s="4"/>
      <c r="O390" s="4"/>
    </row>
    <row r="391" spans="1:15">
      <c r="A391" s="4" t="s">
        <v>487</v>
      </c>
      <c r="B391" s="4" t="s">
        <v>1194</v>
      </c>
      <c r="C391" s="9" t="s">
        <v>1369</v>
      </c>
      <c r="F391" s="13">
        <v>0</v>
      </c>
      <c r="I391" s="4"/>
      <c r="J391" s="4"/>
      <c r="K391" s="4"/>
      <c r="L391" s="4"/>
      <c r="M391" s="4"/>
      <c r="N391" s="4"/>
      <c r="O391" s="4"/>
    </row>
    <row r="392" spans="1:15">
      <c r="A392" s="4" t="s">
        <v>487</v>
      </c>
      <c r="B392" s="4" t="s">
        <v>495</v>
      </c>
      <c r="C392" s="9" t="s">
        <v>491</v>
      </c>
      <c r="F392" s="13">
        <v>1</v>
      </c>
      <c r="G392" s="21">
        <v>0</v>
      </c>
      <c r="I392" s="4">
        <v>10</v>
      </c>
      <c r="J392" s="4">
        <v>10</v>
      </c>
      <c r="K392" s="4" t="s">
        <v>451</v>
      </c>
      <c r="L392" s="4" t="s">
        <v>13</v>
      </c>
      <c r="M392" s="4">
        <v>2023</v>
      </c>
      <c r="N392" s="4">
        <v>1</v>
      </c>
      <c r="O392" s="4">
        <v>1</v>
      </c>
    </row>
    <row r="393" spans="1:15">
      <c r="A393" s="4" t="s">
        <v>496</v>
      </c>
      <c r="B393" s="4" t="s">
        <v>1195</v>
      </c>
      <c r="C393" s="9" t="s">
        <v>1370</v>
      </c>
      <c r="F393" s="13">
        <v>0</v>
      </c>
      <c r="I393" s="4"/>
      <c r="J393" s="4"/>
      <c r="K393" s="4"/>
      <c r="L393" s="4"/>
      <c r="M393" s="4"/>
      <c r="N393" s="4"/>
      <c r="O393" s="4"/>
    </row>
    <row r="394" spans="1:15">
      <c r="A394" s="4" t="s">
        <v>496</v>
      </c>
      <c r="B394" s="4" t="s">
        <v>506</v>
      </c>
      <c r="C394" s="9" t="s">
        <v>497</v>
      </c>
      <c r="F394" s="13">
        <v>1</v>
      </c>
      <c r="G394" s="21">
        <v>1</v>
      </c>
      <c r="I394" s="4">
        <v>2</v>
      </c>
      <c r="J394" s="4">
        <v>11</v>
      </c>
      <c r="K394" s="4" t="s">
        <v>451</v>
      </c>
      <c r="L394" s="4" t="s">
        <v>13</v>
      </c>
      <c r="M394" s="4">
        <v>2024</v>
      </c>
      <c r="N394" s="4">
        <v>1</v>
      </c>
      <c r="O394" s="4">
        <v>1</v>
      </c>
    </row>
    <row r="395" spans="1:15">
      <c r="A395" s="4" t="s">
        <v>496</v>
      </c>
      <c r="B395" s="4" t="s">
        <v>507</v>
      </c>
      <c r="C395" s="9" t="s">
        <v>498</v>
      </c>
      <c r="F395" s="13">
        <v>1</v>
      </c>
      <c r="G395" s="21">
        <v>1</v>
      </c>
      <c r="I395" s="4">
        <v>3</v>
      </c>
      <c r="J395" s="4">
        <v>11</v>
      </c>
      <c r="K395" s="4" t="s">
        <v>451</v>
      </c>
      <c r="L395" s="4" t="s">
        <v>13</v>
      </c>
      <c r="M395" s="4">
        <v>2024</v>
      </c>
      <c r="N395" s="4">
        <v>1</v>
      </c>
      <c r="O395" s="4">
        <v>1</v>
      </c>
    </row>
    <row r="396" spans="1:15">
      <c r="A396" s="4" t="s">
        <v>496</v>
      </c>
      <c r="B396" s="4" t="s">
        <v>508</v>
      </c>
      <c r="C396" s="9" t="s">
        <v>499</v>
      </c>
      <c r="F396" s="13">
        <v>1</v>
      </c>
      <c r="G396" s="21">
        <v>0</v>
      </c>
      <c r="I396" s="4">
        <v>4</v>
      </c>
      <c r="J396" s="4">
        <v>11</v>
      </c>
      <c r="K396" s="4" t="s">
        <v>451</v>
      </c>
      <c r="L396" s="4" t="s">
        <v>13</v>
      </c>
      <c r="M396" s="4">
        <v>2024</v>
      </c>
      <c r="N396" s="4">
        <v>1</v>
      </c>
      <c r="O396" s="4">
        <v>1</v>
      </c>
    </row>
    <row r="397" spans="1:15">
      <c r="A397" s="4" t="s">
        <v>496</v>
      </c>
      <c r="B397" s="4" t="s">
        <v>509</v>
      </c>
      <c r="C397" s="9" t="s">
        <v>500</v>
      </c>
      <c r="F397" s="13">
        <v>1</v>
      </c>
      <c r="G397" s="21">
        <v>0</v>
      </c>
      <c r="I397" s="4">
        <v>5</v>
      </c>
      <c r="J397" s="4">
        <v>11</v>
      </c>
      <c r="K397" s="4" t="s">
        <v>451</v>
      </c>
      <c r="L397" s="4" t="s">
        <v>13</v>
      </c>
      <c r="M397" s="4">
        <v>2024</v>
      </c>
      <c r="N397" s="4">
        <v>1</v>
      </c>
      <c r="O397" s="4">
        <v>1</v>
      </c>
    </row>
    <row r="398" spans="1:15">
      <c r="A398" s="4" t="s">
        <v>496</v>
      </c>
      <c r="B398" s="4" t="s">
        <v>510</v>
      </c>
      <c r="C398" s="9" t="s">
        <v>501</v>
      </c>
      <c r="F398" s="13">
        <v>1</v>
      </c>
      <c r="G398" s="21">
        <v>1</v>
      </c>
      <c r="I398" s="4">
        <v>6</v>
      </c>
      <c r="J398" s="4">
        <v>11</v>
      </c>
      <c r="K398" s="4" t="s">
        <v>451</v>
      </c>
      <c r="L398" s="4" t="s">
        <v>13</v>
      </c>
      <c r="M398" s="4">
        <v>2024</v>
      </c>
      <c r="N398" s="4">
        <v>1</v>
      </c>
      <c r="O398" s="4">
        <v>1</v>
      </c>
    </row>
    <row r="399" spans="1:15">
      <c r="A399" s="4" t="s">
        <v>496</v>
      </c>
      <c r="B399" s="4" t="s">
        <v>511</v>
      </c>
      <c r="C399" s="9" t="s">
        <v>502</v>
      </c>
      <c r="F399" s="13">
        <v>1</v>
      </c>
      <c r="G399" s="21">
        <v>1</v>
      </c>
      <c r="I399" s="4">
        <v>7</v>
      </c>
      <c r="J399" s="4">
        <v>11</v>
      </c>
      <c r="K399" s="4" t="s">
        <v>451</v>
      </c>
      <c r="L399" s="4" t="s">
        <v>13</v>
      </c>
      <c r="M399" s="4">
        <v>2024</v>
      </c>
      <c r="N399" s="4">
        <v>1</v>
      </c>
      <c r="O399" s="4">
        <v>1</v>
      </c>
    </row>
    <row r="400" spans="1:15">
      <c r="A400" s="4" t="s">
        <v>496</v>
      </c>
      <c r="B400" s="4" t="s">
        <v>1196</v>
      </c>
      <c r="C400" s="9" t="s">
        <v>1371</v>
      </c>
      <c r="F400" s="13">
        <v>0</v>
      </c>
      <c r="I400" s="4"/>
      <c r="J400" s="4"/>
      <c r="K400" s="4"/>
      <c r="L400" s="4"/>
      <c r="M400" s="4"/>
      <c r="N400" s="4"/>
      <c r="O400" s="4"/>
    </row>
    <row r="401" spans="1:15">
      <c r="A401" s="4" t="s">
        <v>496</v>
      </c>
      <c r="B401" s="4" t="s">
        <v>512</v>
      </c>
      <c r="C401" s="9" t="s">
        <v>503</v>
      </c>
      <c r="F401" s="13">
        <v>1</v>
      </c>
      <c r="G401" s="21">
        <v>1</v>
      </c>
      <c r="I401" s="4">
        <v>9</v>
      </c>
      <c r="J401" s="4">
        <v>11</v>
      </c>
      <c r="K401" s="4" t="s">
        <v>451</v>
      </c>
      <c r="L401" s="4" t="s">
        <v>13</v>
      </c>
      <c r="M401" s="4">
        <v>2024</v>
      </c>
      <c r="N401" s="4">
        <v>1</v>
      </c>
      <c r="O401" s="4">
        <v>1</v>
      </c>
    </row>
    <row r="402" spans="1:15">
      <c r="A402" s="4" t="s">
        <v>496</v>
      </c>
      <c r="B402" s="4" t="s">
        <v>513</v>
      </c>
      <c r="C402" s="9" t="s">
        <v>504</v>
      </c>
      <c r="F402" s="13">
        <v>1</v>
      </c>
      <c r="G402" s="21">
        <v>1</v>
      </c>
      <c r="I402" s="4">
        <v>10</v>
      </c>
      <c r="J402" s="4">
        <v>11</v>
      </c>
      <c r="K402" s="4" t="s">
        <v>451</v>
      </c>
      <c r="L402" s="4" t="s">
        <v>13</v>
      </c>
      <c r="M402" s="4">
        <v>2024</v>
      </c>
      <c r="N402" s="4">
        <v>1</v>
      </c>
      <c r="O402" s="4">
        <v>1</v>
      </c>
    </row>
    <row r="403" spans="1:15">
      <c r="A403" s="4" t="s">
        <v>496</v>
      </c>
      <c r="B403" s="4" t="s">
        <v>514</v>
      </c>
      <c r="C403" s="9" t="s">
        <v>505</v>
      </c>
      <c r="F403" s="13">
        <v>1</v>
      </c>
      <c r="G403" s="21">
        <v>0</v>
      </c>
      <c r="I403" s="4">
        <v>11</v>
      </c>
      <c r="J403" s="4">
        <v>11</v>
      </c>
      <c r="K403" s="4" t="s">
        <v>451</v>
      </c>
      <c r="L403" s="4" t="s">
        <v>13</v>
      </c>
      <c r="M403" s="4">
        <v>2024</v>
      </c>
      <c r="N403" s="4">
        <v>1</v>
      </c>
      <c r="O403" s="4">
        <v>1</v>
      </c>
    </row>
    <row r="404" spans="1:15">
      <c r="A404" s="4" t="s">
        <v>516</v>
      </c>
      <c r="B404" s="4" t="s">
        <v>515</v>
      </c>
      <c r="C404" s="9" t="s">
        <v>517</v>
      </c>
      <c r="F404" s="13">
        <v>1</v>
      </c>
      <c r="G404" s="21">
        <v>1</v>
      </c>
      <c r="I404" s="4">
        <v>1</v>
      </c>
      <c r="J404" s="4">
        <v>10</v>
      </c>
      <c r="K404" s="4" t="s">
        <v>451</v>
      </c>
      <c r="L404" s="4" t="s">
        <v>13</v>
      </c>
      <c r="M404" s="4">
        <v>2025</v>
      </c>
      <c r="N404" s="4">
        <v>1</v>
      </c>
      <c r="O404" s="4">
        <v>1</v>
      </c>
    </row>
    <row r="405" spans="1:15">
      <c r="A405" s="4" t="s">
        <v>516</v>
      </c>
      <c r="B405" s="4" t="s">
        <v>518</v>
      </c>
      <c r="C405" s="9" t="s">
        <v>519</v>
      </c>
      <c r="F405" s="13">
        <v>1</v>
      </c>
      <c r="G405" s="21">
        <v>1</v>
      </c>
      <c r="I405" s="4">
        <v>2</v>
      </c>
      <c r="J405" s="4">
        <v>10</v>
      </c>
      <c r="K405" s="4" t="s">
        <v>451</v>
      </c>
      <c r="L405" s="4" t="s">
        <v>13</v>
      </c>
      <c r="M405" s="4">
        <v>2025</v>
      </c>
      <c r="N405" s="4">
        <v>1</v>
      </c>
      <c r="O405" s="4">
        <v>1</v>
      </c>
    </row>
    <row r="406" spans="1:15">
      <c r="A406" s="4" t="s">
        <v>516</v>
      </c>
      <c r="B406" s="4" t="s">
        <v>525</v>
      </c>
      <c r="C406" s="9" t="s">
        <v>520</v>
      </c>
      <c r="F406" s="13">
        <v>1</v>
      </c>
      <c r="G406" s="21">
        <v>1</v>
      </c>
      <c r="I406" s="4">
        <v>3</v>
      </c>
      <c r="J406" s="4">
        <v>10</v>
      </c>
      <c r="K406" s="4" t="s">
        <v>451</v>
      </c>
      <c r="L406" s="4" t="s">
        <v>13</v>
      </c>
      <c r="M406" s="4">
        <v>2025</v>
      </c>
      <c r="N406" s="4">
        <v>1</v>
      </c>
      <c r="O406" s="4">
        <v>1</v>
      </c>
    </row>
    <row r="407" spans="1:15">
      <c r="A407" s="4" t="s">
        <v>516</v>
      </c>
      <c r="B407" s="4" t="s">
        <v>526</v>
      </c>
      <c r="C407" s="9" t="s">
        <v>521</v>
      </c>
      <c r="F407" s="13">
        <v>1</v>
      </c>
      <c r="G407" s="21">
        <v>1</v>
      </c>
      <c r="I407" s="4">
        <v>4</v>
      </c>
      <c r="J407" s="4">
        <v>10</v>
      </c>
      <c r="K407" s="4" t="s">
        <v>451</v>
      </c>
      <c r="L407" s="4" t="s">
        <v>13</v>
      </c>
      <c r="M407" s="4">
        <v>2025</v>
      </c>
      <c r="N407" s="4">
        <v>1</v>
      </c>
      <c r="O407" s="4">
        <v>1</v>
      </c>
    </row>
    <row r="408" spans="1:15">
      <c r="A408" s="4" t="s">
        <v>516</v>
      </c>
      <c r="B408" s="4" t="s">
        <v>527</v>
      </c>
      <c r="C408" s="9" t="s">
        <v>522</v>
      </c>
      <c r="F408" s="13">
        <v>1</v>
      </c>
      <c r="G408" s="21">
        <v>0</v>
      </c>
      <c r="I408" s="4">
        <v>5</v>
      </c>
      <c r="J408" s="4">
        <v>10</v>
      </c>
      <c r="K408" s="4" t="s">
        <v>451</v>
      </c>
      <c r="L408" s="4" t="s">
        <v>13</v>
      </c>
      <c r="M408" s="4">
        <v>2025</v>
      </c>
      <c r="N408" s="4">
        <v>1</v>
      </c>
      <c r="O408" s="4">
        <v>1</v>
      </c>
    </row>
    <row r="409" spans="1:15">
      <c r="A409" s="4" t="s">
        <v>516</v>
      </c>
      <c r="B409" s="4" t="s">
        <v>528</v>
      </c>
      <c r="C409" s="9" t="s">
        <v>523</v>
      </c>
      <c r="F409" s="13">
        <v>1</v>
      </c>
      <c r="G409" s="21">
        <v>1</v>
      </c>
      <c r="I409" s="4">
        <v>6</v>
      </c>
      <c r="J409" s="4">
        <v>10</v>
      </c>
      <c r="K409" s="4" t="s">
        <v>451</v>
      </c>
      <c r="L409" s="4" t="s">
        <v>13</v>
      </c>
      <c r="M409" s="4">
        <v>2025</v>
      </c>
      <c r="N409" s="4">
        <v>1</v>
      </c>
      <c r="O409" s="4">
        <v>1</v>
      </c>
    </row>
    <row r="410" spans="1:15">
      <c r="A410" s="4" t="s">
        <v>516</v>
      </c>
      <c r="B410" s="4" t="s">
        <v>1197</v>
      </c>
      <c r="C410" s="9" t="s">
        <v>1372</v>
      </c>
      <c r="F410" s="13">
        <v>0</v>
      </c>
      <c r="I410" s="4"/>
      <c r="J410" s="4"/>
      <c r="K410" s="4"/>
      <c r="L410" s="4"/>
      <c r="M410" s="4"/>
      <c r="N410" s="4"/>
      <c r="O410" s="4"/>
    </row>
    <row r="411" spans="1:15">
      <c r="A411" s="4" t="s">
        <v>516</v>
      </c>
      <c r="B411" s="4" t="s">
        <v>1198</v>
      </c>
      <c r="C411" s="9" t="s">
        <v>1373</v>
      </c>
      <c r="F411" s="13">
        <v>0</v>
      </c>
      <c r="I411" s="4"/>
      <c r="J411" s="4"/>
      <c r="K411" s="4"/>
      <c r="L411" s="4"/>
      <c r="M411" s="4"/>
      <c r="N411" s="4"/>
      <c r="O411" s="4"/>
    </row>
    <row r="412" spans="1:15">
      <c r="A412" s="4" t="s">
        <v>516</v>
      </c>
      <c r="B412" s="4" t="s">
        <v>529</v>
      </c>
      <c r="C412" s="9" t="s">
        <v>524</v>
      </c>
      <c r="F412" s="13">
        <v>1</v>
      </c>
      <c r="G412" s="21">
        <v>1</v>
      </c>
      <c r="I412" s="4">
        <v>9</v>
      </c>
      <c r="J412" s="4">
        <v>10</v>
      </c>
      <c r="K412" s="4" t="s">
        <v>451</v>
      </c>
      <c r="L412" s="4" t="s">
        <v>13</v>
      </c>
      <c r="M412" s="4">
        <v>2025</v>
      </c>
      <c r="N412" s="4">
        <v>1</v>
      </c>
      <c r="O412" s="4">
        <v>1</v>
      </c>
    </row>
    <row r="413" spans="1:15">
      <c r="A413" s="4" t="s">
        <v>516</v>
      </c>
      <c r="B413" s="4" t="s">
        <v>1199</v>
      </c>
      <c r="C413" s="9" t="s">
        <v>1374</v>
      </c>
      <c r="F413" s="13">
        <v>0</v>
      </c>
      <c r="I413" s="4"/>
      <c r="J413" s="4"/>
      <c r="K413" s="4"/>
      <c r="L413" s="4"/>
      <c r="M413" s="4"/>
      <c r="N413" s="4"/>
      <c r="O413" s="4"/>
    </row>
    <row r="414" spans="1:15">
      <c r="A414" s="4" t="s">
        <v>531</v>
      </c>
      <c r="B414" s="4" t="s">
        <v>532</v>
      </c>
      <c r="C414" s="9" t="s">
        <v>533</v>
      </c>
      <c r="F414" s="13">
        <v>0</v>
      </c>
      <c r="I414" s="4"/>
      <c r="J414" s="4"/>
      <c r="K414" s="4"/>
      <c r="L414" s="4"/>
      <c r="M414" s="4"/>
      <c r="N414" s="4"/>
      <c r="O414" s="4"/>
    </row>
    <row r="415" spans="1:15">
      <c r="A415" s="4" t="s">
        <v>531</v>
      </c>
      <c r="B415" s="4" t="s">
        <v>534</v>
      </c>
      <c r="C415" s="9" t="s">
        <v>535</v>
      </c>
      <c r="F415" s="13">
        <v>1</v>
      </c>
      <c r="G415" s="21">
        <v>1</v>
      </c>
      <c r="I415" s="4">
        <v>2</v>
      </c>
      <c r="J415" s="4">
        <v>4</v>
      </c>
      <c r="K415" s="4" t="s">
        <v>540</v>
      </c>
      <c r="L415" s="4" t="s">
        <v>13</v>
      </c>
      <c r="M415" s="4">
        <v>2021</v>
      </c>
      <c r="N415" s="4">
        <v>1</v>
      </c>
      <c r="O415" s="4">
        <v>1</v>
      </c>
    </row>
    <row r="416" spans="1:15">
      <c r="A416" s="4" t="s">
        <v>531</v>
      </c>
      <c r="B416" s="4" t="s">
        <v>536</v>
      </c>
      <c r="C416" s="9" t="s">
        <v>537</v>
      </c>
      <c r="F416" s="13">
        <v>1</v>
      </c>
      <c r="G416" s="21">
        <v>0</v>
      </c>
      <c r="I416" s="4">
        <v>3</v>
      </c>
      <c r="J416" s="4">
        <v>4</v>
      </c>
      <c r="K416" s="4" t="s">
        <v>540</v>
      </c>
      <c r="L416" s="4" t="s">
        <v>13</v>
      </c>
      <c r="M416" s="4">
        <v>2021</v>
      </c>
      <c r="N416" s="4">
        <v>1</v>
      </c>
      <c r="O416" s="4">
        <v>1</v>
      </c>
    </row>
    <row r="417" spans="1:15">
      <c r="A417" s="4" t="s">
        <v>531</v>
      </c>
      <c r="B417" s="4" t="s">
        <v>538</v>
      </c>
      <c r="C417" s="9" t="s">
        <v>539</v>
      </c>
      <c r="F417" s="13">
        <v>1</v>
      </c>
      <c r="G417" s="21">
        <v>0</v>
      </c>
      <c r="I417" s="4">
        <v>4</v>
      </c>
      <c r="J417" s="4">
        <v>4</v>
      </c>
      <c r="K417" s="4" t="s">
        <v>540</v>
      </c>
      <c r="L417" s="4" t="s">
        <v>13</v>
      </c>
      <c r="M417" s="4">
        <v>2021</v>
      </c>
      <c r="N417" s="4">
        <v>1</v>
      </c>
      <c r="O417" s="4">
        <v>1</v>
      </c>
    </row>
    <row r="418" spans="1:15">
      <c r="A418" s="4" t="s">
        <v>541</v>
      </c>
      <c r="B418" s="4" t="s">
        <v>549</v>
      </c>
      <c r="C418" s="9" t="s">
        <v>542</v>
      </c>
      <c r="F418" s="13">
        <v>0</v>
      </c>
      <c r="I418" s="4"/>
      <c r="J418" s="4"/>
      <c r="K418" s="4"/>
      <c r="L418" s="4"/>
      <c r="M418" s="4"/>
      <c r="N418" s="4"/>
      <c r="O418" s="4"/>
    </row>
    <row r="419" spans="1:15">
      <c r="A419" s="4" t="s">
        <v>541</v>
      </c>
      <c r="B419" s="4" t="s">
        <v>550</v>
      </c>
      <c r="C419" t="s">
        <v>543</v>
      </c>
      <c r="F419" s="13">
        <v>0</v>
      </c>
      <c r="I419" s="4"/>
      <c r="J419" s="4"/>
      <c r="K419" s="4"/>
      <c r="L419" s="4"/>
      <c r="M419" s="4"/>
      <c r="N419" s="4"/>
      <c r="O419" s="4"/>
    </row>
    <row r="420" spans="1:15">
      <c r="A420" s="4" t="s">
        <v>541</v>
      </c>
      <c r="B420" s="4" t="s">
        <v>551</v>
      </c>
      <c r="C420" s="9" t="s">
        <v>544</v>
      </c>
      <c r="F420" s="13">
        <v>0</v>
      </c>
      <c r="I420" s="4"/>
      <c r="J420" s="4"/>
      <c r="K420" s="4"/>
      <c r="L420" s="4"/>
      <c r="M420" s="4"/>
      <c r="N420" s="4"/>
      <c r="O420" s="4"/>
    </row>
    <row r="421" spans="1:15">
      <c r="A421" s="4" t="s">
        <v>541</v>
      </c>
      <c r="B421" s="4" t="s">
        <v>552</v>
      </c>
      <c r="C421" s="9" t="s">
        <v>545</v>
      </c>
      <c r="F421" s="13">
        <v>0</v>
      </c>
      <c r="I421" s="4"/>
      <c r="J421" s="4"/>
      <c r="K421" s="4"/>
      <c r="L421" s="4"/>
      <c r="M421" s="4"/>
      <c r="N421" s="4"/>
      <c r="O421" s="4"/>
    </row>
    <row r="422" spans="1:15">
      <c r="A422" s="4" t="s">
        <v>541</v>
      </c>
      <c r="B422" s="4" t="s">
        <v>553</v>
      </c>
      <c r="C422" s="9" t="s">
        <v>546</v>
      </c>
      <c r="F422" s="13">
        <v>1</v>
      </c>
      <c r="G422" s="21">
        <v>0</v>
      </c>
      <c r="I422" s="4">
        <v>5</v>
      </c>
      <c r="J422" s="4">
        <v>7</v>
      </c>
      <c r="K422" s="4" t="s">
        <v>540</v>
      </c>
      <c r="L422" s="4" t="s">
        <v>13</v>
      </c>
      <c r="M422" s="4">
        <v>2022</v>
      </c>
      <c r="N422" s="4">
        <v>1</v>
      </c>
      <c r="O422" s="4">
        <v>1</v>
      </c>
    </row>
    <row r="423" spans="1:15">
      <c r="A423" s="4" t="s">
        <v>541</v>
      </c>
      <c r="B423" s="4" t="s">
        <v>554</v>
      </c>
      <c r="C423" t="s">
        <v>547</v>
      </c>
      <c r="F423" s="13">
        <v>0</v>
      </c>
      <c r="I423" s="4"/>
      <c r="J423" s="4"/>
      <c r="K423" s="4"/>
      <c r="L423" s="4"/>
      <c r="M423" s="4"/>
      <c r="N423" s="4"/>
      <c r="O423" s="4"/>
    </row>
    <row r="424" spans="1:15">
      <c r="A424" s="4" t="s">
        <v>541</v>
      </c>
      <c r="B424" s="4" t="s">
        <v>557</v>
      </c>
      <c r="C424" s="9" t="s">
        <v>548</v>
      </c>
      <c r="F424" s="13">
        <v>0</v>
      </c>
      <c r="I424" s="4"/>
      <c r="J424" s="4"/>
      <c r="K424" s="4"/>
      <c r="L424" s="4"/>
      <c r="M424" s="4"/>
      <c r="N424" s="4"/>
      <c r="O424" s="4"/>
    </row>
    <row r="425" spans="1:15">
      <c r="A425" s="4" t="s">
        <v>556</v>
      </c>
      <c r="B425" s="4" t="s">
        <v>555</v>
      </c>
      <c r="C425" s="9" t="s">
        <v>558</v>
      </c>
      <c r="F425" s="13">
        <v>0</v>
      </c>
      <c r="I425" s="4"/>
      <c r="J425" s="4"/>
      <c r="K425" s="4"/>
      <c r="L425" s="4"/>
      <c r="M425" s="4"/>
      <c r="N425" s="4"/>
      <c r="O425" s="4"/>
    </row>
    <row r="426" spans="1:15">
      <c r="A426" s="4" t="s">
        <v>556</v>
      </c>
      <c r="B426" s="4" t="s">
        <v>563</v>
      </c>
      <c r="C426" t="s">
        <v>559</v>
      </c>
      <c r="F426" s="13">
        <v>1</v>
      </c>
      <c r="G426" s="21">
        <v>1</v>
      </c>
      <c r="I426" s="4">
        <v>2</v>
      </c>
      <c r="J426" s="4">
        <v>5</v>
      </c>
      <c r="K426" s="4" t="s">
        <v>540</v>
      </c>
      <c r="L426" s="4" t="s">
        <v>13</v>
      </c>
      <c r="M426" s="4">
        <v>2023</v>
      </c>
      <c r="N426" s="4">
        <v>1</v>
      </c>
      <c r="O426" s="4">
        <v>1</v>
      </c>
    </row>
    <row r="427" spans="1:15">
      <c r="A427" s="4" t="s">
        <v>556</v>
      </c>
      <c r="B427" s="4" t="s">
        <v>564</v>
      </c>
      <c r="C427" s="9" t="s">
        <v>560</v>
      </c>
      <c r="F427" s="13">
        <v>1</v>
      </c>
      <c r="G427" s="21">
        <v>0</v>
      </c>
      <c r="I427" s="4">
        <v>3</v>
      </c>
      <c r="J427" s="4">
        <v>5</v>
      </c>
      <c r="K427" s="4" t="s">
        <v>540</v>
      </c>
      <c r="L427" s="4" t="s">
        <v>13</v>
      </c>
      <c r="M427" s="4">
        <v>2023</v>
      </c>
      <c r="N427" s="4">
        <v>1</v>
      </c>
      <c r="O427" s="4">
        <v>1</v>
      </c>
    </row>
    <row r="428" spans="1:15">
      <c r="A428" s="4" t="s">
        <v>556</v>
      </c>
      <c r="B428" s="4" t="s">
        <v>565</v>
      </c>
      <c r="C428" s="9" t="s">
        <v>561</v>
      </c>
      <c r="F428" s="13">
        <v>1</v>
      </c>
      <c r="G428" s="21">
        <v>0</v>
      </c>
      <c r="I428" s="4">
        <v>4</v>
      </c>
      <c r="J428" s="4">
        <v>5</v>
      </c>
      <c r="K428" s="4" t="s">
        <v>540</v>
      </c>
      <c r="L428" s="4" t="s">
        <v>13</v>
      </c>
      <c r="M428" s="4">
        <v>2023</v>
      </c>
      <c r="N428" s="4">
        <v>1</v>
      </c>
      <c r="O428" s="4">
        <v>1</v>
      </c>
    </row>
    <row r="429" spans="1:15">
      <c r="A429" s="4" t="s">
        <v>556</v>
      </c>
      <c r="B429" s="4" t="s">
        <v>566</v>
      </c>
      <c r="C429" s="9" t="s">
        <v>562</v>
      </c>
      <c r="F429" s="13">
        <v>0</v>
      </c>
      <c r="I429" s="4"/>
      <c r="J429" s="4"/>
      <c r="K429" s="4"/>
      <c r="L429" s="4"/>
      <c r="M429" s="4"/>
      <c r="N429" s="4"/>
      <c r="O429" s="4"/>
    </row>
    <row r="430" spans="1:15">
      <c r="A430" s="4" t="s">
        <v>568</v>
      </c>
      <c r="B430" s="4" t="s">
        <v>567</v>
      </c>
      <c r="C430" s="9" t="s">
        <v>569</v>
      </c>
      <c r="F430" s="13">
        <v>1</v>
      </c>
      <c r="G430" s="21">
        <v>1</v>
      </c>
      <c r="I430" s="4">
        <v>1</v>
      </c>
      <c r="J430" s="4">
        <v>5</v>
      </c>
      <c r="K430" s="4" t="s">
        <v>540</v>
      </c>
      <c r="L430" s="4" t="s">
        <v>13</v>
      </c>
      <c r="M430" s="4">
        <v>2024</v>
      </c>
      <c r="N430" s="4">
        <v>1</v>
      </c>
      <c r="O430" s="4">
        <v>1</v>
      </c>
    </row>
    <row r="431" spans="1:15">
      <c r="A431" s="4" t="s">
        <v>568</v>
      </c>
      <c r="B431" s="4" t="s">
        <v>570</v>
      </c>
      <c r="C431" s="9" t="s">
        <v>571</v>
      </c>
      <c r="F431" s="13">
        <v>1</v>
      </c>
      <c r="G431" s="21">
        <v>1</v>
      </c>
      <c r="I431" s="4">
        <v>2</v>
      </c>
      <c r="J431" s="4">
        <v>5</v>
      </c>
      <c r="K431" s="4" t="s">
        <v>540</v>
      </c>
      <c r="L431" s="4" t="s">
        <v>13</v>
      </c>
      <c r="M431" s="4">
        <v>2024</v>
      </c>
      <c r="N431" s="4">
        <v>1</v>
      </c>
      <c r="O431" s="4">
        <v>1</v>
      </c>
    </row>
    <row r="432" spans="1:15">
      <c r="A432" s="4" t="s">
        <v>568</v>
      </c>
      <c r="B432" s="4" t="s">
        <v>575</v>
      </c>
      <c r="C432" s="9" t="s">
        <v>572</v>
      </c>
      <c r="F432" s="13">
        <v>1</v>
      </c>
      <c r="G432" s="21">
        <v>1</v>
      </c>
      <c r="I432" s="4">
        <v>3</v>
      </c>
      <c r="J432" s="4">
        <v>5</v>
      </c>
      <c r="K432" s="4" t="s">
        <v>540</v>
      </c>
      <c r="L432" s="4" t="s">
        <v>13</v>
      </c>
      <c r="M432" s="4">
        <v>2024</v>
      </c>
      <c r="N432" s="4">
        <v>1</v>
      </c>
      <c r="O432" s="4">
        <v>1</v>
      </c>
    </row>
    <row r="433" spans="1:15">
      <c r="A433" s="4" t="s">
        <v>568</v>
      </c>
      <c r="B433" s="4" t="s">
        <v>576</v>
      </c>
      <c r="C433" s="9" t="s">
        <v>573</v>
      </c>
      <c r="F433" s="13">
        <v>1</v>
      </c>
      <c r="G433" s="21">
        <v>0</v>
      </c>
      <c r="I433" s="4">
        <v>4</v>
      </c>
      <c r="J433" s="4">
        <v>5</v>
      </c>
      <c r="K433" s="4" t="s">
        <v>540</v>
      </c>
      <c r="L433" s="4" t="s">
        <v>13</v>
      </c>
      <c r="M433" s="4">
        <v>2024</v>
      </c>
      <c r="N433" s="4">
        <v>1</v>
      </c>
      <c r="O433" s="4">
        <v>1</v>
      </c>
    </row>
    <row r="434" spans="1:15">
      <c r="A434" s="4" t="s">
        <v>568</v>
      </c>
      <c r="B434" s="4" t="s">
        <v>577</v>
      </c>
      <c r="C434" s="9" t="s">
        <v>574</v>
      </c>
      <c r="F434" s="13">
        <v>1</v>
      </c>
      <c r="G434" s="21">
        <v>0</v>
      </c>
      <c r="I434" s="4">
        <v>5</v>
      </c>
      <c r="J434" s="4">
        <v>5</v>
      </c>
      <c r="K434" s="4" t="s">
        <v>540</v>
      </c>
      <c r="L434" s="4" t="s">
        <v>13</v>
      </c>
      <c r="M434" s="4">
        <v>2024</v>
      </c>
      <c r="N434" s="4">
        <v>1</v>
      </c>
      <c r="O434" s="4">
        <v>1</v>
      </c>
    </row>
    <row r="435" spans="1:15">
      <c r="A435" s="4" t="s">
        <v>579</v>
      </c>
      <c r="B435" s="4" t="s">
        <v>578</v>
      </c>
      <c r="C435" s="9" t="s">
        <v>580</v>
      </c>
      <c r="F435" s="13">
        <v>1</v>
      </c>
      <c r="G435" s="21">
        <v>1</v>
      </c>
      <c r="I435" s="4">
        <v>1</v>
      </c>
      <c r="J435" s="4">
        <v>8</v>
      </c>
      <c r="K435" s="4" t="s">
        <v>540</v>
      </c>
      <c r="L435" s="4" t="s">
        <v>13</v>
      </c>
      <c r="M435" s="4">
        <v>2025</v>
      </c>
      <c r="N435" s="4">
        <v>1</v>
      </c>
      <c r="O435" s="4">
        <v>1</v>
      </c>
    </row>
    <row r="436" spans="1:15">
      <c r="A436" s="4" t="s">
        <v>579</v>
      </c>
      <c r="B436" s="4" t="s">
        <v>581</v>
      </c>
      <c r="C436" s="9" t="s">
        <v>582</v>
      </c>
      <c r="F436" s="13">
        <v>1</v>
      </c>
      <c r="G436" s="21">
        <v>1</v>
      </c>
      <c r="I436" s="4">
        <v>2</v>
      </c>
      <c r="J436" s="4">
        <v>8</v>
      </c>
      <c r="K436" s="4" t="s">
        <v>540</v>
      </c>
      <c r="L436" s="4" t="s">
        <v>13</v>
      </c>
      <c r="M436" s="4">
        <v>2025</v>
      </c>
      <c r="N436" s="4">
        <v>1</v>
      </c>
      <c r="O436" s="4">
        <v>1</v>
      </c>
    </row>
    <row r="437" spans="1:15">
      <c r="A437" s="4" t="s">
        <v>579</v>
      </c>
      <c r="B437" s="4" t="s">
        <v>589</v>
      </c>
      <c r="C437" s="9" t="s">
        <v>583</v>
      </c>
      <c r="F437" s="13">
        <v>1</v>
      </c>
      <c r="G437" s="21">
        <v>1</v>
      </c>
      <c r="I437" s="4">
        <v>3</v>
      </c>
      <c r="J437" s="4">
        <v>8</v>
      </c>
      <c r="K437" s="4" t="s">
        <v>540</v>
      </c>
      <c r="L437" s="4" t="s">
        <v>13</v>
      </c>
      <c r="M437" s="4">
        <v>2025</v>
      </c>
      <c r="N437" s="4">
        <v>1</v>
      </c>
      <c r="O437" s="4">
        <v>1</v>
      </c>
    </row>
    <row r="438" spans="1:15">
      <c r="A438" s="4" t="s">
        <v>579</v>
      </c>
      <c r="B438" s="4" t="s">
        <v>590</v>
      </c>
      <c r="C438" s="9" t="s">
        <v>584</v>
      </c>
      <c r="F438" s="13">
        <v>1</v>
      </c>
      <c r="G438" s="21">
        <v>1</v>
      </c>
      <c r="I438" s="4">
        <v>4</v>
      </c>
      <c r="J438" s="4">
        <v>8</v>
      </c>
      <c r="K438" s="4" t="s">
        <v>540</v>
      </c>
      <c r="L438" s="4" t="s">
        <v>13</v>
      </c>
      <c r="M438" s="4">
        <v>2025</v>
      </c>
      <c r="N438" s="4">
        <v>1</v>
      </c>
      <c r="O438" s="4">
        <v>1</v>
      </c>
    </row>
    <row r="439" spans="1:15">
      <c r="A439" s="4" t="s">
        <v>579</v>
      </c>
      <c r="B439" s="4" t="s">
        <v>591</v>
      </c>
      <c r="C439" s="9" t="s">
        <v>585</v>
      </c>
      <c r="F439" s="13">
        <v>1</v>
      </c>
      <c r="G439" s="21">
        <v>1</v>
      </c>
      <c r="I439" s="4">
        <v>5</v>
      </c>
      <c r="J439" s="4">
        <v>8</v>
      </c>
      <c r="K439" s="4" t="s">
        <v>540</v>
      </c>
      <c r="L439" s="4" t="s">
        <v>13</v>
      </c>
      <c r="M439" s="4">
        <v>2025</v>
      </c>
      <c r="N439" s="4">
        <v>1</v>
      </c>
      <c r="O439" s="4">
        <v>1</v>
      </c>
    </row>
    <row r="440" spans="1:15">
      <c r="A440" s="4" t="s">
        <v>579</v>
      </c>
      <c r="B440" s="4" t="s">
        <v>592</v>
      </c>
      <c r="C440" s="9" t="s">
        <v>586</v>
      </c>
      <c r="F440" s="13">
        <v>1</v>
      </c>
      <c r="G440" s="21">
        <v>0</v>
      </c>
      <c r="I440" s="4">
        <v>6</v>
      </c>
      <c r="J440" s="4">
        <v>8</v>
      </c>
      <c r="K440" s="4" t="s">
        <v>540</v>
      </c>
      <c r="L440" s="4" t="s">
        <v>13</v>
      </c>
      <c r="M440" s="4">
        <v>2025</v>
      </c>
      <c r="N440" s="4">
        <v>1</v>
      </c>
      <c r="O440" s="4">
        <v>1</v>
      </c>
    </row>
    <row r="441" spans="1:15">
      <c r="A441" s="4" t="s">
        <v>579</v>
      </c>
      <c r="B441" s="4" t="s">
        <v>593</v>
      </c>
      <c r="C441" s="9" t="s">
        <v>587</v>
      </c>
      <c r="F441" s="13">
        <v>0</v>
      </c>
      <c r="I441" s="4"/>
      <c r="J441" s="4"/>
      <c r="K441" s="4"/>
      <c r="L441" s="4"/>
      <c r="M441" s="4"/>
      <c r="N441" s="4"/>
      <c r="O441" s="4"/>
    </row>
    <row r="442" spans="1:15">
      <c r="A442" s="4" t="s">
        <v>579</v>
      </c>
      <c r="B442" s="4" t="s">
        <v>594</v>
      </c>
      <c r="C442" s="9" t="s">
        <v>588</v>
      </c>
      <c r="F442" s="13">
        <v>0</v>
      </c>
      <c r="I442" s="4"/>
      <c r="J442" s="4"/>
      <c r="K442" s="4"/>
      <c r="L442" s="4"/>
      <c r="M442" s="4"/>
      <c r="N442" s="4"/>
      <c r="O442" s="4"/>
    </row>
    <row r="443" spans="1:15">
      <c r="A443" s="4" t="s">
        <v>595</v>
      </c>
      <c r="B443" s="4" t="s">
        <v>596</v>
      </c>
      <c r="C443" s="10" t="s">
        <v>597</v>
      </c>
      <c r="F443" s="13">
        <v>1</v>
      </c>
      <c r="G443" s="21">
        <v>1</v>
      </c>
      <c r="I443" s="4">
        <v>1</v>
      </c>
      <c r="J443" s="4">
        <v>10</v>
      </c>
      <c r="K443" s="4" t="s">
        <v>616</v>
      </c>
      <c r="L443" s="4" t="s">
        <v>13</v>
      </c>
      <c r="M443" s="4">
        <v>2025</v>
      </c>
      <c r="N443" s="4">
        <v>1</v>
      </c>
      <c r="O443" s="4">
        <v>1</v>
      </c>
    </row>
    <row r="444" spans="1:15">
      <c r="A444" s="4" t="s">
        <v>595</v>
      </c>
      <c r="B444" s="4" t="s">
        <v>598</v>
      </c>
      <c r="C444" s="9" t="s">
        <v>599</v>
      </c>
      <c r="F444" s="13">
        <v>1</v>
      </c>
      <c r="G444" s="21">
        <v>0</v>
      </c>
      <c r="I444" s="4">
        <v>2</v>
      </c>
      <c r="J444" s="4">
        <v>10</v>
      </c>
      <c r="K444" s="4" t="s">
        <v>616</v>
      </c>
      <c r="L444" s="4" t="s">
        <v>13</v>
      </c>
      <c r="M444" s="4">
        <v>2025</v>
      </c>
      <c r="N444" s="4">
        <v>1</v>
      </c>
      <c r="O444" s="4">
        <v>1</v>
      </c>
    </row>
    <row r="445" spans="1:15">
      <c r="A445" s="4" t="s">
        <v>595</v>
      </c>
      <c r="B445" s="4" t="s">
        <v>600</v>
      </c>
      <c r="C445" s="9" t="s">
        <v>601</v>
      </c>
      <c r="F445" s="13">
        <v>0</v>
      </c>
      <c r="I445" s="4"/>
      <c r="J445" s="4"/>
      <c r="K445" s="4"/>
      <c r="L445" s="4"/>
      <c r="M445" s="4"/>
      <c r="N445" s="4"/>
      <c r="O445" s="4"/>
    </row>
    <row r="446" spans="1:15">
      <c r="A446" s="4" t="s">
        <v>595</v>
      </c>
      <c r="B446" s="4" t="s">
        <v>602</v>
      </c>
      <c r="C446" s="9" t="s">
        <v>603</v>
      </c>
      <c r="F446" s="13">
        <v>1</v>
      </c>
      <c r="G446" s="21">
        <v>1</v>
      </c>
      <c r="I446" s="4">
        <v>4</v>
      </c>
      <c r="J446" s="4">
        <v>10</v>
      </c>
      <c r="K446" s="4" t="s">
        <v>616</v>
      </c>
      <c r="L446" s="4" t="s">
        <v>13</v>
      </c>
      <c r="M446" s="4">
        <v>2025</v>
      </c>
      <c r="N446" s="4">
        <v>1</v>
      </c>
      <c r="O446" s="4">
        <v>1</v>
      </c>
    </row>
    <row r="447" spans="1:15">
      <c r="A447" s="4" t="s">
        <v>595</v>
      </c>
      <c r="B447" s="4" t="s">
        <v>604</v>
      </c>
      <c r="C447" s="9" t="s">
        <v>605</v>
      </c>
      <c r="F447" s="13">
        <v>1</v>
      </c>
      <c r="G447" s="21">
        <v>1</v>
      </c>
      <c r="I447" s="4">
        <v>5</v>
      </c>
      <c r="J447" s="4">
        <v>10</v>
      </c>
      <c r="K447" s="4" t="s">
        <v>616</v>
      </c>
      <c r="L447" s="4" t="s">
        <v>13</v>
      </c>
      <c r="M447" s="4">
        <v>2025</v>
      </c>
      <c r="N447" s="4">
        <v>1</v>
      </c>
      <c r="O447" s="4">
        <v>1</v>
      </c>
    </row>
    <row r="448" spans="1:15">
      <c r="A448" s="4" t="s">
        <v>595</v>
      </c>
      <c r="B448" s="4" t="s">
        <v>606</v>
      </c>
      <c r="C448" s="9" t="s">
        <v>607</v>
      </c>
      <c r="F448" s="13">
        <v>0</v>
      </c>
      <c r="I448" s="4"/>
      <c r="J448" s="4"/>
      <c r="K448" s="4"/>
      <c r="L448" s="4"/>
      <c r="M448" s="4"/>
      <c r="N448" s="4"/>
      <c r="O448" s="4"/>
    </row>
    <row r="449" spans="1:15">
      <c r="A449" s="4" t="s">
        <v>595</v>
      </c>
      <c r="B449" s="4" t="s">
        <v>608</v>
      </c>
      <c r="C449" s="9" t="s">
        <v>609</v>
      </c>
      <c r="F449" s="13">
        <v>0</v>
      </c>
      <c r="I449" s="4"/>
      <c r="J449" s="4"/>
      <c r="K449" s="4"/>
      <c r="L449" s="4"/>
      <c r="M449" s="4"/>
      <c r="N449" s="4"/>
      <c r="O449" s="4"/>
    </row>
    <row r="450" spans="1:15">
      <c r="A450" s="4" t="s">
        <v>595</v>
      </c>
      <c r="B450" s="4" t="s">
        <v>610</v>
      </c>
      <c r="C450" s="9" t="s">
        <v>611</v>
      </c>
      <c r="F450" s="13">
        <v>0</v>
      </c>
      <c r="I450" s="4"/>
      <c r="J450" s="4"/>
      <c r="K450" s="4"/>
      <c r="L450" s="4"/>
      <c r="M450" s="4"/>
      <c r="N450" s="4"/>
      <c r="O450" s="4"/>
    </row>
    <row r="451" spans="1:15">
      <c r="A451" s="4" t="s">
        <v>595</v>
      </c>
      <c r="B451" s="4" t="s">
        <v>612</v>
      </c>
      <c r="C451" s="9" t="s">
        <v>613</v>
      </c>
      <c r="F451" s="13">
        <v>0</v>
      </c>
      <c r="I451" s="4"/>
      <c r="J451" s="4"/>
      <c r="K451" s="4"/>
      <c r="L451" s="4"/>
      <c r="M451" s="4"/>
      <c r="N451" s="4"/>
      <c r="O451" s="4"/>
    </row>
    <row r="452" spans="1:15">
      <c r="A452" s="4" t="s">
        <v>595</v>
      </c>
      <c r="B452" s="4" t="s">
        <v>614</v>
      </c>
      <c r="C452" s="9" t="s">
        <v>615</v>
      </c>
      <c r="F452" s="13">
        <v>0</v>
      </c>
      <c r="I452" s="4"/>
      <c r="J452" s="4"/>
      <c r="K452" s="4"/>
      <c r="L452" s="4"/>
      <c r="M452" s="4"/>
      <c r="N452" s="4"/>
      <c r="O452" s="4"/>
    </row>
    <row r="453" spans="1:15">
      <c r="A453" s="4" t="s">
        <v>618</v>
      </c>
      <c r="B453" s="4" t="s">
        <v>617</v>
      </c>
      <c r="C453" s="9" t="s">
        <v>619</v>
      </c>
      <c r="F453" s="13">
        <v>1</v>
      </c>
      <c r="G453" s="21">
        <v>1</v>
      </c>
      <c r="I453" s="4">
        <v>1</v>
      </c>
      <c r="J453" s="4">
        <v>11</v>
      </c>
      <c r="K453" s="4" t="s">
        <v>616</v>
      </c>
      <c r="L453" s="4" t="s">
        <v>13</v>
      </c>
      <c r="M453" s="4">
        <v>2024</v>
      </c>
      <c r="N453" s="4">
        <v>1</v>
      </c>
      <c r="O453" s="4">
        <v>1</v>
      </c>
    </row>
    <row r="454" spans="1:15">
      <c r="A454" s="4" t="s">
        <v>618</v>
      </c>
      <c r="B454" s="4" t="s">
        <v>629</v>
      </c>
      <c r="C454" s="9" t="s">
        <v>599</v>
      </c>
      <c r="F454" s="13">
        <v>1</v>
      </c>
      <c r="G454" s="21">
        <v>0</v>
      </c>
      <c r="I454" s="4">
        <v>2</v>
      </c>
      <c r="J454" s="4">
        <v>11</v>
      </c>
      <c r="K454" s="4" t="s">
        <v>616</v>
      </c>
      <c r="L454" s="4" t="s">
        <v>13</v>
      </c>
      <c r="M454" s="4">
        <v>2024</v>
      </c>
      <c r="N454" s="4">
        <v>1</v>
      </c>
      <c r="O454" s="4">
        <v>1</v>
      </c>
    </row>
    <row r="455" spans="1:15" ht="18">
      <c r="A455" s="4" t="s">
        <v>618</v>
      </c>
      <c r="B455" s="4" t="s">
        <v>630</v>
      </c>
      <c r="C455" s="24" t="s">
        <v>620</v>
      </c>
      <c r="F455" s="13">
        <v>1</v>
      </c>
      <c r="G455" s="21">
        <v>1</v>
      </c>
      <c r="I455" s="4">
        <v>3</v>
      </c>
      <c r="J455" s="4">
        <v>11</v>
      </c>
      <c r="K455" s="4" t="s">
        <v>616</v>
      </c>
      <c r="L455" s="4" t="s">
        <v>13</v>
      </c>
      <c r="M455" s="4">
        <v>2024</v>
      </c>
      <c r="N455" s="4">
        <v>1</v>
      </c>
      <c r="O455" s="4">
        <v>1</v>
      </c>
    </row>
    <row r="456" spans="1:15">
      <c r="A456" s="4" t="s">
        <v>618</v>
      </c>
      <c r="B456" s="4" t="s">
        <v>631</v>
      </c>
      <c r="C456" s="9" t="s">
        <v>621</v>
      </c>
      <c r="F456" s="13">
        <v>1</v>
      </c>
      <c r="G456" s="21">
        <v>1</v>
      </c>
      <c r="I456" s="4">
        <v>4</v>
      </c>
      <c r="J456" s="4">
        <v>11</v>
      </c>
      <c r="K456" s="4" t="s">
        <v>616</v>
      </c>
      <c r="L456" s="4" t="s">
        <v>13</v>
      </c>
      <c r="M456" s="4">
        <v>2024</v>
      </c>
      <c r="N456" s="4">
        <v>1</v>
      </c>
      <c r="O456" s="4">
        <v>1</v>
      </c>
    </row>
    <row r="457" spans="1:15">
      <c r="A457" s="4" t="s">
        <v>618</v>
      </c>
      <c r="B457" s="4" t="s">
        <v>632</v>
      </c>
      <c r="C457" s="9" t="s">
        <v>622</v>
      </c>
      <c r="F457" s="13">
        <v>1</v>
      </c>
      <c r="G457" s="21">
        <v>0</v>
      </c>
      <c r="I457" s="4">
        <v>5</v>
      </c>
      <c r="J457" s="4">
        <v>11</v>
      </c>
      <c r="K457" s="4" t="s">
        <v>616</v>
      </c>
      <c r="L457" s="4" t="s">
        <v>13</v>
      </c>
      <c r="M457" s="4">
        <v>2024</v>
      </c>
      <c r="N457" s="4">
        <v>1</v>
      </c>
      <c r="O457" s="4">
        <v>1</v>
      </c>
    </row>
    <row r="458" spans="1:15">
      <c r="A458" s="4" t="s">
        <v>618</v>
      </c>
      <c r="B458" s="4" t="s">
        <v>633</v>
      </c>
      <c r="C458" s="9" t="s">
        <v>623</v>
      </c>
      <c r="F458" s="13">
        <v>1</v>
      </c>
      <c r="G458" s="21">
        <v>1</v>
      </c>
      <c r="I458" s="4">
        <v>6</v>
      </c>
      <c r="J458" s="4">
        <v>11</v>
      </c>
      <c r="K458" s="4" t="s">
        <v>616</v>
      </c>
      <c r="L458" s="4" t="s">
        <v>13</v>
      </c>
      <c r="M458" s="4">
        <v>2024</v>
      </c>
      <c r="N458" s="4">
        <v>1</v>
      </c>
      <c r="O458" s="4">
        <v>1</v>
      </c>
    </row>
    <row r="459" spans="1:15">
      <c r="A459" s="4" t="s">
        <v>618</v>
      </c>
      <c r="B459" s="4" t="s">
        <v>634</v>
      </c>
      <c r="C459" s="9" t="s">
        <v>624</v>
      </c>
      <c r="F459" s="13">
        <v>0</v>
      </c>
      <c r="I459" s="4"/>
      <c r="J459" s="4"/>
      <c r="K459" s="4"/>
      <c r="L459" s="4"/>
      <c r="M459" s="4"/>
      <c r="N459" s="4"/>
      <c r="O459" s="4"/>
    </row>
    <row r="460" spans="1:15">
      <c r="A460" s="4" t="s">
        <v>618</v>
      </c>
      <c r="B460" s="4" t="s">
        <v>635</v>
      </c>
      <c r="C460" s="9" t="s">
        <v>625</v>
      </c>
      <c r="F460" s="13">
        <v>0</v>
      </c>
      <c r="I460" s="4"/>
      <c r="J460" s="4"/>
      <c r="K460" s="4"/>
      <c r="L460" s="4"/>
      <c r="M460" s="4"/>
      <c r="N460" s="4"/>
      <c r="O460" s="4"/>
    </row>
    <row r="461" spans="1:15">
      <c r="A461" s="4" t="s">
        <v>618</v>
      </c>
      <c r="B461" s="4" t="s">
        <v>636</v>
      </c>
      <c r="C461" s="9" t="s">
        <v>626</v>
      </c>
      <c r="F461" s="13">
        <v>0</v>
      </c>
      <c r="I461" s="4"/>
      <c r="J461" s="4"/>
      <c r="K461" s="4"/>
      <c r="L461" s="4"/>
      <c r="M461" s="4"/>
      <c r="N461" s="4"/>
      <c r="O461" s="4"/>
    </row>
    <row r="462" spans="1:15">
      <c r="A462" s="4" t="s">
        <v>618</v>
      </c>
      <c r="B462" s="4" t="s">
        <v>637</v>
      </c>
      <c r="C462" s="9" t="s">
        <v>627</v>
      </c>
      <c r="F462" s="13">
        <v>0</v>
      </c>
      <c r="I462" s="4"/>
      <c r="J462" s="4"/>
      <c r="K462" s="4"/>
      <c r="L462" s="4"/>
      <c r="M462" s="4"/>
      <c r="N462" s="4"/>
      <c r="O462" s="4"/>
    </row>
    <row r="463" spans="1:15">
      <c r="A463" s="4" t="s">
        <v>618</v>
      </c>
      <c r="B463" s="4" t="s">
        <v>638</v>
      </c>
      <c r="C463" s="9" t="s">
        <v>628</v>
      </c>
      <c r="F463" s="13">
        <v>0</v>
      </c>
      <c r="I463" s="4"/>
      <c r="J463" s="4"/>
      <c r="K463" s="4"/>
      <c r="L463" s="4"/>
      <c r="M463" s="4"/>
      <c r="N463" s="4"/>
      <c r="O463" s="4"/>
    </row>
    <row r="464" spans="1:15">
      <c r="A464" s="4" t="s">
        <v>640</v>
      </c>
      <c r="B464" s="4" t="s">
        <v>639</v>
      </c>
      <c r="C464" s="9" t="s">
        <v>641</v>
      </c>
      <c r="F464" s="13">
        <v>1</v>
      </c>
      <c r="G464" s="21">
        <v>0</v>
      </c>
      <c r="I464" s="4">
        <v>1</v>
      </c>
      <c r="J464" s="4">
        <v>13</v>
      </c>
      <c r="K464" s="4" t="s">
        <v>616</v>
      </c>
      <c r="L464" s="4" t="s">
        <v>13</v>
      </c>
      <c r="M464" s="4">
        <v>2023</v>
      </c>
      <c r="N464" s="4">
        <v>1</v>
      </c>
      <c r="O464" s="4">
        <v>1</v>
      </c>
    </row>
    <row r="465" spans="1:15">
      <c r="A465" s="4" t="s">
        <v>640</v>
      </c>
      <c r="B465" s="4" t="s">
        <v>643</v>
      </c>
      <c r="C465" s="9" t="s">
        <v>642</v>
      </c>
      <c r="F465" s="13">
        <v>1</v>
      </c>
      <c r="G465" s="21">
        <v>0</v>
      </c>
      <c r="I465" s="4">
        <v>2</v>
      </c>
      <c r="J465" s="4">
        <v>13</v>
      </c>
      <c r="K465" s="4" t="s">
        <v>616</v>
      </c>
      <c r="L465" s="4" t="s">
        <v>13</v>
      </c>
      <c r="M465" s="4">
        <v>2023</v>
      </c>
      <c r="N465" s="4">
        <v>1</v>
      </c>
      <c r="O465" s="4">
        <v>1</v>
      </c>
    </row>
    <row r="466" spans="1:15">
      <c r="A466" s="4" t="s">
        <v>640</v>
      </c>
      <c r="B466" s="4" t="s">
        <v>646</v>
      </c>
      <c r="C466" s="22" t="s">
        <v>644</v>
      </c>
      <c r="F466" s="13">
        <v>0</v>
      </c>
      <c r="I466" s="4"/>
      <c r="J466" s="4"/>
      <c r="K466" s="4"/>
      <c r="L466" s="4"/>
      <c r="M466" s="4"/>
      <c r="N466" s="4"/>
      <c r="O466" s="4"/>
    </row>
    <row r="467" spans="1:15">
      <c r="A467" s="4" t="s">
        <v>640</v>
      </c>
      <c r="B467" s="4" t="s">
        <v>647</v>
      </c>
      <c r="C467" s="9" t="s">
        <v>645</v>
      </c>
      <c r="F467" s="13">
        <v>0</v>
      </c>
      <c r="I467" s="4"/>
      <c r="J467" s="4"/>
      <c r="K467" s="4"/>
      <c r="L467" s="4"/>
      <c r="M467" s="4"/>
      <c r="N467" s="4"/>
      <c r="O467" s="4"/>
    </row>
    <row r="468" spans="1:15">
      <c r="A468" s="4" t="s">
        <v>640</v>
      </c>
      <c r="B468" s="4" t="s">
        <v>657</v>
      </c>
      <c r="C468" s="9" t="s">
        <v>648</v>
      </c>
      <c r="F468" s="13">
        <v>1</v>
      </c>
      <c r="G468" s="21">
        <v>0</v>
      </c>
      <c r="I468" s="4">
        <v>5</v>
      </c>
      <c r="J468" s="4">
        <v>13</v>
      </c>
      <c r="K468" s="4" t="s">
        <v>616</v>
      </c>
      <c r="L468" s="4" t="s">
        <v>13</v>
      </c>
      <c r="M468" s="4">
        <v>2023</v>
      </c>
      <c r="N468" s="4">
        <v>1</v>
      </c>
      <c r="O468" s="4">
        <v>1</v>
      </c>
    </row>
    <row r="469" spans="1:15">
      <c r="A469" s="4" t="s">
        <v>640</v>
      </c>
      <c r="B469" s="4" t="s">
        <v>658</v>
      </c>
      <c r="C469" s="9" t="s">
        <v>649</v>
      </c>
      <c r="F469" s="13">
        <v>1</v>
      </c>
      <c r="G469" s="21">
        <v>1</v>
      </c>
      <c r="I469" s="4">
        <v>6</v>
      </c>
      <c r="J469" s="4">
        <v>13</v>
      </c>
      <c r="K469" s="4" t="s">
        <v>616</v>
      </c>
      <c r="L469" s="4" t="s">
        <v>13</v>
      </c>
      <c r="M469" s="4">
        <v>2023</v>
      </c>
      <c r="N469" s="4">
        <v>1</v>
      </c>
      <c r="O469" s="4">
        <v>1</v>
      </c>
    </row>
    <row r="470" spans="1:15">
      <c r="A470" s="4" t="s">
        <v>640</v>
      </c>
      <c r="B470" s="4" t="s">
        <v>659</v>
      </c>
      <c r="C470" s="9" t="s">
        <v>650</v>
      </c>
      <c r="F470" s="13">
        <v>0</v>
      </c>
      <c r="I470" s="4"/>
      <c r="J470" s="4"/>
      <c r="K470" s="4"/>
      <c r="L470" s="4"/>
      <c r="M470" s="4"/>
      <c r="N470" s="4"/>
      <c r="O470" s="4"/>
    </row>
    <row r="471" spans="1:15">
      <c r="A471" s="4" t="s">
        <v>640</v>
      </c>
      <c r="B471" s="4" t="s">
        <v>660</v>
      </c>
      <c r="C471" s="9" t="s">
        <v>651</v>
      </c>
      <c r="F471" s="13">
        <v>1</v>
      </c>
      <c r="G471" s="21">
        <v>0</v>
      </c>
      <c r="I471" s="4">
        <v>8</v>
      </c>
      <c r="J471" s="4">
        <v>13</v>
      </c>
      <c r="K471" s="4" t="s">
        <v>616</v>
      </c>
      <c r="L471" s="4" t="s">
        <v>13</v>
      </c>
      <c r="M471" s="4">
        <v>2023</v>
      </c>
      <c r="N471" s="4">
        <v>1</v>
      </c>
      <c r="O471" s="4">
        <v>1</v>
      </c>
    </row>
    <row r="472" spans="1:15">
      <c r="A472" s="4" t="s">
        <v>640</v>
      </c>
      <c r="B472" s="4" t="s">
        <v>661</v>
      </c>
      <c r="C472" s="9" t="s">
        <v>652</v>
      </c>
      <c r="F472" s="13">
        <v>1</v>
      </c>
      <c r="G472" s="21">
        <v>0</v>
      </c>
      <c r="I472" s="4">
        <v>9</v>
      </c>
      <c r="J472" s="4">
        <v>13</v>
      </c>
      <c r="K472" s="4" t="s">
        <v>616</v>
      </c>
      <c r="L472" s="4" t="s">
        <v>13</v>
      </c>
      <c r="M472" s="4">
        <v>2023</v>
      </c>
      <c r="N472" s="4">
        <v>1</v>
      </c>
      <c r="O472" s="4">
        <v>1</v>
      </c>
    </row>
    <row r="473" spans="1:15">
      <c r="A473" s="4" t="s">
        <v>640</v>
      </c>
      <c r="B473" s="4" t="s">
        <v>662</v>
      </c>
      <c r="C473" s="9" t="s">
        <v>653</v>
      </c>
      <c r="F473" s="13">
        <v>0</v>
      </c>
      <c r="I473" s="4"/>
      <c r="J473" s="4"/>
      <c r="K473" s="4"/>
      <c r="L473" s="4"/>
      <c r="M473" s="4"/>
      <c r="N473" s="4"/>
      <c r="O473" s="4"/>
    </row>
    <row r="474" spans="1:15">
      <c r="A474" s="4" t="s">
        <v>640</v>
      </c>
      <c r="B474" s="4" t="s">
        <v>663</v>
      </c>
      <c r="C474" s="9" t="s">
        <v>654</v>
      </c>
      <c r="F474" s="13">
        <v>0</v>
      </c>
      <c r="I474" s="4"/>
      <c r="J474" s="4"/>
      <c r="K474" s="4"/>
      <c r="L474" s="4"/>
      <c r="M474" s="4"/>
      <c r="N474" s="4"/>
      <c r="O474" s="4"/>
    </row>
    <row r="475" spans="1:15">
      <c r="A475" s="4" t="s">
        <v>640</v>
      </c>
      <c r="B475" s="4" t="s">
        <v>664</v>
      </c>
      <c r="C475" s="9" t="s">
        <v>655</v>
      </c>
      <c r="F475" s="13">
        <v>0</v>
      </c>
      <c r="I475" s="4"/>
      <c r="J475" s="4"/>
      <c r="K475" s="4"/>
      <c r="L475" s="4"/>
      <c r="M475" s="4"/>
      <c r="N475" s="4"/>
      <c r="O475" s="4"/>
    </row>
    <row r="476" spans="1:15">
      <c r="A476" s="4" t="s">
        <v>640</v>
      </c>
      <c r="B476" s="4" t="s">
        <v>665</v>
      </c>
      <c r="C476" s="9" t="s">
        <v>656</v>
      </c>
      <c r="F476" s="13">
        <v>0</v>
      </c>
      <c r="I476" s="4"/>
      <c r="J476" s="4"/>
      <c r="K476" s="4"/>
      <c r="L476" s="4"/>
      <c r="M476" s="4"/>
      <c r="N476" s="4"/>
      <c r="O476" s="4"/>
    </row>
    <row r="477" spans="1:15" ht="18">
      <c r="A477" s="4" t="s">
        <v>667</v>
      </c>
      <c r="B477" s="4" t="s">
        <v>666</v>
      </c>
      <c r="C477" s="23" t="s">
        <v>668</v>
      </c>
      <c r="F477" s="13">
        <v>0</v>
      </c>
      <c r="I477" s="4"/>
      <c r="J477" s="4"/>
      <c r="K477" s="4"/>
      <c r="L477" s="4"/>
      <c r="M477" s="4"/>
      <c r="N477" s="4"/>
      <c r="O477" s="4"/>
    </row>
    <row r="478" spans="1:15">
      <c r="A478" s="4" t="s">
        <v>667</v>
      </c>
      <c r="B478" s="4" t="s">
        <v>675</v>
      </c>
      <c r="C478" s="9" t="s">
        <v>669</v>
      </c>
      <c r="F478" s="13">
        <v>1</v>
      </c>
      <c r="G478" s="21">
        <v>0</v>
      </c>
      <c r="I478" s="4">
        <v>2</v>
      </c>
      <c r="J478" s="4">
        <v>7</v>
      </c>
      <c r="K478" s="4" t="s">
        <v>616</v>
      </c>
      <c r="L478" s="4" t="s">
        <v>13</v>
      </c>
      <c r="M478" s="4">
        <v>2022</v>
      </c>
      <c r="N478" s="4">
        <v>1</v>
      </c>
      <c r="O478" s="4">
        <v>1</v>
      </c>
    </row>
    <row r="479" spans="1:15" ht="18">
      <c r="A479" s="4" t="s">
        <v>667</v>
      </c>
      <c r="B479" s="4" t="s">
        <v>676</v>
      </c>
      <c r="C479" s="23" t="s">
        <v>670</v>
      </c>
      <c r="F479" s="13">
        <v>0</v>
      </c>
      <c r="I479" s="4"/>
      <c r="J479" s="4"/>
      <c r="K479" s="4"/>
      <c r="L479" s="4"/>
      <c r="M479" s="4"/>
      <c r="N479" s="4"/>
      <c r="O479" s="4"/>
    </row>
    <row r="480" spans="1:15" ht="18">
      <c r="A480" s="4" t="s">
        <v>667</v>
      </c>
      <c r="B480" s="4" t="s">
        <v>677</v>
      </c>
      <c r="C480" s="23" t="s">
        <v>671</v>
      </c>
      <c r="F480" s="13">
        <v>0</v>
      </c>
      <c r="I480" s="4"/>
      <c r="J480" s="4"/>
      <c r="K480" s="4"/>
      <c r="L480" s="4"/>
      <c r="M480" s="4"/>
      <c r="N480" s="4"/>
      <c r="O480" s="4"/>
    </row>
    <row r="481" spans="1:15" ht="18">
      <c r="A481" s="4" t="s">
        <v>667</v>
      </c>
      <c r="B481" s="4" t="s">
        <v>678</v>
      </c>
      <c r="C481" s="23" t="s">
        <v>672</v>
      </c>
      <c r="F481" s="13">
        <v>0</v>
      </c>
      <c r="I481" s="4"/>
      <c r="J481" s="4"/>
      <c r="K481" s="4"/>
      <c r="L481" s="4"/>
      <c r="M481" s="4"/>
      <c r="N481" s="4"/>
      <c r="O481" s="4"/>
    </row>
    <row r="482" spans="1:15" ht="18">
      <c r="A482" s="4" t="s">
        <v>667</v>
      </c>
      <c r="B482" s="4" t="s">
        <v>679</v>
      </c>
      <c r="C482" s="23" t="s">
        <v>673</v>
      </c>
      <c r="F482" s="13">
        <v>0</v>
      </c>
      <c r="I482" s="4"/>
      <c r="J482" s="4"/>
      <c r="K482" s="4"/>
      <c r="L482" s="4"/>
      <c r="M482" s="4"/>
      <c r="N482" s="4"/>
      <c r="O482" s="4"/>
    </row>
    <row r="483" spans="1:15" ht="18">
      <c r="A483" s="4" t="s">
        <v>667</v>
      </c>
      <c r="B483" s="4" t="s">
        <v>680</v>
      </c>
      <c r="C483" s="23" t="s">
        <v>674</v>
      </c>
      <c r="F483" s="13">
        <v>0</v>
      </c>
      <c r="I483" s="4"/>
      <c r="J483" s="4"/>
      <c r="K483" s="4"/>
      <c r="L483" s="4"/>
      <c r="M483" s="4"/>
      <c r="N483" s="4"/>
      <c r="O483" s="4"/>
    </row>
    <row r="484" spans="1:15" ht="18">
      <c r="A484" s="4" t="s">
        <v>700</v>
      </c>
      <c r="B484" s="4" t="s">
        <v>681</v>
      </c>
      <c r="C484" s="23" t="s">
        <v>682</v>
      </c>
      <c r="F484" s="13">
        <v>0</v>
      </c>
      <c r="I484" s="4"/>
      <c r="J484" s="4"/>
      <c r="K484" s="4"/>
      <c r="L484" s="4"/>
      <c r="M484" s="4"/>
      <c r="N484" s="4"/>
      <c r="O484" s="4"/>
    </row>
    <row r="485" spans="1:15" ht="18">
      <c r="A485" s="4" t="s">
        <v>700</v>
      </c>
      <c r="B485" s="4" t="s">
        <v>691</v>
      </c>
      <c r="C485" s="23" t="s">
        <v>683</v>
      </c>
      <c r="F485" s="13">
        <v>0</v>
      </c>
      <c r="I485" s="4"/>
      <c r="J485" s="4"/>
      <c r="K485" s="4"/>
      <c r="L485" s="4"/>
      <c r="M485" s="4"/>
      <c r="N485" s="4"/>
      <c r="O485" s="4"/>
    </row>
    <row r="486" spans="1:15" ht="18">
      <c r="A486" s="4" t="s">
        <v>700</v>
      </c>
      <c r="B486" s="4" t="s">
        <v>692</v>
      </c>
      <c r="C486" s="23" t="s">
        <v>684</v>
      </c>
      <c r="F486" s="13">
        <v>0</v>
      </c>
      <c r="I486" s="4"/>
      <c r="J486" s="4"/>
      <c r="K486" s="4"/>
      <c r="L486" s="4"/>
      <c r="M486" s="4"/>
      <c r="N486" s="4"/>
      <c r="O486" s="4"/>
    </row>
    <row r="487" spans="1:15" ht="18">
      <c r="A487" s="4" t="s">
        <v>700</v>
      </c>
      <c r="B487" s="4" t="s">
        <v>693</v>
      </c>
      <c r="C487" s="23" t="s">
        <v>685</v>
      </c>
      <c r="F487" s="13">
        <v>1</v>
      </c>
      <c r="G487" s="21">
        <v>1</v>
      </c>
      <c r="I487" s="4">
        <v>4</v>
      </c>
      <c r="J487" s="4">
        <v>10</v>
      </c>
      <c r="K487" s="4" t="s">
        <v>616</v>
      </c>
      <c r="L487" s="4" t="s">
        <v>13</v>
      </c>
      <c r="M487" s="4">
        <v>2021</v>
      </c>
      <c r="N487" s="4">
        <v>1</v>
      </c>
      <c r="O487" s="4">
        <v>1</v>
      </c>
    </row>
    <row r="488" spans="1:15" ht="18">
      <c r="A488" s="4" t="s">
        <v>700</v>
      </c>
      <c r="B488" s="4" t="s">
        <v>694</v>
      </c>
      <c r="C488" s="23" t="s">
        <v>686</v>
      </c>
      <c r="F488" s="13">
        <v>0</v>
      </c>
      <c r="I488" s="4"/>
      <c r="J488" s="4"/>
      <c r="K488" s="4"/>
      <c r="L488" s="4"/>
      <c r="M488" s="4"/>
      <c r="N488" s="4"/>
      <c r="O488" s="4"/>
    </row>
    <row r="489" spans="1:15">
      <c r="A489" s="4" t="s">
        <v>700</v>
      </c>
      <c r="B489" s="4" t="s">
        <v>695</v>
      </c>
      <c r="C489" s="22" t="s">
        <v>687</v>
      </c>
      <c r="F489" s="13">
        <v>1</v>
      </c>
      <c r="G489" s="21">
        <v>0</v>
      </c>
      <c r="I489" s="4">
        <v>6</v>
      </c>
      <c r="J489" s="4">
        <v>10</v>
      </c>
      <c r="K489" s="4" t="s">
        <v>616</v>
      </c>
      <c r="L489" s="4" t="s">
        <v>13</v>
      </c>
      <c r="M489" s="4">
        <v>2021</v>
      </c>
      <c r="N489" s="4">
        <v>1</v>
      </c>
      <c r="O489" s="4">
        <v>1</v>
      </c>
    </row>
    <row r="490" spans="1:15" ht="18">
      <c r="A490" s="4" t="s">
        <v>700</v>
      </c>
      <c r="B490" s="4" t="s">
        <v>696</v>
      </c>
      <c r="C490" s="23" t="s">
        <v>671</v>
      </c>
      <c r="F490" s="13">
        <v>0</v>
      </c>
      <c r="I490" s="4"/>
      <c r="J490" s="4"/>
      <c r="K490" s="4"/>
      <c r="L490" s="4"/>
      <c r="M490" s="4"/>
      <c r="N490" s="4"/>
      <c r="O490" s="4"/>
    </row>
    <row r="491" spans="1:15" ht="18">
      <c r="A491" s="4" t="s">
        <v>700</v>
      </c>
      <c r="B491" s="4" t="s">
        <v>697</v>
      </c>
      <c r="C491" s="23" t="s">
        <v>688</v>
      </c>
      <c r="F491" s="13">
        <v>0</v>
      </c>
      <c r="I491" s="4"/>
      <c r="J491" s="4"/>
      <c r="K491" s="4"/>
      <c r="L491" s="4"/>
      <c r="M491" s="4"/>
      <c r="N491" s="4"/>
      <c r="O491" s="4"/>
    </row>
    <row r="492" spans="1:15" ht="18">
      <c r="A492" s="4" t="s">
        <v>700</v>
      </c>
      <c r="B492" s="4" t="s">
        <v>698</v>
      </c>
      <c r="C492" s="23" t="s">
        <v>689</v>
      </c>
      <c r="F492" s="13">
        <v>0</v>
      </c>
      <c r="I492" s="4"/>
      <c r="J492" s="4"/>
      <c r="K492" s="4"/>
      <c r="L492" s="4"/>
      <c r="M492" s="4"/>
      <c r="N492" s="4"/>
      <c r="O492" s="4"/>
    </row>
    <row r="493" spans="1:15" ht="18">
      <c r="A493" s="4" t="s">
        <v>700</v>
      </c>
      <c r="B493" s="4" t="s">
        <v>699</v>
      </c>
      <c r="C493" s="23" t="s">
        <v>690</v>
      </c>
      <c r="F493" s="13">
        <v>0</v>
      </c>
      <c r="I493" s="4"/>
      <c r="J493" s="4"/>
      <c r="K493" s="4"/>
      <c r="L493" s="4"/>
      <c r="M493" s="4"/>
      <c r="N493" s="4"/>
      <c r="O493" s="4"/>
    </row>
    <row r="494" spans="1:15" ht="18">
      <c r="A494" s="4" t="s">
        <v>702</v>
      </c>
      <c r="B494" s="4" t="s">
        <v>701</v>
      </c>
      <c r="C494" s="23" t="s">
        <v>704</v>
      </c>
      <c r="F494" s="13">
        <v>0</v>
      </c>
      <c r="I494" s="4"/>
      <c r="J494" s="4"/>
      <c r="K494" s="4"/>
      <c r="L494" s="4"/>
      <c r="M494" s="4"/>
      <c r="N494" s="4"/>
      <c r="O494" s="4"/>
    </row>
    <row r="495" spans="1:15" ht="18">
      <c r="A495" s="4" t="s">
        <v>702</v>
      </c>
      <c r="B495" s="4" t="s">
        <v>703</v>
      </c>
      <c r="C495" s="23" t="s">
        <v>705</v>
      </c>
      <c r="F495" s="13">
        <v>0</v>
      </c>
      <c r="I495" s="4"/>
      <c r="J495" s="4"/>
      <c r="K495" s="4"/>
      <c r="L495" s="4"/>
      <c r="M495" s="4"/>
      <c r="N495" s="4"/>
      <c r="O495" s="4"/>
    </row>
    <row r="496" spans="1:15" ht="18">
      <c r="A496" s="4" t="s">
        <v>702</v>
      </c>
      <c r="B496" s="4" t="s">
        <v>720</v>
      </c>
      <c r="C496" s="23" t="s">
        <v>706</v>
      </c>
      <c r="F496" s="13">
        <v>0</v>
      </c>
      <c r="I496" s="4"/>
      <c r="J496" s="4"/>
      <c r="K496" s="4"/>
      <c r="L496" s="4"/>
      <c r="M496" s="4"/>
      <c r="N496" s="4"/>
      <c r="O496" s="4"/>
    </row>
    <row r="497" spans="1:15" ht="18">
      <c r="A497" s="4" t="s">
        <v>702</v>
      </c>
      <c r="B497" s="4" t="s">
        <v>721</v>
      </c>
      <c r="C497" s="23" t="s">
        <v>707</v>
      </c>
      <c r="F497" s="13">
        <v>0</v>
      </c>
      <c r="I497" s="4"/>
      <c r="J497" s="4"/>
      <c r="K497" s="4"/>
      <c r="L497" s="4"/>
      <c r="M497" s="4"/>
      <c r="N497" s="4"/>
      <c r="O497" s="4"/>
    </row>
    <row r="498" spans="1:15" ht="18">
      <c r="A498" s="4" t="s">
        <v>702</v>
      </c>
      <c r="B498" s="4" t="s">
        <v>722</v>
      </c>
      <c r="C498" s="24" t="s">
        <v>708</v>
      </c>
      <c r="F498" s="13">
        <v>0</v>
      </c>
      <c r="I498" s="4"/>
      <c r="J498" s="4"/>
      <c r="K498" s="4"/>
      <c r="L498" s="4"/>
      <c r="M498" s="4"/>
      <c r="N498" s="4"/>
      <c r="O498" s="4"/>
    </row>
    <row r="499" spans="1:15" ht="18">
      <c r="A499" s="4" t="s">
        <v>702</v>
      </c>
      <c r="B499" s="4" t="s">
        <v>723</v>
      </c>
      <c r="C499" s="24" t="s">
        <v>709</v>
      </c>
      <c r="F499" s="13">
        <v>0</v>
      </c>
      <c r="I499" s="4"/>
      <c r="J499" s="4"/>
      <c r="K499" s="4"/>
      <c r="L499" s="4"/>
      <c r="M499" s="4"/>
      <c r="N499" s="4"/>
      <c r="O499" s="4"/>
    </row>
    <row r="500" spans="1:15" ht="18">
      <c r="A500" s="4" t="s">
        <v>702</v>
      </c>
      <c r="B500" s="4" t="s">
        <v>724</v>
      </c>
      <c r="C500" s="23" t="s">
        <v>710</v>
      </c>
      <c r="F500" s="13">
        <v>0</v>
      </c>
      <c r="I500" s="4"/>
      <c r="J500" s="4"/>
      <c r="K500" s="4"/>
      <c r="L500" s="4"/>
      <c r="M500" s="4"/>
      <c r="N500" s="4"/>
      <c r="O500" s="4"/>
    </row>
    <row r="501" spans="1:15" ht="18">
      <c r="A501" s="4" t="s">
        <v>702</v>
      </c>
      <c r="B501" s="4" t="s">
        <v>725</v>
      </c>
      <c r="C501" s="23" t="s">
        <v>711</v>
      </c>
      <c r="F501" s="13">
        <v>1</v>
      </c>
      <c r="G501" s="21">
        <v>0</v>
      </c>
      <c r="I501" s="4">
        <v>8</v>
      </c>
      <c r="J501" s="4">
        <v>17</v>
      </c>
      <c r="K501" s="4" t="s">
        <v>616</v>
      </c>
      <c r="L501" s="4" t="s">
        <v>13</v>
      </c>
      <c r="M501" s="4">
        <v>2019</v>
      </c>
      <c r="N501" s="4">
        <v>1</v>
      </c>
      <c r="O501" s="4">
        <v>1</v>
      </c>
    </row>
    <row r="502" spans="1:15" ht="18">
      <c r="A502" s="4" t="s">
        <v>702</v>
      </c>
      <c r="B502" s="4" t="s">
        <v>726</v>
      </c>
      <c r="C502" s="23" t="s">
        <v>706</v>
      </c>
      <c r="F502" s="13">
        <v>0</v>
      </c>
      <c r="I502" s="4"/>
      <c r="J502" s="4"/>
      <c r="K502" s="4"/>
      <c r="L502" s="4"/>
      <c r="M502" s="4"/>
      <c r="N502" s="4"/>
      <c r="O502" s="4"/>
    </row>
    <row r="503" spans="1:15">
      <c r="A503" s="4" t="s">
        <v>702</v>
      </c>
      <c r="B503" s="4" t="s">
        <v>727</v>
      </c>
      <c r="C503" t="s">
        <v>712</v>
      </c>
      <c r="F503" s="13">
        <v>0</v>
      </c>
      <c r="I503" s="4"/>
      <c r="J503" s="4"/>
      <c r="K503" s="4"/>
      <c r="L503" s="4"/>
      <c r="M503" s="4"/>
      <c r="N503" s="4"/>
      <c r="O503" s="4"/>
    </row>
    <row r="504" spans="1:15" ht="18">
      <c r="A504" s="4" t="s">
        <v>702</v>
      </c>
      <c r="B504" s="4" t="s">
        <v>728</v>
      </c>
      <c r="C504" s="23" t="s">
        <v>713</v>
      </c>
      <c r="F504" s="13">
        <v>0</v>
      </c>
      <c r="I504" s="4"/>
      <c r="J504" s="4"/>
      <c r="K504" s="4"/>
      <c r="L504" s="4"/>
      <c r="M504" s="4"/>
      <c r="N504" s="4"/>
      <c r="O504" s="4"/>
    </row>
    <row r="505" spans="1:15" ht="18">
      <c r="A505" s="4" t="s">
        <v>702</v>
      </c>
      <c r="B505" s="4" t="s">
        <v>729</v>
      </c>
      <c r="C505" s="23" t="s">
        <v>714</v>
      </c>
      <c r="F505" s="13">
        <v>0</v>
      </c>
      <c r="I505" s="4"/>
      <c r="J505" s="4"/>
      <c r="K505" s="4"/>
      <c r="L505" s="4"/>
      <c r="M505" s="4"/>
      <c r="N505" s="4"/>
      <c r="O505" s="4"/>
    </row>
    <row r="506" spans="1:15" ht="18">
      <c r="A506" s="4" t="s">
        <v>702</v>
      </c>
      <c r="B506" s="4" t="s">
        <v>730</v>
      </c>
      <c r="C506" s="23" t="s">
        <v>715</v>
      </c>
      <c r="F506" s="13">
        <v>0</v>
      </c>
      <c r="I506" s="4"/>
      <c r="J506" s="4"/>
      <c r="K506" s="4"/>
      <c r="L506" s="4"/>
      <c r="M506" s="4"/>
      <c r="N506" s="4"/>
      <c r="O506" s="4"/>
    </row>
    <row r="507" spans="1:15" ht="18">
      <c r="A507" s="4" t="s">
        <v>702</v>
      </c>
      <c r="B507" s="4" t="s">
        <v>731</v>
      </c>
      <c r="C507" s="23" t="s">
        <v>716</v>
      </c>
      <c r="F507" s="13">
        <v>1</v>
      </c>
      <c r="G507" s="21">
        <v>0</v>
      </c>
      <c r="I507" s="4">
        <v>14</v>
      </c>
      <c r="J507" s="4">
        <v>17</v>
      </c>
      <c r="K507" s="4" t="s">
        <v>616</v>
      </c>
      <c r="L507" s="4" t="s">
        <v>13</v>
      </c>
      <c r="M507" s="4">
        <v>2019</v>
      </c>
      <c r="N507" s="4">
        <v>1</v>
      </c>
      <c r="O507" s="4">
        <v>1</v>
      </c>
    </row>
    <row r="508" spans="1:15" ht="18">
      <c r="A508" s="4" t="s">
        <v>702</v>
      </c>
      <c r="B508" s="4" t="s">
        <v>732</v>
      </c>
      <c r="C508" s="23" t="s">
        <v>717</v>
      </c>
      <c r="F508" s="13">
        <v>1</v>
      </c>
      <c r="G508" s="21">
        <v>0</v>
      </c>
      <c r="I508" s="4">
        <v>15</v>
      </c>
      <c r="J508" s="4">
        <v>17</v>
      </c>
      <c r="K508" s="4" t="s">
        <v>616</v>
      </c>
      <c r="L508" s="4" t="s">
        <v>13</v>
      </c>
      <c r="M508" s="4">
        <v>2019</v>
      </c>
      <c r="N508" s="4">
        <v>1</v>
      </c>
      <c r="O508" s="4">
        <v>1</v>
      </c>
    </row>
    <row r="509" spans="1:15" ht="18">
      <c r="A509" s="4" t="s">
        <v>702</v>
      </c>
      <c r="B509" s="4" t="s">
        <v>733</v>
      </c>
      <c r="C509" s="23" t="s">
        <v>718</v>
      </c>
      <c r="F509" s="13">
        <v>0</v>
      </c>
      <c r="I509" s="4"/>
      <c r="J509" s="4"/>
      <c r="K509" s="4"/>
      <c r="L509" s="4"/>
      <c r="M509" s="4"/>
      <c r="N509" s="4"/>
      <c r="O509" s="4"/>
    </row>
    <row r="510" spans="1:15">
      <c r="A510" s="4" t="s">
        <v>702</v>
      </c>
      <c r="B510" s="4" t="s">
        <v>734</v>
      </c>
      <c r="C510" t="s">
        <v>719</v>
      </c>
      <c r="F510" s="13">
        <v>0</v>
      </c>
      <c r="I510" s="4"/>
      <c r="J510" s="4"/>
      <c r="K510" s="4"/>
      <c r="L510" s="4"/>
      <c r="M510" s="4"/>
      <c r="N510" s="4"/>
      <c r="O510" s="4"/>
    </row>
    <row r="511" spans="1:15" ht="18">
      <c r="A511" s="27" t="s">
        <v>735</v>
      </c>
      <c r="B511" s="4" t="s">
        <v>736</v>
      </c>
      <c r="C511" s="23" t="s">
        <v>737</v>
      </c>
      <c r="F511" s="13">
        <v>0</v>
      </c>
      <c r="I511" s="4"/>
      <c r="J511" s="4"/>
      <c r="K511" s="4"/>
      <c r="L511" s="4"/>
      <c r="M511" s="4"/>
      <c r="N511" s="4"/>
      <c r="O511" s="4"/>
    </row>
    <row r="512" spans="1:15">
      <c r="A512" s="4" t="s">
        <v>735</v>
      </c>
      <c r="B512" s="4" t="s">
        <v>739</v>
      </c>
      <c r="C512" t="s">
        <v>738</v>
      </c>
      <c r="F512" s="13">
        <v>1</v>
      </c>
      <c r="G512" s="21">
        <v>1</v>
      </c>
      <c r="I512" s="4">
        <v>2</v>
      </c>
      <c r="J512" s="4">
        <v>10</v>
      </c>
      <c r="K512" s="4" t="s">
        <v>756</v>
      </c>
      <c r="L512" s="4" t="s">
        <v>13</v>
      </c>
      <c r="M512" s="4">
        <v>2023</v>
      </c>
      <c r="N512" s="4">
        <v>1</v>
      </c>
      <c r="O512" s="4">
        <v>1</v>
      </c>
    </row>
    <row r="513" spans="1:15" ht="18">
      <c r="A513" s="4" t="s">
        <v>735</v>
      </c>
      <c r="B513" s="4" t="s">
        <v>749</v>
      </c>
      <c r="C513" s="23" t="s">
        <v>740</v>
      </c>
      <c r="F513" s="13">
        <v>0</v>
      </c>
      <c r="I513" s="4"/>
      <c r="J513" s="4"/>
      <c r="K513" s="4"/>
      <c r="L513" s="4"/>
      <c r="M513" s="4"/>
      <c r="N513" s="4"/>
      <c r="O513" s="4"/>
    </row>
    <row r="514" spans="1:15" ht="18">
      <c r="A514" s="4" t="s">
        <v>735</v>
      </c>
      <c r="B514" s="4" t="s">
        <v>750</v>
      </c>
      <c r="C514" s="23" t="s">
        <v>741</v>
      </c>
      <c r="F514" s="13">
        <v>0</v>
      </c>
      <c r="I514" s="4"/>
      <c r="J514" s="4"/>
      <c r="K514" s="4"/>
      <c r="L514" s="4"/>
      <c r="M514" s="4"/>
      <c r="N514" s="4"/>
      <c r="O514" s="4"/>
    </row>
    <row r="515" spans="1:15" ht="18">
      <c r="A515" s="4" t="s">
        <v>735</v>
      </c>
      <c r="B515" s="4" t="s">
        <v>751</v>
      </c>
      <c r="C515" s="23" t="s">
        <v>742</v>
      </c>
      <c r="F515" s="13">
        <v>0</v>
      </c>
      <c r="I515" s="4"/>
      <c r="J515" s="4"/>
      <c r="K515" s="4"/>
      <c r="L515" s="4"/>
      <c r="M515" s="4"/>
      <c r="N515" s="4"/>
      <c r="O515" s="4"/>
    </row>
    <row r="516" spans="1:15" ht="18">
      <c r="A516" s="4" t="s">
        <v>735</v>
      </c>
      <c r="B516" s="4" t="s">
        <v>752</v>
      </c>
      <c r="C516" s="23" t="s">
        <v>743</v>
      </c>
      <c r="F516" s="13">
        <v>0</v>
      </c>
      <c r="I516" s="4"/>
      <c r="J516" s="4"/>
      <c r="K516" s="4"/>
      <c r="L516" s="4"/>
      <c r="M516" s="4"/>
      <c r="N516" s="4"/>
      <c r="O516" s="4"/>
    </row>
    <row r="517" spans="1:15" ht="18">
      <c r="A517" s="4" t="s">
        <v>735</v>
      </c>
      <c r="B517" s="4" t="s">
        <v>753</v>
      </c>
      <c r="C517" s="23" t="s">
        <v>744</v>
      </c>
      <c r="F517" s="13">
        <v>1</v>
      </c>
      <c r="G517" s="21">
        <v>1</v>
      </c>
      <c r="I517" s="4">
        <v>7</v>
      </c>
      <c r="J517" s="4">
        <v>10</v>
      </c>
      <c r="K517" s="4" t="s">
        <v>756</v>
      </c>
      <c r="L517" s="4" t="s">
        <v>13</v>
      </c>
      <c r="M517" s="4">
        <v>2023</v>
      </c>
      <c r="N517" s="4">
        <v>1</v>
      </c>
      <c r="O517" s="4">
        <v>1</v>
      </c>
    </row>
    <row r="518" spans="1:15" ht="18">
      <c r="A518" s="4" t="s">
        <v>735</v>
      </c>
      <c r="B518" s="4" t="s">
        <v>754</v>
      </c>
      <c r="C518" s="23" t="s">
        <v>745</v>
      </c>
      <c r="F518" s="13">
        <v>1</v>
      </c>
      <c r="G518" s="21">
        <v>1</v>
      </c>
      <c r="I518" s="4">
        <v>8</v>
      </c>
      <c r="J518" s="4">
        <v>10</v>
      </c>
      <c r="K518" s="4" t="s">
        <v>756</v>
      </c>
      <c r="L518" s="4" t="s">
        <v>13</v>
      </c>
      <c r="M518" s="4">
        <v>2023</v>
      </c>
      <c r="N518" s="4">
        <v>1</v>
      </c>
      <c r="O518" s="4">
        <v>1</v>
      </c>
    </row>
    <row r="519" spans="1:15" ht="18">
      <c r="A519" s="4" t="s">
        <v>735</v>
      </c>
      <c r="B519" s="4" t="s">
        <v>755</v>
      </c>
      <c r="C519" s="23" t="s">
        <v>746</v>
      </c>
      <c r="F519" s="13">
        <v>1</v>
      </c>
      <c r="G519" s="21">
        <v>1</v>
      </c>
      <c r="I519" s="4">
        <v>9</v>
      </c>
      <c r="J519" s="4">
        <v>10</v>
      </c>
      <c r="K519" s="4" t="s">
        <v>756</v>
      </c>
      <c r="L519" s="4" t="s">
        <v>13</v>
      </c>
      <c r="M519" s="4">
        <v>2023</v>
      </c>
      <c r="N519" s="4">
        <v>1</v>
      </c>
      <c r="O519" s="4">
        <v>1</v>
      </c>
    </row>
    <row r="520" spans="1:15" ht="18">
      <c r="A520" s="4" t="s">
        <v>735</v>
      </c>
      <c r="B520" s="4" t="s">
        <v>759</v>
      </c>
      <c r="C520" s="23" t="s">
        <v>747</v>
      </c>
      <c r="F520" s="13">
        <v>1</v>
      </c>
      <c r="G520" s="21">
        <v>0</v>
      </c>
      <c r="I520" s="4">
        <v>10</v>
      </c>
      <c r="J520" s="4">
        <v>10</v>
      </c>
      <c r="K520" s="4" t="s">
        <v>756</v>
      </c>
      <c r="L520" s="4" t="s">
        <v>13</v>
      </c>
      <c r="M520" s="4">
        <v>2023</v>
      </c>
      <c r="N520" s="4">
        <v>1</v>
      </c>
      <c r="O520" s="4">
        <v>1</v>
      </c>
    </row>
    <row r="521" spans="1:15">
      <c r="A521" s="4" t="s">
        <v>758</v>
      </c>
      <c r="B521" s="4" t="s">
        <v>757</v>
      </c>
      <c r="C521" s="9" t="s">
        <v>748</v>
      </c>
      <c r="F521" s="13">
        <v>1</v>
      </c>
      <c r="G521" s="21">
        <v>1</v>
      </c>
      <c r="I521" s="4">
        <v>1</v>
      </c>
      <c r="J521" s="4">
        <v>7</v>
      </c>
      <c r="K521" s="4" t="s">
        <v>756</v>
      </c>
      <c r="L521" s="4" t="s">
        <v>13</v>
      </c>
      <c r="M521" s="4">
        <v>2024</v>
      </c>
      <c r="N521" s="4">
        <v>1</v>
      </c>
      <c r="O521" s="4">
        <v>1</v>
      </c>
    </row>
    <row r="522" spans="1:15" ht="18">
      <c r="A522" s="4" t="s">
        <v>758</v>
      </c>
      <c r="B522" s="4" t="s">
        <v>761</v>
      </c>
      <c r="C522" s="23" t="s">
        <v>760</v>
      </c>
      <c r="F522" s="13">
        <v>0</v>
      </c>
      <c r="I522" s="4"/>
      <c r="J522" s="4"/>
      <c r="K522" s="4"/>
      <c r="L522" s="4"/>
      <c r="M522" s="4"/>
      <c r="N522" s="4"/>
      <c r="O522" s="4"/>
    </row>
    <row r="523" spans="1:15" ht="18">
      <c r="A523" s="4" t="s">
        <v>758</v>
      </c>
      <c r="B523" s="4" t="s">
        <v>763</v>
      </c>
      <c r="C523" s="23" t="s">
        <v>762</v>
      </c>
      <c r="F523" s="13">
        <v>1</v>
      </c>
      <c r="G523" s="21">
        <v>1</v>
      </c>
      <c r="I523" s="4">
        <v>3</v>
      </c>
      <c r="J523" s="4">
        <v>7</v>
      </c>
      <c r="K523" s="4" t="s">
        <v>756</v>
      </c>
      <c r="L523" s="4" t="s">
        <v>13</v>
      </c>
      <c r="M523" s="4">
        <v>2024</v>
      </c>
      <c r="N523" s="4">
        <v>1</v>
      </c>
      <c r="O523" s="4">
        <v>1</v>
      </c>
    </row>
    <row r="524" spans="1:15" ht="18">
      <c r="A524" s="4" t="s">
        <v>758</v>
      </c>
      <c r="B524" s="4" t="s">
        <v>765</v>
      </c>
      <c r="C524" s="23" t="s">
        <v>764</v>
      </c>
      <c r="F524" s="13">
        <v>1</v>
      </c>
      <c r="G524" s="21">
        <v>1</v>
      </c>
      <c r="I524" s="4">
        <v>4</v>
      </c>
      <c r="J524" s="4">
        <v>7</v>
      </c>
      <c r="K524" s="4" t="s">
        <v>756</v>
      </c>
      <c r="L524" s="4" t="s">
        <v>13</v>
      </c>
      <c r="M524" s="4">
        <v>2024</v>
      </c>
      <c r="N524" s="4">
        <v>1</v>
      </c>
      <c r="O524" s="4">
        <v>1</v>
      </c>
    </row>
    <row r="525" spans="1:15" ht="18">
      <c r="A525" s="4" t="s">
        <v>758</v>
      </c>
      <c r="B525" s="4" t="s">
        <v>767</v>
      </c>
      <c r="C525" s="23" t="s">
        <v>766</v>
      </c>
      <c r="F525" s="13">
        <v>0</v>
      </c>
      <c r="I525" s="4"/>
      <c r="J525" s="4"/>
      <c r="K525" s="4"/>
      <c r="L525" s="4"/>
      <c r="M525" s="4"/>
      <c r="N525" s="4"/>
      <c r="O525" s="4"/>
    </row>
    <row r="526" spans="1:15" ht="18">
      <c r="A526" s="4" t="s">
        <v>758</v>
      </c>
      <c r="B526" s="4" t="s">
        <v>770</v>
      </c>
      <c r="C526" s="23" t="s">
        <v>768</v>
      </c>
      <c r="F526" s="13">
        <v>0</v>
      </c>
      <c r="I526" s="4"/>
      <c r="J526" s="4"/>
      <c r="K526" s="4"/>
      <c r="L526" s="4"/>
      <c r="M526" s="4"/>
      <c r="N526" s="4"/>
      <c r="O526" s="4"/>
    </row>
    <row r="527" spans="1:15" ht="18">
      <c r="A527" s="4" t="s">
        <v>758</v>
      </c>
      <c r="B527" s="4" t="s">
        <v>771</v>
      </c>
      <c r="C527" s="23" t="s">
        <v>769</v>
      </c>
      <c r="F527" s="13">
        <v>0</v>
      </c>
      <c r="I527" s="4"/>
      <c r="J527" s="4"/>
      <c r="K527" s="4"/>
      <c r="L527" s="4"/>
      <c r="M527" s="4"/>
      <c r="N527" s="4"/>
      <c r="O527" s="4"/>
    </row>
    <row r="528" spans="1:15" ht="18">
      <c r="A528" s="4" t="s">
        <v>772</v>
      </c>
      <c r="B528" s="4" t="s">
        <v>773</v>
      </c>
      <c r="C528" s="23" t="s">
        <v>774</v>
      </c>
      <c r="F528" s="13">
        <v>0</v>
      </c>
      <c r="I528" s="4"/>
      <c r="J528" s="4"/>
      <c r="K528" s="4"/>
      <c r="L528" s="4"/>
      <c r="M528" s="4"/>
      <c r="N528" s="4"/>
      <c r="O528" s="4"/>
    </row>
    <row r="529" spans="1:15" ht="18">
      <c r="A529" s="4" t="s">
        <v>772</v>
      </c>
      <c r="B529" s="4" t="s">
        <v>782</v>
      </c>
      <c r="C529" s="23" t="s">
        <v>775</v>
      </c>
      <c r="F529" s="13">
        <v>0</v>
      </c>
      <c r="I529" s="4"/>
      <c r="J529" s="4"/>
      <c r="K529" s="4"/>
      <c r="L529" s="4"/>
      <c r="M529" s="4"/>
      <c r="N529" s="4"/>
      <c r="O529" s="4"/>
    </row>
    <row r="530" spans="1:15" ht="18">
      <c r="A530" s="26" t="s">
        <v>772</v>
      </c>
      <c r="B530" s="4" t="s">
        <v>783</v>
      </c>
      <c r="C530" s="23" t="s">
        <v>776</v>
      </c>
      <c r="F530" s="13">
        <v>1</v>
      </c>
      <c r="G530" s="21">
        <v>1</v>
      </c>
      <c r="I530" s="4">
        <v>3</v>
      </c>
      <c r="J530" s="4">
        <v>8</v>
      </c>
      <c r="K530" s="4" t="s">
        <v>756</v>
      </c>
      <c r="L530" s="4" t="s">
        <v>13</v>
      </c>
      <c r="M530" s="4">
        <v>2025</v>
      </c>
      <c r="N530" s="4">
        <v>1</v>
      </c>
      <c r="O530" s="4">
        <v>1</v>
      </c>
    </row>
    <row r="531" spans="1:15" ht="18">
      <c r="A531" s="26" t="s">
        <v>772</v>
      </c>
      <c r="B531" s="4" t="s">
        <v>784</v>
      </c>
      <c r="C531" s="23" t="s">
        <v>777</v>
      </c>
      <c r="F531" s="13">
        <v>0</v>
      </c>
      <c r="I531" s="4"/>
      <c r="J531" s="4"/>
      <c r="K531" s="4"/>
      <c r="L531" s="4"/>
      <c r="M531" s="4"/>
      <c r="N531" s="4"/>
      <c r="O531" s="4"/>
    </row>
    <row r="532" spans="1:15" ht="18">
      <c r="A532" s="26" t="s">
        <v>772</v>
      </c>
      <c r="B532" s="4" t="s">
        <v>785</v>
      </c>
      <c r="C532" s="23" t="s">
        <v>778</v>
      </c>
      <c r="F532" s="13">
        <v>0</v>
      </c>
      <c r="I532" s="4"/>
      <c r="J532" s="4"/>
      <c r="K532" s="4"/>
      <c r="L532" s="4"/>
      <c r="M532" s="4"/>
      <c r="N532" s="4"/>
      <c r="O532" s="4"/>
    </row>
    <row r="533" spans="1:15" ht="18">
      <c r="A533" s="4" t="s">
        <v>772</v>
      </c>
      <c r="B533" s="4" t="s">
        <v>786</v>
      </c>
      <c r="C533" s="23" t="s">
        <v>779</v>
      </c>
      <c r="F533" s="13">
        <v>1</v>
      </c>
      <c r="G533" s="21">
        <v>0</v>
      </c>
      <c r="I533" s="4">
        <v>6</v>
      </c>
      <c r="J533" s="4">
        <v>8</v>
      </c>
      <c r="K533" s="4" t="s">
        <v>756</v>
      </c>
      <c r="L533" s="4" t="s">
        <v>13</v>
      </c>
      <c r="M533" s="4">
        <v>2025</v>
      </c>
      <c r="N533" s="4">
        <v>1</v>
      </c>
      <c r="O533" s="4">
        <v>1</v>
      </c>
    </row>
    <row r="534" spans="1:15" ht="18">
      <c r="A534" s="4" t="s">
        <v>772</v>
      </c>
      <c r="B534" s="4" t="s">
        <v>787</v>
      </c>
      <c r="C534" s="23" t="s">
        <v>780</v>
      </c>
      <c r="F534" s="13">
        <v>0</v>
      </c>
      <c r="I534" s="4"/>
      <c r="J534" s="4"/>
      <c r="K534" s="4"/>
      <c r="L534" s="4"/>
      <c r="M534" s="4"/>
      <c r="N534" s="4"/>
      <c r="O534" s="4"/>
    </row>
    <row r="535" spans="1:15" ht="18">
      <c r="A535" s="4" t="s">
        <v>772</v>
      </c>
      <c r="B535" s="4" t="s">
        <v>788</v>
      </c>
      <c r="C535" s="23" t="s">
        <v>781</v>
      </c>
      <c r="F535" s="13">
        <v>0</v>
      </c>
      <c r="I535" s="4"/>
      <c r="J535" s="4"/>
      <c r="K535" s="4"/>
      <c r="L535" s="4"/>
      <c r="M535" s="4"/>
      <c r="N535" s="4"/>
      <c r="O535" s="4"/>
    </row>
    <row r="536" spans="1:15" ht="18">
      <c r="A536" s="4" t="s">
        <v>789</v>
      </c>
      <c r="B536" s="4" t="s">
        <v>790</v>
      </c>
      <c r="C536" s="23" t="s">
        <v>791</v>
      </c>
      <c r="F536" s="13">
        <v>0</v>
      </c>
      <c r="I536" s="4"/>
      <c r="J536" s="4"/>
      <c r="K536" s="4"/>
      <c r="L536" s="4"/>
      <c r="M536" s="4"/>
      <c r="N536" s="4"/>
      <c r="O536" s="4"/>
    </row>
    <row r="537" spans="1:15" ht="18">
      <c r="A537" s="4" t="s">
        <v>789</v>
      </c>
      <c r="B537" s="4" t="s">
        <v>792</v>
      </c>
      <c r="C537" s="23" t="s">
        <v>793</v>
      </c>
      <c r="F537" s="13">
        <v>0</v>
      </c>
      <c r="I537" s="4"/>
      <c r="J537" s="4"/>
      <c r="K537" s="4"/>
      <c r="L537" s="4"/>
      <c r="M537" s="4"/>
      <c r="N537" s="4"/>
      <c r="O537" s="4"/>
    </row>
    <row r="538" spans="1:15">
      <c r="A538" s="4" t="s">
        <v>789</v>
      </c>
      <c r="B538" s="4" t="s">
        <v>798</v>
      </c>
      <c r="C538" t="s">
        <v>794</v>
      </c>
      <c r="F538" s="13">
        <v>0</v>
      </c>
      <c r="I538" s="4"/>
      <c r="J538" s="4"/>
      <c r="K538" s="4"/>
      <c r="L538" s="4"/>
      <c r="M538" s="4"/>
      <c r="N538" s="4"/>
      <c r="O538" s="4"/>
    </row>
    <row r="539" spans="1:15" ht="18">
      <c r="A539" s="4" t="s">
        <v>789</v>
      </c>
      <c r="B539" s="4" t="s">
        <v>799</v>
      </c>
      <c r="C539" s="23" t="s">
        <v>795</v>
      </c>
      <c r="F539" s="13">
        <v>1</v>
      </c>
      <c r="G539" s="21">
        <v>0</v>
      </c>
      <c r="I539" s="4">
        <v>4</v>
      </c>
      <c r="J539" s="4">
        <v>6</v>
      </c>
      <c r="K539" s="4" t="s">
        <v>802</v>
      </c>
      <c r="L539" s="4" t="s">
        <v>13</v>
      </c>
      <c r="M539" s="4">
        <v>2025</v>
      </c>
      <c r="N539" s="4">
        <v>1</v>
      </c>
      <c r="O539" s="4">
        <v>1</v>
      </c>
    </row>
    <row r="540" spans="1:15">
      <c r="A540" s="4" t="s">
        <v>789</v>
      </c>
      <c r="B540" s="4" t="s">
        <v>800</v>
      </c>
      <c r="C540" t="s">
        <v>796</v>
      </c>
      <c r="F540" s="13">
        <v>0</v>
      </c>
      <c r="I540" s="4"/>
      <c r="J540" s="4"/>
      <c r="K540" s="4"/>
      <c r="L540" s="4"/>
      <c r="M540" s="4"/>
      <c r="N540" s="4"/>
      <c r="O540" s="4"/>
    </row>
    <row r="541" spans="1:15" ht="18">
      <c r="A541" s="4" t="s">
        <v>789</v>
      </c>
      <c r="B541" s="4" t="s">
        <v>801</v>
      </c>
      <c r="C541" s="23" t="s">
        <v>797</v>
      </c>
      <c r="F541" s="13">
        <v>0</v>
      </c>
      <c r="I541" s="4"/>
      <c r="J541" s="4"/>
      <c r="K541" s="4"/>
      <c r="L541" s="4"/>
      <c r="M541" s="4"/>
      <c r="N541" s="4"/>
      <c r="O541" s="4"/>
    </row>
    <row r="542" spans="1:15">
      <c r="A542" s="4" t="s">
        <v>803</v>
      </c>
      <c r="B542" s="4" t="s">
        <v>822</v>
      </c>
      <c r="C542" t="s">
        <v>804</v>
      </c>
      <c r="F542" s="13">
        <v>0</v>
      </c>
      <c r="I542" s="4"/>
      <c r="J542" s="4"/>
      <c r="K542" s="4"/>
      <c r="L542" s="4"/>
      <c r="M542" s="4"/>
      <c r="N542" s="4"/>
      <c r="O542" s="4"/>
    </row>
    <row r="543" spans="1:15">
      <c r="A543" s="4" t="s">
        <v>803</v>
      </c>
      <c r="B543" s="4" t="s">
        <v>823</v>
      </c>
      <c r="C543" t="s">
        <v>805</v>
      </c>
      <c r="F543" s="13">
        <v>0</v>
      </c>
      <c r="I543" s="4"/>
      <c r="J543" s="4"/>
      <c r="K543" s="4"/>
      <c r="L543" s="4"/>
      <c r="M543" s="4"/>
      <c r="N543" s="4"/>
      <c r="O543" s="4"/>
    </row>
    <row r="544" spans="1:15">
      <c r="A544" s="4" t="s">
        <v>803</v>
      </c>
      <c r="B544" s="4" t="s">
        <v>824</v>
      </c>
      <c r="C544" t="s">
        <v>806</v>
      </c>
      <c r="F544" s="13">
        <v>0</v>
      </c>
      <c r="I544" s="4"/>
      <c r="J544" s="4"/>
      <c r="K544" s="4"/>
      <c r="L544" s="4"/>
      <c r="M544" s="4"/>
      <c r="N544" s="4"/>
      <c r="O544" s="4"/>
    </row>
    <row r="545" spans="1:15">
      <c r="A545" s="4" t="s">
        <v>803</v>
      </c>
      <c r="B545" s="4" t="s">
        <v>825</v>
      </c>
      <c r="C545" t="s">
        <v>807</v>
      </c>
      <c r="F545" s="13">
        <v>1</v>
      </c>
      <c r="G545" s="21">
        <v>0</v>
      </c>
      <c r="I545" s="4">
        <v>4</v>
      </c>
      <c r="J545" s="4">
        <v>18</v>
      </c>
      <c r="K545" s="4" t="s">
        <v>840</v>
      </c>
      <c r="L545" s="4" t="s">
        <v>13</v>
      </c>
      <c r="M545" s="4">
        <v>2025</v>
      </c>
      <c r="N545" s="4">
        <v>1</v>
      </c>
      <c r="O545" s="4">
        <v>1</v>
      </c>
    </row>
    <row r="546" spans="1:15">
      <c r="A546" s="4" t="s">
        <v>803</v>
      </c>
      <c r="B546" s="4" t="s">
        <v>826</v>
      </c>
      <c r="C546" t="s">
        <v>808</v>
      </c>
      <c r="F546" s="13">
        <v>0</v>
      </c>
      <c r="I546" s="4"/>
      <c r="J546" s="4"/>
      <c r="K546" s="4"/>
      <c r="L546" s="4"/>
      <c r="M546" s="4"/>
      <c r="N546" s="4"/>
      <c r="O546" s="4"/>
    </row>
    <row r="547" spans="1:15">
      <c r="A547" s="4" t="s">
        <v>803</v>
      </c>
      <c r="B547" s="4" t="s">
        <v>827</v>
      </c>
      <c r="C547" t="s">
        <v>809</v>
      </c>
      <c r="F547" s="13">
        <v>0</v>
      </c>
      <c r="I547" s="4"/>
      <c r="J547" s="4"/>
      <c r="K547" s="4"/>
      <c r="L547" s="4"/>
      <c r="M547" s="4"/>
      <c r="N547" s="4"/>
      <c r="O547" s="4"/>
    </row>
    <row r="548" spans="1:15">
      <c r="A548" s="4" t="s">
        <v>803</v>
      </c>
      <c r="B548" s="4" t="s">
        <v>828</v>
      </c>
      <c r="C548" t="s">
        <v>810</v>
      </c>
      <c r="F548" s="13">
        <v>1</v>
      </c>
      <c r="G548" s="21">
        <v>0</v>
      </c>
      <c r="I548" s="4">
        <v>7</v>
      </c>
      <c r="J548" s="4">
        <v>18</v>
      </c>
      <c r="K548" s="4" t="s">
        <v>840</v>
      </c>
      <c r="L548" s="4" t="s">
        <v>13</v>
      </c>
      <c r="M548" s="4">
        <v>2025</v>
      </c>
      <c r="N548" s="4">
        <v>1</v>
      </c>
      <c r="O548" s="4">
        <v>1</v>
      </c>
    </row>
    <row r="549" spans="1:15">
      <c r="A549" s="4" t="s">
        <v>803</v>
      </c>
      <c r="B549" s="4" t="s">
        <v>829</v>
      </c>
      <c r="C549" t="s">
        <v>811</v>
      </c>
      <c r="F549" s="13">
        <v>1</v>
      </c>
      <c r="G549" s="21">
        <v>0</v>
      </c>
      <c r="I549" s="4">
        <v>8</v>
      </c>
      <c r="J549" s="4">
        <v>18</v>
      </c>
      <c r="K549" s="4" t="s">
        <v>840</v>
      </c>
      <c r="L549" s="4" t="s">
        <v>13</v>
      </c>
      <c r="M549" s="4">
        <v>2025</v>
      </c>
      <c r="N549" s="4">
        <v>1</v>
      </c>
      <c r="O549" s="4">
        <v>1</v>
      </c>
    </row>
    <row r="550" spans="1:15">
      <c r="A550" s="4" t="s">
        <v>803</v>
      </c>
      <c r="B550" s="4" t="s">
        <v>830</v>
      </c>
      <c r="C550" t="s">
        <v>812</v>
      </c>
      <c r="F550" s="13">
        <v>0</v>
      </c>
      <c r="I550" s="4"/>
      <c r="J550" s="4"/>
      <c r="K550" s="4"/>
      <c r="L550" s="4"/>
      <c r="M550" s="4"/>
      <c r="N550" s="4"/>
      <c r="O550" s="4"/>
    </row>
    <row r="551" spans="1:15">
      <c r="A551" s="4" t="s">
        <v>803</v>
      </c>
      <c r="B551" s="4" t="s">
        <v>831</v>
      </c>
      <c r="C551" t="s">
        <v>813</v>
      </c>
      <c r="F551" s="13">
        <v>0</v>
      </c>
      <c r="I551" s="4"/>
      <c r="J551" s="4"/>
      <c r="K551" s="4"/>
      <c r="L551" s="4"/>
      <c r="M551" s="4"/>
      <c r="N551" s="4"/>
      <c r="O551" s="4"/>
    </row>
    <row r="552" spans="1:15">
      <c r="A552" s="4" t="s">
        <v>803</v>
      </c>
      <c r="B552" s="4" t="s">
        <v>832</v>
      </c>
      <c r="C552" t="s">
        <v>814</v>
      </c>
      <c r="F552" s="13">
        <v>1</v>
      </c>
      <c r="G552" s="21">
        <v>0</v>
      </c>
      <c r="I552" s="4">
        <v>11</v>
      </c>
      <c r="J552" s="4">
        <v>18</v>
      </c>
      <c r="K552" s="4" t="s">
        <v>840</v>
      </c>
      <c r="L552" s="4" t="s">
        <v>13</v>
      </c>
      <c r="M552" s="4">
        <v>2025</v>
      </c>
      <c r="N552" s="4">
        <v>1</v>
      </c>
      <c r="O552" s="4">
        <v>1</v>
      </c>
    </row>
    <row r="553" spans="1:15">
      <c r="A553" s="4" t="s">
        <v>803</v>
      </c>
      <c r="B553" s="4" t="s">
        <v>833</v>
      </c>
      <c r="C553" t="s">
        <v>815</v>
      </c>
      <c r="F553" s="13">
        <v>0</v>
      </c>
      <c r="I553" s="4"/>
      <c r="J553" s="4"/>
      <c r="K553" s="4"/>
      <c r="L553" s="4"/>
      <c r="M553" s="4"/>
      <c r="N553" s="4"/>
      <c r="O553" s="4"/>
    </row>
    <row r="554" spans="1:15">
      <c r="A554" s="4" t="s">
        <v>803</v>
      </c>
      <c r="B554" s="4" t="s">
        <v>834</v>
      </c>
      <c r="C554" t="s">
        <v>816</v>
      </c>
      <c r="F554" s="13">
        <v>1</v>
      </c>
      <c r="G554" s="21">
        <v>0</v>
      </c>
      <c r="I554" s="4">
        <v>13</v>
      </c>
      <c r="J554" s="4">
        <v>18</v>
      </c>
      <c r="K554" s="4" t="s">
        <v>840</v>
      </c>
      <c r="L554" s="4" t="s">
        <v>13</v>
      </c>
      <c r="M554" s="4">
        <v>2025</v>
      </c>
      <c r="N554" s="4">
        <v>1</v>
      </c>
      <c r="O554" s="4">
        <v>1</v>
      </c>
    </row>
    <row r="555" spans="1:15">
      <c r="A555" s="4" t="s">
        <v>803</v>
      </c>
      <c r="B555" s="4" t="s">
        <v>835</v>
      </c>
      <c r="C555" t="s">
        <v>817</v>
      </c>
      <c r="F555" s="13">
        <v>1</v>
      </c>
      <c r="G555" s="21">
        <v>0</v>
      </c>
      <c r="I555" s="4">
        <v>14</v>
      </c>
      <c r="J555" s="4">
        <v>18</v>
      </c>
      <c r="K555" s="4" t="s">
        <v>840</v>
      </c>
      <c r="L555" s="4" t="s">
        <v>13</v>
      </c>
      <c r="M555" s="4">
        <v>2025</v>
      </c>
      <c r="N555" s="4">
        <v>1</v>
      </c>
      <c r="O555" s="4">
        <v>1</v>
      </c>
    </row>
    <row r="556" spans="1:15">
      <c r="A556" s="4" t="s">
        <v>803</v>
      </c>
      <c r="B556" s="4" t="s">
        <v>836</v>
      </c>
      <c r="C556" t="s">
        <v>818</v>
      </c>
      <c r="F556" s="13">
        <v>0</v>
      </c>
      <c r="I556" s="4"/>
      <c r="J556" s="4"/>
      <c r="K556" s="4"/>
      <c r="L556" s="4"/>
      <c r="M556" s="4"/>
      <c r="N556" s="4"/>
      <c r="O556" s="4"/>
    </row>
    <row r="557" spans="1:15">
      <c r="A557" s="4" t="s">
        <v>803</v>
      </c>
      <c r="B557" s="4" t="s">
        <v>837</v>
      </c>
      <c r="C557" t="s">
        <v>819</v>
      </c>
      <c r="F557" s="13">
        <v>0</v>
      </c>
      <c r="I557" s="4"/>
      <c r="J557" s="4"/>
      <c r="K557" s="4"/>
      <c r="L557" s="4"/>
      <c r="M557" s="4"/>
      <c r="N557" s="4"/>
      <c r="O557" s="4"/>
    </row>
    <row r="558" spans="1:15">
      <c r="A558" s="4" t="s">
        <v>803</v>
      </c>
      <c r="B558" s="4" t="s">
        <v>838</v>
      </c>
      <c r="C558" t="s">
        <v>820</v>
      </c>
      <c r="F558" s="13">
        <v>1</v>
      </c>
      <c r="G558" s="21">
        <v>0</v>
      </c>
      <c r="I558" s="4">
        <v>17</v>
      </c>
      <c r="J558" s="4">
        <v>18</v>
      </c>
      <c r="K558" s="4" t="s">
        <v>840</v>
      </c>
      <c r="L558" s="4" t="s">
        <v>13</v>
      </c>
      <c r="M558" s="4">
        <v>2025</v>
      </c>
      <c r="N558" s="4">
        <v>1</v>
      </c>
      <c r="O558" s="4">
        <v>1</v>
      </c>
    </row>
    <row r="559" spans="1:15">
      <c r="A559" s="4" t="s">
        <v>803</v>
      </c>
      <c r="B559" s="4" t="s">
        <v>839</v>
      </c>
      <c r="C559" t="s">
        <v>821</v>
      </c>
      <c r="F559" s="13">
        <v>0</v>
      </c>
      <c r="I559" s="4"/>
      <c r="J559" s="4"/>
      <c r="K559" s="4"/>
      <c r="L559" s="4"/>
      <c r="M559" s="4"/>
      <c r="N559" s="4"/>
      <c r="O559" s="4"/>
    </row>
    <row r="560" spans="1:15">
      <c r="A560" s="4" t="s">
        <v>842</v>
      </c>
      <c r="B560" s="4" t="s">
        <v>841</v>
      </c>
      <c r="C560" t="s">
        <v>843</v>
      </c>
      <c r="F560" s="13">
        <v>1</v>
      </c>
      <c r="G560" s="21">
        <v>1</v>
      </c>
      <c r="I560" s="4">
        <v>1</v>
      </c>
      <c r="J560" s="4">
        <v>11</v>
      </c>
      <c r="K560" s="4" t="s">
        <v>840</v>
      </c>
      <c r="L560" s="4" t="s">
        <v>13</v>
      </c>
      <c r="M560" s="4">
        <v>2024</v>
      </c>
      <c r="N560" s="4">
        <v>1</v>
      </c>
      <c r="O560" s="4">
        <v>1</v>
      </c>
    </row>
    <row r="561" spans="1:15">
      <c r="A561" s="4" t="s">
        <v>842</v>
      </c>
      <c r="B561" s="4" t="s">
        <v>854</v>
      </c>
      <c r="C561" t="s">
        <v>844</v>
      </c>
      <c r="F561" s="13">
        <v>1</v>
      </c>
      <c r="G561" s="21">
        <v>0</v>
      </c>
      <c r="I561" s="4">
        <v>2</v>
      </c>
      <c r="J561" s="4">
        <v>11</v>
      </c>
      <c r="K561" s="4" t="s">
        <v>840</v>
      </c>
      <c r="L561" s="4" t="s">
        <v>13</v>
      </c>
      <c r="M561" s="4">
        <v>2024</v>
      </c>
      <c r="N561" s="4">
        <v>1</v>
      </c>
      <c r="O561" s="4">
        <v>1</v>
      </c>
    </row>
    <row r="562" spans="1:15">
      <c r="A562" s="4" t="s">
        <v>842</v>
      </c>
      <c r="B562" s="4" t="s">
        <v>855</v>
      </c>
      <c r="C562" t="s">
        <v>845</v>
      </c>
      <c r="F562" s="13">
        <v>0</v>
      </c>
      <c r="I562" s="4"/>
      <c r="J562" s="4"/>
      <c r="K562" s="4"/>
      <c r="L562" s="4"/>
      <c r="M562" s="4"/>
      <c r="N562" s="4"/>
      <c r="O562" s="4"/>
    </row>
    <row r="563" spans="1:15">
      <c r="A563" s="4" t="s">
        <v>842</v>
      </c>
      <c r="B563" s="4" t="s">
        <v>856</v>
      </c>
      <c r="C563" t="s">
        <v>846</v>
      </c>
      <c r="F563" s="13">
        <v>0</v>
      </c>
      <c r="I563" s="4"/>
      <c r="J563" s="4"/>
      <c r="K563" s="4"/>
      <c r="L563" s="4"/>
      <c r="M563" s="4"/>
      <c r="N563" s="4"/>
      <c r="O563" s="4"/>
    </row>
    <row r="564" spans="1:15">
      <c r="A564" s="4" t="s">
        <v>842</v>
      </c>
      <c r="B564" s="4" t="s">
        <v>857</v>
      </c>
      <c r="C564" t="s">
        <v>847</v>
      </c>
      <c r="F564" s="13">
        <v>0</v>
      </c>
      <c r="I564" s="4"/>
      <c r="J564" s="4"/>
      <c r="K564" s="4"/>
      <c r="L564" s="4"/>
      <c r="M564" s="4"/>
      <c r="N564" s="4"/>
      <c r="O564" s="4"/>
    </row>
    <row r="565" spans="1:15">
      <c r="A565" s="4" t="s">
        <v>842</v>
      </c>
      <c r="B565" s="4" t="s">
        <v>858</v>
      </c>
      <c r="C565" t="s">
        <v>848</v>
      </c>
      <c r="F565" s="13">
        <v>0</v>
      </c>
      <c r="I565" s="4"/>
      <c r="J565" s="4"/>
      <c r="K565" s="4"/>
      <c r="L565" s="4"/>
      <c r="M565" s="4"/>
      <c r="N565" s="4"/>
      <c r="O565" s="4"/>
    </row>
    <row r="566" spans="1:15">
      <c r="A566" s="4" t="s">
        <v>842</v>
      </c>
      <c r="B566" s="4" t="s">
        <v>859</v>
      </c>
      <c r="C566" t="s">
        <v>849</v>
      </c>
      <c r="F566" s="13">
        <v>1</v>
      </c>
      <c r="G566" s="21">
        <v>1</v>
      </c>
      <c r="I566" s="4">
        <v>7</v>
      </c>
      <c r="J566" s="4">
        <v>11</v>
      </c>
      <c r="K566" s="4" t="s">
        <v>840</v>
      </c>
      <c r="L566" s="4" t="s">
        <v>13</v>
      </c>
      <c r="M566" s="4">
        <v>2024</v>
      </c>
      <c r="N566" s="4">
        <v>1</v>
      </c>
      <c r="O566" s="4">
        <v>1</v>
      </c>
    </row>
    <row r="567" spans="1:15">
      <c r="A567" s="4" t="s">
        <v>842</v>
      </c>
      <c r="B567" s="4" t="s">
        <v>860</v>
      </c>
      <c r="C567" t="s">
        <v>850</v>
      </c>
      <c r="F567" s="13">
        <v>1</v>
      </c>
      <c r="G567" s="21">
        <v>1</v>
      </c>
      <c r="I567" s="4">
        <v>8</v>
      </c>
      <c r="J567" s="4">
        <v>11</v>
      </c>
      <c r="K567" s="4" t="s">
        <v>840</v>
      </c>
      <c r="L567" s="4" t="s">
        <v>13</v>
      </c>
      <c r="M567" s="4">
        <v>2024</v>
      </c>
      <c r="N567" s="4">
        <v>1</v>
      </c>
      <c r="O567" s="4">
        <v>1</v>
      </c>
    </row>
    <row r="568" spans="1:15">
      <c r="A568" s="4" t="s">
        <v>842</v>
      </c>
      <c r="B568" s="4" t="s">
        <v>861</v>
      </c>
      <c r="C568" t="s">
        <v>851</v>
      </c>
      <c r="F568" s="13">
        <v>1</v>
      </c>
      <c r="G568" s="21">
        <v>0</v>
      </c>
      <c r="I568" s="4">
        <v>9</v>
      </c>
      <c r="J568" s="4">
        <v>11</v>
      </c>
      <c r="K568" s="4" t="s">
        <v>840</v>
      </c>
      <c r="L568" s="4" t="s">
        <v>13</v>
      </c>
      <c r="M568" s="4">
        <v>2024</v>
      </c>
      <c r="N568" s="4">
        <v>1</v>
      </c>
      <c r="O568" s="4">
        <v>1</v>
      </c>
    </row>
    <row r="569" spans="1:15">
      <c r="A569" s="4" t="s">
        <v>842</v>
      </c>
      <c r="B569" s="4" t="s">
        <v>862</v>
      </c>
      <c r="C569" t="s">
        <v>852</v>
      </c>
      <c r="F569" s="13">
        <v>0</v>
      </c>
      <c r="I569" s="4"/>
      <c r="J569" s="4"/>
      <c r="K569" s="4"/>
      <c r="L569" s="4"/>
      <c r="M569" s="4"/>
      <c r="N569" s="4"/>
      <c r="O569" s="4"/>
    </row>
    <row r="570" spans="1:15">
      <c r="A570" s="4" t="s">
        <v>842</v>
      </c>
      <c r="B570" s="4" t="s">
        <v>863</v>
      </c>
      <c r="C570" t="s">
        <v>853</v>
      </c>
      <c r="F570" s="13">
        <v>1</v>
      </c>
      <c r="G570" s="21">
        <v>0</v>
      </c>
      <c r="I570" s="4">
        <v>11</v>
      </c>
      <c r="J570" s="4">
        <v>11</v>
      </c>
      <c r="K570" s="4" t="s">
        <v>840</v>
      </c>
      <c r="L570" s="4" t="s">
        <v>13</v>
      </c>
      <c r="M570" s="4">
        <v>2024</v>
      </c>
      <c r="N570" s="4">
        <v>1</v>
      </c>
      <c r="O570" s="4">
        <v>1</v>
      </c>
    </row>
    <row r="571" spans="1:15">
      <c r="A571" s="4" t="s">
        <v>864</v>
      </c>
      <c r="B571" s="4" t="s">
        <v>865</v>
      </c>
      <c r="C571" t="s">
        <v>866</v>
      </c>
      <c r="F571" s="13">
        <v>0</v>
      </c>
      <c r="I571" s="4"/>
      <c r="J571" s="4"/>
      <c r="K571" s="4"/>
      <c r="L571" s="4"/>
      <c r="M571" s="4"/>
      <c r="N571" s="4"/>
      <c r="O571" s="4"/>
    </row>
    <row r="572" spans="1:15">
      <c r="A572" s="4" t="s">
        <v>864</v>
      </c>
      <c r="B572" s="4" t="s">
        <v>875</v>
      </c>
      <c r="C572" t="s">
        <v>867</v>
      </c>
      <c r="F572" s="13">
        <v>0</v>
      </c>
      <c r="I572" s="4"/>
      <c r="J572" s="4"/>
      <c r="K572" s="4"/>
      <c r="L572" s="4"/>
      <c r="M572" s="4"/>
      <c r="N572" s="4"/>
      <c r="O572" s="4"/>
    </row>
    <row r="573" spans="1:15">
      <c r="A573" s="4" t="s">
        <v>864</v>
      </c>
      <c r="B573" s="4" t="s">
        <v>876</v>
      </c>
      <c r="C573" t="s">
        <v>868</v>
      </c>
      <c r="F573" s="13">
        <v>0</v>
      </c>
      <c r="I573" s="4"/>
      <c r="J573" s="4"/>
      <c r="K573" s="4"/>
      <c r="L573" s="4"/>
      <c r="M573" s="4"/>
      <c r="N573" s="4"/>
      <c r="O573" s="4"/>
    </row>
    <row r="574" spans="1:15">
      <c r="A574" s="4" t="s">
        <v>864</v>
      </c>
      <c r="B574" s="4" t="s">
        <v>877</v>
      </c>
      <c r="C574" t="s">
        <v>869</v>
      </c>
      <c r="F574" s="13">
        <v>1</v>
      </c>
      <c r="G574" s="21">
        <v>0</v>
      </c>
      <c r="I574" s="4">
        <v>4</v>
      </c>
      <c r="J574" s="4">
        <v>9</v>
      </c>
      <c r="K574" s="4" t="s">
        <v>840</v>
      </c>
      <c r="L574" s="4" t="s">
        <v>13</v>
      </c>
      <c r="M574" s="4">
        <v>2023</v>
      </c>
      <c r="N574" s="4">
        <v>1</v>
      </c>
      <c r="O574" s="4">
        <v>1</v>
      </c>
    </row>
    <row r="575" spans="1:15">
      <c r="A575" s="4" t="s">
        <v>864</v>
      </c>
      <c r="B575" s="4" t="s">
        <v>878</v>
      </c>
      <c r="C575" t="s">
        <v>870</v>
      </c>
      <c r="F575" s="13">
        <v>1</v>
      </c>
      <c r="G575" s="21">
        <v>0</v>
      </c>
      <c r="I575" s="4">
        <v>5</v>
      </c>
      <c r="J575" s="4">
        <v>9</v>
      </c>
      <c r="K575" s="4" t="s">
        <v>840</v>
      </c>
      <c r="L575" s="4" t="s">
        <v>13</v>
      </c>
      <c r="M575" s="4">
        <v>2023</v>
      </c>
      <c r="N575" s="4">
        <v>1</v>
      </c>
      <c r="O575" s="4">
        <v>1</v>
      </c>
    </row>
    <row r="576" spans="1:15">
      <c r="A576" s="4" t="s">
        <v>864</v>
      </c>
      <c r="B576" s="4" t="s">
        <v>879</v>
      </c>
      <c r="C576" t="s">
        <v>871</v>
      </c>
      <c r="F576" s="13">
        <v>1</v>
      </c>
      <c r="G576" s="21">
        <v>0</v>
      </c>
      <c r="I576" s="4">
        <v>6</v>
      </c>
      <c r="J576" s="4">
        <v>9</v>
      </c>
      <c r="K576" s="4" t="s">
        <v>840</v>
      </c>
      <c r="L576" s="4" t="s">
        <v>13</v>
      </c>
      <c r="M576" s="4">
        <v>2023</v>
      </c>
      <c r="N576" s="4">
        <v>1</v>
      </c>
      <c r="O576" s="4">
        <v>1</v>
      </c>
    </row>
    <row r="577" spans="1:15">
      <c r="A577" s="4" t="s">
        <v>864</v>
      </c>
      <c r="B577" s="4" t="s">
        <v>880</v>
      </c>
      <c r="C577" t="s">
        <v>872</v>
      </c>
      <c r="F577" s="13">
        <v>0</v>
      </c>
      <c r="I577" s="4"/>
      <c r="J577" s="4"/>
      <c r="K577" s="4"/>
      <c r="L577" s="4"/>
      <c r="M577" s="4"/>
      <c r="N577" s="4"/>
      <c r="O577" s="4"/>
    </row>
    <row r="578" spans="1:15">
      <c r="A578" s="4" t="s">
        <v>864</v>
      </c>
      <c r="B578" s="4" t="s">
        <v>881</v>
      </c>
      <c r="C578" t="s">
        <v>873</v>
      </c>
      <c r="F578" s="13">
        <v>1</v>
      </c>
      <c r="G578" s="21">
        <v>0</v>
      </c>
      <c r="I578" s="4">
        <v>8</v>
      </c>
      <c r="J578" s="4">
        <v>9</v>
      </c>
      <c r="K578" s="4" t="s">
        <v>840</v>
      </c>
      <c r="L578" s="4" t="s">
        <v>13</v>
      </c>
      <c r="M578" s="4">
        <v>2023</v>
      </c>
      <c r="N578" s="4">
        <v>1</v>
      </c>
      <c r="O578" s="4">
        <v>1</v>
      </c>
    </row>
    <row r="579" spans="1:15">
      <c r="A579" s="4" t="s">
        <v>864</v>
      </c>
      <c r="B579" s="4" t="s">
        <v>882</v>
      </c>
      <c r="C579" t="s">
        <v>874</v>
      </c>
      <c r="F579" s="13">
        <v>0</v>
      </c>
      <c r="I579" s="4"/>
      <c r="J579" s="4"/>
      <c r="K579" s="4"/>
      <c r="L579" s="4"/>
      <c r="M579" s="4"/>
      <c r="N579" s="4"/>
      <c r="O579" s="4"/>
    </row>
    <row r="580" spans="1:15">
      <c r="A580" s="4" t="s">
        <v>883</v>
      </c>
      <c r="B580" s="4" t="s">
        <v>884</v>
      </c>
      <c r="C580" t="s">
        <v>885</v>
      </c>
      <c r="F580" s="13">
        <v>1</v>
      </c>
      <c r="G580" s="21">
        <v>0</v>
      </c>
      <c r="I580" s="4">
        <v>1</v>
      </c>
      <c r="J580" s="4">
        <v>8</v>
      </c>
      <c r="K580" s="4" t="s">
        <v>840</v>
      </c>
      <c r="L580" s="4" t="s">
        <v>13</v>
      </c>
      <c r="M580" s="4">
        <v>2019</v>
      </c>
      <c r="N580" s="4">
        <v>1</v>
      </c>
      <c r="O580" s="4">
        <v>1</v>
      </c>
    </row>
    <row r="581" spans="1:15">
      <c r="A581" s="4" t="s">
        <v>883</v>
      </c>
      <c r="B581" s="4" t="s">
        <v>894</v>
      </c>
      <c r="C581" t="s">
        <v>886</v>
      </c>
      <c r="F581" s="13">
        <v>0</v>
      </c>
      <c r="I581" s="4"/>
      <c r="J581" s="4"/>
      <c r="K581" s="4"/>
      <c r="L581" s="4"/>
      <c r="M581" s="4"/>
      <c r="N581" s="4"/>
      <c r="O581" s="4"/>
    </row>
    <row r="582" spans="1:15">
      <c r="A582" s="4" t="s">
        <v>883</v>
      </c>
      <c r="B582" s="4" t="s">
        <v>895</v>
      </c>
      <c r="C582" t="s">
        <v>887</v>
      </c>
      <c r="F582" s="13">
        <v>0</v>
      </c>
      <c r="I582" s="4"/>
      <c r="J582" s="4"/>
      <c r="K582" s="4"/>
      <c r="L582" s="4"/>
      <c r="M582" s="4"/>
      <c r="N582" s="4"/>
      <c r="O582" s="4"/>
    </row>
    <row r="583" spans="1:15">
      <c r="A583" s="4" t="s">
        <v>883</v>
      </c>
      <c r="B583" s="4" t="s">
        <v>896</v>
      </c>
      <c r="C583" t="s">
        <v>888</v>
      </c>
      <c r="F583" s="13">
        <v>1</v>
      </c>
      <c r="G583" s="21">
        <v>0</v>
      </c>
      <c r="I583" s="4">
        <v>4</v>
      </c>
      <c r="J583" s="4">
        <v>8</v>
      </c>
      <c r="K583" s="4" t="s">
        <v>840</v>
      </c>
      <c r="L583" s="4" t="s">
        <v>13</v>
      </c>
      <c r="M583" s="4">
        <v>2019</v>
      </c>
      <c r="N583" s="4">
        <v>1</v>
      </c>
      <c r="O583" s="4">
        <v>1</v>
      </c>
    </row>
    <row r="584" spans="1:15">
      <c r="A584" s="4" t="s">
        <v>883</v>
      </c>
      <c r="B584" s="4" t="s">
        <v>897</v>
      </c>
      <c r="C584" t="s">
        <v>889</v>
      </c>
      <c r="F584" s="13">
        <v>0</v>
      </c>
      <c r="I584" s="4"/>
      <c r="J584" s="4"/>
      <c r="K584" s="4"/>
      <c r="L584" s="4"/>
      <c r="M584" s="4"/>
      <c r="N584" s="4"/>
      <c r="O584" s="4"/>
    </row>
    <row r="585" spans="1:15">
      <c r="A585" s="4" t="s">
        <v>883</v>
      </c>
      <c r="B585" s="4" t="s">
        <v>898</v>
      </c>
      <c r="C585" t="s">
        <v>890</v>
      </c>
      <c r="F585" s="13">
        <v>0</v>
      </c>
      <c r="I585" s="4"/>
      <c r="J585" s="4"/>
      <c r="K585" s="4"/>
      <c r="L585" s="4"/>
      <c r="M585" s="4"/>
      <c r="N585" s="4"/>
      <c r="O585" s="4"/>
    </row>
    <row r="586" spans="1:15">
      <c r="A586" s="4" t="s">
        <v>883</v>
      </c>
      <c r="B586" s="4" t="s">
        <v>899</v>
      </c>
      <c r="C586" t="s">
        <v>891</v>
      </c>
      <c r="F586" s="13">
        <v>0</v>
      </c>
      <c r="I586" s="4"/>
      <c r="J586" s="4"/>
      <c r="K586" s="4"/>
      <c r="L586" s="4"/>
      <c r="M586" s="4"/>
      <c r="N586" s="4"/>
      <c r="O586" s="4"/>
    </row>
    <row r="587" spans="1:15">
      <c r="A587" s="4" t="s">
        <v>883</v>
      </c>
      <c r="B587" s="4" t="s">
        <v>900</v>
      </c>
      <c r="C587" t="s">
        <v>892</v>
      </c>
      <c r="F587" s="13">
        <v>0</v>
      </c>
      <c r="I587" s="4"/>
      <c r="J587" s="4"/>
      <c r="K587" s="4"/>
      <c r="L587" s="4"/>
      <c r="M587" s="4"/>
      <c r="N587" s="4"/>
      <c r="O587" s="4"/>
    </row>
    <row r="588" spans="1:15">
      <c r="A588" s="4" t="s">
        <v>902</v>
      </c>
      <c r="B588" s="4" t="s">
        <v>901</v>
      </c>
      <c r="C588" t="s">
        <v>893</v>
      </c>
      <c r="F588" s="13">
        <v>0</v>
      </c>
      <c r="I588" s="4"/>
      <c r="J588" s="4"/>
      <c r="K588" s="4"/>
      <c r="L588" s="4"/>
      <c r="M588" s="4"/>
      <c r="N588" s="4"/>
      <c r="O588" s="4"/>
    </row>
    <row r="589" spans="1:15">
      <c r="A589" s="4" t="s">
        <v>902</v>
      </c>
      <c r="B589" s="4" t="s">
        <v>908</v>
      </c>
      <c r="C589" t="s">
        <v>903</v>
      </c>
      <c r="F589" s="13">
        <v>0</v>
      </c>
      <c r="I589" s="4"/>
      <c r="J589" s="4"/>
      <c r="K589" s="4"/>
      <c r="L589" s="4"/>
      <c r="M589" s="4"/>
      <c r="N589" s="4"/>
      <c r="O589" s="4"/>
    </row>
    <row r="590" spans="1:15">
      <c r="A590" s="4" t="s">
        <v>902</v>
      </c>
      <c r="B590" s="4" t="s">
        <v>909</v>
      </c>
      <c r="C590" t="s">
        <v>904</v>
      </c>
      <c r="F590" s="13">
        <v>0</v>
      </c>
      <c r="I590" s="4"/>
      <c r="J590" s="4"/>
      <c r="K590" s="4"/>
      <c r="L590" s="4"/>
      <c r="M590" s="4"/>
      <c r="N590" s="4"/>
      <c r="O590" s="4"/>
    </row>
    <row r="591" spans="1:15">
      <c r="A591" s="4" t="s">
        <v>902</v>
      </c>
      <c r="B591" s="4" t="s">
        <v>910</v>
      </c>
      <c r="C591" t="s">
        <v>905</v>
      </c>
      <c r="F591" s="13">
        <v>0</v>
      </c>
      <c r="I591" s="4"/>
      <c r="J591" s="4"/>
      <c r="K591" s="4"/>
      <c r="L591" s="4"/>
      <c r="M591" s="4"/>
      <c r="N591" s="4"/>
      <c r="O591" s="4"/>
    </row>
    <row r="592" spans="1:15">
      <c r="A592" s="4" t="s">
        <v>902</v>
      </c>
      <c r="B592" s="4" t="s">
        <v>911</v>
      </c>
      <c r="C592" t="s">
        <v>906</v>
      </c>
      <c r="F592" s="13">
        <v>1</v>
      </c>
      <c r="G592" s="21">
        <v>0</v>
      </c>
      <c r="I592" s="4">
        <v>5</v>
      </c>
      <c r="J592" s="4">
        <v>6</v>
      </c>
      <c r="K592" s="4" t="s">
        <v>840</v>
      </c>
      <c r="L592" s="4" t="s">
        <v>13</v>
      </c>
      <c r="M592" s="4">
        <v>2021</v>
      </c>
      <c r="N592" s="4">
        <v>1</v>
      </c>
      <c r="O592" s="4">
        <v>1</v>
      </c>
    </row>
    <row r="593" spans="1:15">
      <c r="A593" s="4" t="s">
        <v>902</v>
      </c>
      <c r="B593" s="4" t="s">
        <v>912</v>
      </c>
      <c r="C593" t="s">
        <v>907</v>
      </c>
      <c r="F593" s="13">
        <v>0</v>
      </c>
      <c r="I593" s="4"/>
      <c r="J593" s="4"/>
      <c r="K593" s="4"/>
      <c r="L593" s="4"/>
      <c r="M593" s="4"/>
      <c r="N593" s="4"/>
      <c r="O593" s="4"/>
    </row>
    <row r="594" spans="1:15">
      <c r="A594" s="4" t="s">
        <v>914</v>
      </c>
      <c r="B594" s="4" t="s">
        <v>913</v>
      </c>
      <c r="C594" t="s">
        <v>915</v>
      </c>
      <c r="F594" s="13">
        <v>0</v>
      </c>
      <c r="I594" s="4"/>
      <c r="J594" s="4"/>
      <c r="K594" s="4"/>
      <c r="L594" s="4"/>
      <c r="M594" s="4"/>
      <c r="N594" s="4"/>
      <c r="O594" s="4"/>
    </row>
    <row r="595" spans="1:15">
      <c r="A595" s="4" t="s">
        <v>914</v>
      </c>
      <c r="B595" s="4" t="s">
        <v>923</v>
      </c>
      <c r="C595" t="s">
        <v>916</v>
      </c>
      <c r="F595" s="13">
        <v>0</v>
      </c>
      <c r="I595" s="4"/>
      <c r="J595" s="4"/>
      <c r="K595" s="4"/>
      <c r="L595" s="4"/>
      <c r="M595" s="4"/>
      <c r="N595" s="4"/>
      <c r="O595" s="4"/>
    </row>
    <row r="596" spans="1:15">
      <c r="A596" s="4" t="s">
        <v>914</v>
      </c>
      <c r="B596" s="4" t="s">
        <v>924</v>
      </c>
      <c r="C596" t="s">
        <v>917</v>
      </c>
      <c r="F596" s="13">
        <v>1</v>
      </c>
      <c r="G596" s="21">
        <v>0</v>
      </c>
      <c r="I596" s="4">
        <v>3</v>
      </c>
      <c r="J596" s="4">
        <v>8</v>
      </c>
      <c r="K596" s="4" t="s">
        <v>840</v>
      </c>
      <c r="L596" s="4" t="s">
        <v>13</v>
      </c>
      <c r="M596" s="4">
        <v>2022</v>
      </c>
      <c r="N596" s="4">
        <v>1</v>
      </c>
      <c r="O596" s="4">
        <v>1</v>
      </c>
    </row>
    <row r="597" spans="1:15">
      <c r="A597" s="4" t="s">
        <v>914</v>
      </c>
      <c r="B597" s="4" t="s">
        <v>925</v>
      </c>
      <c r="C597" t="s">
        <v>918</v>
      </c>
      <c r="F597" s="13">
        <v>0</v>
      </c>
      <c r="I597" s="4"/>
      <c r="J597" s="4"/>
      <c r="K597" s="4"/>
      <c r="L597" s="4"/>
      <c r="M597" s="4"/>
      <c r="N597" s="4"/>
      <c r="O597" s="4"/>
    </row>
    <row r="598" spans="1:15">
      <c r="A598" s="4" t="s">
        <v>914</v>
      </c>
      <c r="B598" s="4" t="s">
        <v>926</v>
      </c>
      <c r="C598" t="s">
        <v>919</v>
      </c>
      <c r="F598" s="13">
        <v>0</v>
      </c>
      <c r="I598" s="4"/>
      <c r="J598" s="4"/>
      <c r="K598" s="4"/>
      <c r="L598" s="4"/>
      <c r="M598" s="4"/>
      <c r="N598" s="4"/>
      <c r="O598" s="4"/>
    </row>
    <row r="599" spans="1:15">
      <c r="A599" s="4" t="s">
        <v>914</v>
      </c>
      <c r="B599" s="4" t="s">
        <v>927</v>
      </c>
      <c r="C599" t="s">
        <v>920</v>
      </c>
      <c r="F599" s="13">
        <v>0</v>
      </c>
      <c r="I599" s="4"/>
      <c r="J599" s="4"/>
      <c r="K599" s="4"/>
      <c r="L599" s="4"/>
      <c r="M599" s="4"/>
      <c r="N599" s="4"/>
      <c r="O599" s="4"/>
    </row>
    <row r="600" spans="1:15">
      <c r="A600" s="4" t="s">
        <v>914</v>
      </c>
      <c r="B600" s="4" t="s">
        <v>928</v>
      </c>
      <c r="C600" t="s">
        <v>921</v>
      </c>
      <c r="F600" s="13">
        <v>0</v>
      </c>
      <c r="I600" s="4"/>
      <c r="J600" s="4"/>
      <c r="K600" s="4"/>
      <c r="L600" s="4"/>
      <c r="M600" s="4"/>
      <c r="N600" s="4"/>
      <c r="O600" s="4"/>
    </row>
    <row r="601" spans="1:15">
      <c r="A601" s="4" t="s">
        <v>914</v>
      </c>
      <c r="B601" s="4" t="s">
        <v>929</v>
      </c>
      <c r="C601" t="s">
        <v>922</v>
      </c>
      <c r="F601" s="13">
        <v>0</v>
      </c>
      <c r="I601" s="4"/>
      <c r="J601" s="4"/>
      <c r="K601" s="4"/>
      <c r="L601" s="4"/>
      <c r="M601" s="4"/>
      <c r="N601" s="4"/>
      <c r="O601" s="4"/>
    </row>
    <row r="602" spans="1:15">
      <c r="A602" s="4" t="s">
        <v>930</v>
      </c>
      <c r="B602" s="4" t="s">
        <v>931</v>
      </c>
      <c r="C602" t="s">
        <v>932</v>
      </c>
      <c r="F602" s="13">
        <v>0</v>
      </c>
      <c r="I602" s="4"/>
      <c r="J602" s="4"/>
      <c r="K602" s="4"/>
      <c r="L602" s="4"/>
      <c r="M602" s="4"/>
      <c r="N602" s="4"/>
      <c r="O602" s="4"/>
    </row>
    <row r="603" spans="1:15">
      <c r="A603" s="4" t="s">
        <v>930</v>
      </c>
      <c r="B603" s="4" t="s">
        <v>938</v>
      </c>
      <c r="C603" t="s">
        <v>933</v>
      </c>
      <c r="F603" s="13">
        <v>1</v>
      </c>
      <c r="G603" s="21">
        <v>1</v>
      </c>
      <c r="I603" s="4">
        <v>2</v>
      </c>
      <c r="J603" s="4">
        <v>6</v>
      </c>
      <c r="K603" s="4" t="s">
        <v>943</v>
      </c>
      <c r="L603" s="4" t="s">
        <v>13</v>
      </c>
      <c r="M603" s="4">
        <v>2025</v>
      </c>
      <c r="N603" s="4">
        <v>1</v>
      </c>
      <c r="O603" s="4">
        <v>1</v>
      </c>
    </row>
    <row r="604" spans="1:15">
      <c r="A604" s="4" t="s">
        <v>930</v>
      </c>
      <c r="B604" s="4" t="s">
        <v>939</v>
      </c>
      <c r="C604" t="s">
        <v>934</v>
      </c>
      <c r="F604" s="13">
        <v>1</v>
      </c>
      <c r="G604" s="21">
        <v>1</v>
      </c>
      <c r="I604" s="4">
        <v>3</v>
      </c>
      <c r="J604" s="4">
        <v>6</v>
      </c>
      <c r="K604" s="4" t="s">
        <v>943</v>
      </c>
      <c r="L604" s="4" t="s">
        <v>13</v>
      </c>
      <c r="M604" s="4">
        <v>2025</v>
      </c>
      <c r="N604" s="4">
        <v>1</v>
      </c>
      <c r="O604" s="4">
        <v>1</v>
      </c>
    </row>
    <row r="605" spans="1:15">
      <c r="A605" s="4" t="s">
        <v>930</v>
      </c>
      <c r="B605" s="4" t="s">
        <v>940</v>
      </c>
      <c r="C605" t="s">
        <v>935</v>
      </c>
      <c r="F605" s="13">
        <v>1</v>
      </c>
      <c r="G605" s="21">
        <v>1</v>
      </c>
      <c r="I605" s="4">
        <v>4</v>
      </c>
      <c r="J605" s="4">
        <v>6</v>
      </c>
      <c r="K605" s="4" t="s">
        <v>943</v>
      </c>
      <c r="L605" s="4" t="s">
        <v>13</v>
      </c>
      <c r="M605" s="4">
        <v>2025</v>
      </c>
      <c r="N605" s="4">
        <v>1</v>
      </c>
      <c r="O605" s="4">
        <v>1</v>
      </c>
    </row>
    <row r="606" spans="1:15">
      <c r="A606" s="4" t="s">
        <v>930</v>
      </c>
      <c r="B606" s="4" t="s">
        <v>941</v>
      </c>
      <c r="C606" s="28" t="s">
        <v>936</v>
      </c>
      <c r="F606" s="13">
        <v>1</v>
      </c>
      <c r="G606" s="21">
        <v>0</v>
      </c>
      <c r="I606" s="4">
        <v>5</v>
      </c>
      <c r="J606" s="4">
        <v>6</v>
      </c>
      <c r="K606" s="4" t="s">
        <v>943</v>
      </c>
      <c r="L606" s="4" t="s">
        <v>13</v>
      </c>
      <c r="M606" s="4">
        <v>2025</v>
      </c>
      <c r="N606" s="4">
        <v>1</v>
      </c>
      <c r="O606" s="4">
        <v>1</v>
      </c>
    </row>
    <row r="607" spans="1:15">
      <c r="A607" s="4" t="s">
        <v>930</v>
      </c>
      <c r="B607" s="4" t="s">
        <v>942</v>
      </c>
      <c r="C607" t="s">
        <v>937</v>
      </c>
      <c r="F607" s="13">
        <v>1</v>
      </c>
      <c r="G607" s="21">
        <v>0</v>
      </c>
      <c r="I607" s="4">
        <v>6</v>
      </c>
      <c r="J607" s="4">
        <v>6</v>
      </c>
      <c r="K607" s="4" t="s">
        <v>943</v>
      </c>
      <c r="L607" s="4" t="s">
        <v>13</v>
      </c>
      <c r="M607" s="4">
        <v>2025</v>
      </c>
      <c r="N607" s="4">
        <v>1</v>
      </c>
      <c r="O607" s="4">
        <v>1</v>
      </c>
    </row>
    <row r="608" spans="1:15">
      <c r="A608" s="4" t="s">
        <v>945</v>
      </c>
      <c r="B608" s="4" t="s">
        <v>946</v>
      </c>
      <c r="C608" t="s">
        <v>947</v>
      </c>
      <c r="F608" s="13">
        <v>1</v>
      </c>
      <c r="G608" s="21">
        <v>1</v>
      </c>
      <c r="I608" s="4">
        <v>1</v>
      </c>
      <c r="J608" s="4">
        <v>6</v>
      </c>
      <c r="K608" s="4" t="s">
        <v>958</v>
      </c>
      <c r="L608" s="4" t="s">
        <v>13</v>
      </c>
      <c r="M608" s="4">
        <v>2024</v>
      </c>
      <c r="N608" s="4">
        <v>1</v>
      </c>
      <c r="O608" s="4">
        <v>1</v>
      </c>
    </row>
    <row r="609" spans="1:15">
      <c r="A609" s="4" t="s">
        <v>945</v>
      </c>
      <c r="B609" s="4" t="s">
        <v>953</v>
      </c>
      <c r="C609" t="s">
        <v>948</v>
      </c>
      <c r="F609" s="13">
        <v>1</v>
      </c>
      <c r="G609" s="21">
        <v>0</v>
      </c>
      <c r="I609" s="4">
        <v>2</v>
      </c>
      <c r="J609" s="4">
        <v>6</v>
      </c>
      <c r="K609" s="4" t="s">
        <v>958</v>
      </c>
      <c r="L609" s="4" t="s">
        <v>13</v>
      </c>
      <c r="M609" s="4">
        <v>2024</v>
      </c>
      <c r="N609" s="4">
        <v>1</v>
      </c>
      <c r="O609" s="4">
        <v>1</v>
      </c>
    </row>
    <row r="610" spans="1:15">
      <c r="A610" s="4" t="s">
        <v>945</v>
      </c>
      <c r="B610" s="4" t="s">
        <v>954</v>
      </c>
      <c r="C610" t="s">
        <v>949</v>
      </c>
      <c r="F610" s="13">
        <v>1</v>
      </c>
      <c r="G610" s="21">
        <v>0</v>
      </c>
      <c r="I610" s="4">
        <v>3</v>
      </c>
      <c r="J610" s="4">
        <v>6</v>
      </c>
      <c r="K610" s="4" t="s">
        <v>958</v>
      </c>
      <c r="L610" s="4" t="s">
        <v>13</v>
      </c>
      <c r="M610" s="4">
        <v>2024</v>
      </c>
      <c r="N610" s="4">
        <v>1</v>
      </c>
      <c r="O610" s="4">
        <v>1</v>
      </c>
    </row>
    <row r="611" spans="1:15">
      <c r="A611" s="4" t="s">
        <v>945</v>
      </c>
      <c r="B611" s="4" t="s">
        <v>955</v>
      </c>
      <c r="C611" t="s">
        <v>950</v>
      </c>
      <c r="F611" s="13">
        <v>1</v>
      </c>
      <c r="G611" s="21">
        <v>0</v>
      </c>
      <c r="I611" s="4">
        <v>4</v>
      </c>
      <c r="J611" s="4">
        <v>6</v>
      </c>
      <c r="K611" s="4" t="s">
        <v>958</v>
      </c>
      <c r="L611" s="4" t="s">
        <v>13</v>
      </c>
      <c r="M611" s="4">
        <v>2024</v>
      </c>
      <c r="N611" s="4">
        <v>1</v>
      </c>
      <c r="O611" s="4">
        <v>1</v>
      </c>
    </row>
    <row r="612" spans="1:15">
      <c r="A612" s="4" t="s">
        <v>945</v>
      </c>
      <c r="B612" s="4" t="s">
        <v>956</v>
      </c>
      <c r="C612" t="s">
        <v>951</v>
      </c>
      <c r="F612" s="13">
        <v>1</v>
      </c>
      <c r="G612" s="21">
        <v>0</v>
      </c>
      <c r="I612" s="4">
        <v>5</v>
      </c>
      <c r="J612" s="4">
        <v>6</v>
      </c>
      <c r="K612" s="4" t="s">
        <v>958</v>
      </c>
      <c r="L612" s="4" t="s">
        <v>13</v>
      </c>
      <c r="M612" s="4">
        <v>2024</v>
      </c>
      <c r="N612" s="4">
        <v>1</v>
      </c>
      <c r="O612" s="4">
        <v>1</v>
      </c>
    </row>
    <row r="613" spans="1:15">
      <c r="A613" s="4" t="s">
        <v>945</v>
      </c>
      <c r="B613" s="4" t="s">
        <v>957</v>
      </c>
      <c r="C613" t="s">
        <v>952</v>
      </c>
      <c r="F613" s="13">
        <v>1</v>
      </c>
      <c r="G613" s="21">
        <v>0</v>
      </c>
      <c r="I613" s="4">
        <v>6</v>
      </c>
      <c r="J613" s="4">
        <v>6</v>
      </c>
      <c r="K613" s="4" t="s">
        <v>958</v>
      </c>
      <c r="L613" s="4" t="s">
        <v>13</v>
      </c>
      <c r="M613" s="4">
        <v>2024</v>
      </c>
      <c r="N613" s="4">
        <v>1</v>
      </c>
      <c r="O613" s="4">
        <v>1</v>
      </c>
    </row>
    <row r="614" spans="1:15">
      <c r="A614" s="4" t="s">
        <v>944</v>
      </c>
      <c r="B614" s="4" t="s">
        <v>959</v>
      </c>
      <c r="C614" t="s">
        <v>960</v>
      </c>
      <c r="F614" s="13">
        <v>1</v>
      </c>
      <c r="G614" s="21">
        <v>0</v>
      </c>
      <c r="I614" s="4">
        <v>1</v>
      </c>
      <c r="J614" s="4">
        <v>4</v>
      </c>
      <c r="K614" s="4" t="s">
        <v>958</v>
      </c>
      <c r="L614" s="4" t="s">
        <v>13</v>
      </c>
      <c r="M614" s="4">
        <v>2025</v>
      </c>
      <c r="N614" s="4">
        <v>1</v>
      </c>
      <c r="O614" s="4">
        <v>1</v>
      </c>
    </row>
    <row r="615" spans="1:15">
      <c r="A615" s="4" t="s">
        <v>944</v>
      </c>
      <c r="B615" s="4" t="s">
        <v>965</v>
      </c>
      <c r="C615" t="s">
        <v>961</v>
      </c>
      <c r="F615" s="13">
        <v>1</v>
      </c>
      <c r="G615" s="21">
        <v>1</v>
      </c>
      <c r="I615" s="4">
        <v>2</v>
      </c>
      <c r="J615" s="4">
        <v>4</v>
      </c>
      <c r="K615" s="4" t="s">
        <v>958</v>
      </c>
      <c r="L615" s="4" t="s">
        <v>13</v>
      </c>
      <c r="M615" s="4">
        <v>2025</v>
      </c>
      <c r="N615" s="4">
        <v>1</v>
      </c>
      <c r="O615" s="4">
        <v>1</v>
      </c>
    </row>
    <row r="616" spans="1:15">
      <c r="A616" s="4" t="s">
        <v>944</v>
      </c>
      <c r="B616" s="4" t="s">
        <v>966</v>
      </c>
      <c r="C616" t="s">
        <v>962</v>
      </c>
      <c r="F616" s="13">
        <v>1</v>
      </c>
      <c r="G616" s="21">
        <v>1</v>
      </c>
      <c r="I616" s="4">
        <v>3</v>
      </c>
      <c r="J616" s="4">
        <v>4</v>
      </c>
      <c r="K616" s="4" t="s">
        <v>958</v>
      </c>
      <c r="L616" s="4" t="s">
        <v>13</v>
      </c>
      <c r="M616" s="4">
        <v>2025</v>
      </c>
      <c r="N616" s="4">
        <v>1</v>
      </c>
      <c r="O616" s="4">
        <v>1</v>
      </c>
    </row>
    <row r="617" spans="1:15">
      <c r="A617" s="4" t="s">
        <v>944</v>
      </c>
      <c r="B617" s="4" t="s">
        <v>967</v>
      </c>
      <c r="C617" t="s">
        <v>963</v>
      </c>
      <c r="F617" s="13">
        <v>1</v>
      </c>
      <c r="G617" s="21">
        <v>0</v>
      </c>
      <c r="I617" s="4">
        <v>4</v>
      </c>
      <c r="J617" s="4">
        <v>4</v>
      </c>
      <c r="K617" s="4" t="s">
        <v>958</v>
      </c>
      <c r="L617" s="4" t="s">
        <v>13</v>
      </c>
      <c r="M617" s="4">
        <v>2025</v>
      </c>
      <c r="N617" s="4">
        <v>1</v>
      </c>
      <c r="O617" s="4">
        <v>1</v>
      </c>
    </row>
    <row r="618" spans="1:15">
      <c r="A618" s="4" t="s">
        <v>969</v>
      </c>
      <c r="B618" s="4" t="s">
        <v>968</v>
      </c>
      <c r="C618" s="28" t="s">
        <v>964</v>
      </c>
      <c r="F618" s="13">
        <v>1</v>
      </c>
      <c r="G618" s="21">
        <v>0</v>
      </c>
      <c r="I618" s="4">
        <v>1</v>
      </c>
      <c r="J618" s="4">
        <v>11</v>
      </c>
      <c r="K618" s="4" t="s">
        <v>958</v>
      </c>
      <c r="L618" s="4" t="s">
        <v>13</v>
      </c>
      <c r="M618" s="4">
        <v>2023</v>
      </c>
      <c r="N618" s="4">
        <v>1</v>
      </c>
      <c r="O618" s="4">
        <v>1</v>
      </c>
    </row>
    <row r="619" spans="1:15">
      <c r="A619" s="4" t="s">
        <v>969</v>
      </c>
      <c r="B619" s="4" t="s">
        <v>980</v>
      </c>
      <c r="C619" t="s">
        <v>970</v>
      </c>
      <c r="F619" s="13">
        <v>0</v>
      </c>
      <c r="I619" s="4"/>
      <c r="J619" s="4"/>
      <c r="K619" s="4"/>
      <c r="L619" s="4"/>
      <c r="M619" s="4"/>
      <c r="N619" s="4"/>
      <c r="O619" s="4"/>
    </row>
    <row r="620" spans="1:15">
      <c r="A620" s="4" t="s">
        <v>969</v>
      </c>
      <c r="B620" s="4" t="s">
        <v>981</v>
      </c>
      <c r="C620" t="s">
        <v>971</v>
      </c>
      <c r="F620" s="13">
        <v>0</v>
      </c>
      <c r="I620" s="4"/>
      <c r="J620" s="4"/>
      <c r="K620" s="4"/>
      <c r="L620" s="4"/>
      <c r="M620" s="4"/>
      <c r="N620" s="4"/>
      <c r="O620" s="4"/>
    </row>
    <row r="621" spans="1:15">
      <c r="A621" s="4" t="s">
        <v>969</v>
      </c>
      <c r="B621" s="4" t="s">
        <v>982</v>
      </c>
      <c r="C621" t="s">
        <v>972</v>
      </c>
      <c r="F621" s="13">
        <v>1</v>
      </c>
      <c r="G621" s="21">
        <v>0</v>
      </c>
      <c r="I621" s="4">
        <v>4</v>
      </c>
      <c r="J621" s="4">
        <v>11</v>
      </c>
      <c r="K621" s="4" t="s">
        <v>958</v>
      </c>
      <c r="L621" s="4" t="s">
        <v>13</v>
      </c>
      <c r="M621" s="4">
        <v>2023</v>
      </c>
      <c r="N621" s="4">
        <v>1</v>
      </c>
      <c r="O621" s="4">
        <v>1</v>
      </c>
    </row>
    <row r="622" spans="1:15">
      <c r="A622" s="4" t="s">
        <v>969</v>
      </c>
      <c r="B622" s="4" t="s">
        <v>983</v>
      </c>
      <c r="C622" t="s">
        <v>973</v>
      </c>
      <c r="F622" s="13">
        <v>1</v>
      </c>
      <c r="G622" s="21">
        <v>0</v>
      </c>
      <c r="I622" s="4">
        <v>5</v>
      </c>
      <c r="J622" s="4">
        <v>11</v>
      </c>
      <c r="K622" s="4" t="s">
        <v>958</v>
      </c>
      <c r="L622" s="4" t="s">
        <v>13</v>
      </c>
      <c r="M622" s="4">
        <v>2023</v>
      </c>
      <c r="N622" s="4">
        <v>1</v>
      </c>
      <c r="O622" s="4">
        <v>1</v>
      </c>
    </row>
    <row r="623" spans="1:15">
      <c r="A623" s="4" t="s">
        <v>969</v>
      </c>
      <c r="B623" s="4" t="s">
        <v>984</v>
      </c>
      <c r="C623" t="s">
        <v>974</v>
      </c>
      <c r="F623" s="13">
        <v>0</v>
      </c>
      <c r="I623" s="4"/>
      <c r="J623" s="4"/>
      <c r="K623" s="4"/>
      <c r="L623" s="4"/>
      <c r="M623" s="4"/>
      <c r="N623" s="4"/>
      <c r="O623" s="4"/>
    </row>
    <row r="624" spans="1:15">
      <c r="A624" s="4" t="s">
        <v>969</v>
      </c>
      <c r="B624" s="4" t="s">
        <v>985</v>
      </c>
      <c r="C624" t="s">
        <v>975</v>
      </c>
      <c r="F624" s="13">
        <v>1</v>
      </c>
      <c r="G624" s="21">
        <v>0</v>
      </c>
      <c r="I624" s="4">
        <v>7</v>
      </c>
      <c r="J624" s="4">
        <v>11</v>
      </c>
      <c r="K624" s="4" t="s">
        <v>958</v>
      </c>
      <c r="L624" s="4" t="s">
        <v>13</v>
      </c>
      <c r="M624" s="4">
        <v>2023</v>
      </c>
      <c r="N624" s="4">
        <v>1</v>
      </c>
      <c r="O624" s="4">
        <v>1</v>
      </c>
    </row>
    <row r="625" spans="1:15">
      <c r="A625" s="4" t="s">
        <v>969</v>
      </c>
      <c r="B625" s="4" t="s">
        <v>986</v>
      </c>
      <c r="C625" t="s">
        <v>976</v>
      </c>
      <c r="F625" s="13">
        <v>1</v>
      </c>
      <c r="G625" s="21">
        <v>0</v>
      </c>
      <c r="I625" s="4">
        <v>8</v>
      </c>
      <c r="J625" s="4">
        <v>11</v>
      </c>
      <c r="K625" s="4" t="s">
        <v>958</v>
      </c>
      <c r="L625" s="4" t="s">
        <v>13</v>
      </c>
      <c r="M625" s="4">
        <v>2023</v>
      </c>
      <c r="N625" s="4">
        <v>1</v>
      </c>
      <c r="O625" s="4">
        <v>1</v>
      </c>
    </row>
    <row r="626" spans="1:15">
      <c r="A626" s="4" t="s">
        <v>969</v>
      </c>
      <c r="B626" s="4" t="s">
        <v>987</v>
      </c>
      <c r="C626" t="s">
        <v>977</v>
      </c>
      <c r="F626" s="13">
        <v>1</v>
      </c>
      <c r="G626" s="21">
        <v>0</v>
      </c>
      <c r="I626" s="4">
        <v>9</v>
      </c>
      <c r="J626" s="4">
        <v>11</v>
      </c>
      <c r="K626" s="4" t="s">
        <v>958</v>
      </c>
      <c r="L626" s="4" t="s">
        <v>13</v>
      </c>
      <c r="M626" s="4">
        <v>2023</v>
      </c>
      <c r="N626" s="4">
        <v>1</v>
      </c>
      <c r="O626" s="4">
        <v>1</v>
      </c>
    </row>
    <row r="627" spans="1:15">
      <c r="A627" s="4" t="s">
        <v>969</v>
      </c>
      <c r="B627" s="4" t="s">
        <v>988</v>
      </c>
      <c r="C627" s="28" t="s">
        <v>978</v>
      </c>
      <c r="F627" s="13">
        <v>1</v>
      </c>
      <c r="G627" s="21">
        <v>1</v>
      </c>
      <c r="I627" s="4">
        <v>10</v>
      </c>
      <c r="J627" s="4">
        <v>11</v>
      </c>
      <c r="K627" s="4" t="s">
        <v>958</v>
      </c>
      <c r="L627" s="4" t="s">
        <v>13</v>
      </c>
      <c r="M627" s="4">
        <v>2023</v>
      </c>
      <c r="N627" s="4">
        <v>1</v>
      </c>
      <c r="O627" s="4">
        <v>1</v>
      </c>
    </row>
    <row r="628" spans="1:15">
      <c r="A628" s="4" t="s">
        <v>969</v>
      </c>
      <c r="B628" s="4" t="s">
        <v>989</v>
      </c>
      <c r="C628" t="s">
        <v>979</v>
      </c>
      <c r="F628" s="13">
        <v>1</v>
      </c>
      <c r="G628" s="21">
        <v>1</v>
      </c>
      <c r="I628" s="4">
        <v>11</v>
      </c>
      <c r="J628" s="4">
        <v>11</v>
      </c>
      <c r="K628" s="4" t="s">
        <v>958</v>
      </c>
      <c r="L628" s="4" t="s">
        <v>13</v>
      </c>
      <c r="M628" s="4">
        <v>2023</v>
      </c>
      <c r="N628" s="4">
        <v>1</v>
      </c>
      <c r="O628" s="4">
        <v>1</v>
      </c>
    </row>
    <row r="629" spans="1:15">
      <c r="A629" s="4" t="s">
        <v>998</v>
      </c>
      <c r="B629" s="4" t="s">
        <v>997</v>
      </c>
      <c r="C629" t="s">
        <v>990</v>
      </c>
      <c r="F629" s="13">
        <v>0</v>
      </c>
      <c r="I629" s="4"/>
      <c r="J629" s="4"/>
      <c r="K629" s="4"/>
      <c r="L629" s="4"/>
      <c r="M629" s="4"/>
      <c r="N629" s="4"/>
      <c r="O629" s="4"/>
    </row>
    <row r="630" spans="1:15">
      <c r="A630" s="4" t="s">
        <v>998</v>
      </c>
      <c r="B630" s="4" t="s">
        <v>999</v>
      </c>
      <c r="C630" t="s">
        <v>991</v>
      </c>
      <c r="F630" s="13">
        <v>0</v>
      </c>
      <c r="I630" s="4"/>
      <c r="J630" s="4"/>
      <c r="K630" s="4"/>
      <c r="L630" s="4"/>
      <c r="M630" s="4"/>
      <c r="N630" s="4"/>
      <c r="O630" s="4"/>
    </row>
    <row r="631" spans="1:15">
      <c r="A631" s="4" t="s">
        <v>998</v>
      </c>
      <c r="B631" s="4" t="s">
        <v>1000</v>
      </c>
      <c r="C631" t="s">
        <v>992</v>
      </c>
      <c r="F631" s="13">
        <v>1</v>
      </c>
      <c r="G631" s="21">
        <v>0</v>
      </c>
      <c r="I631" s="4">
        <v>3</v>
      </c>
      <c r="J631" s="4">
        <v>7</v>
      </c>
      <c r="K631" s="4" t="s">
        <v>958</v>
      </c>
      <c r="L631" s="4" t="s">
        <v>13</v>
      </c>
      <c r="M631" s="4">
        <v>2022</v>
      </c>
      <c r="N631" s="4">
        <v>1</v>
      </c>
      <c r="O631" s="4">
        <v>1</v>
      </c>
    </row>
    <row r="632" spans="1:15">
      <c r="A632" s="4" t="s">
        <v>998</v>
      </c>
      <c r="B632" s="4" t="s">
        <v>1001</v>
      </c>
      <c r="C632" t="s">
        <v>993</v>
      </c>
      <c r="F632" s="13">
        <v>1</v>
      </c>
      <c r="G632" s="21">
        <v>1</v>
      </c>
      <c r="I632" s="4">
        <v>4</v>
      </c>
      <c r="J632" s="4">
        <v>7</v>
      </c>
      <c r="K632" s="4" t="s">
        <v>958</v>
      </c>
      <c r="L632" s="4" t="s">
        <v>13</v>
      </c>
      <c r="M632" s="4">
        <v>2022</v>
      </c>
      <c r="N632" s="4">
        <v>1</v>
      </c>
      <c r="O632" s="4">
        <v>1</v>
      </c>
    </row>
    <row r="633" spans="1:15">
      <c r="A633" s="4" t="s">
        <v>998</v>
      </c>
      <c r="B633" s="4" t="s">
        <v>1002</v>
      </c>
      <c r="C633" t="s">
        <v>994</v>
      </c>
      <c r="F633" s="13">
        <v>1</v>
      </c>
      <c r="G633" s="21">
        <v>1</v>
      </c>
      <c r="I633" s="4">
        <v>5</v>
      </c>
      <c r="J633" s="4">
        <v>7</v>
      </c>
      <c r="K633" s="4" t="s">
        <v>958</v>
      </c>
      <c r="L633" s="4" t="s">
        <v>13</v>
      </c>
      <c r="M633" s="4">
        <v>2022</v>
      </c>
      <c r="N633" s="4">
        <v>1</v>
      </c>
      <c r="O633" s="4">
        <v>1</v>
      </c>
    </row>
    <row r="634" spans="1:15">
      <c r="A634" s="4" t="s">
        <v>998</v>
      </c>
      <c r="B634" s="4" t="s">
        <v>1003</v>
      </c>
      <c r="C634" t="s">
        <v>995</v>
      </c>
      <c r="F634" s="13">
        <v>0</v>
      </c>
      <c r="I634" s="4"/>
      <c r="J634" s="4"/>
      <c r="K634" s="4"/>
      <c r="L634" s="4"/>
      <c r="M634" s="4"/>
      <c r="N634" s="4"/>
      <c r="O634" s="4"/>
    </row>
    <row r="635" spans="1:15">
      <c r="A635" s="4" t="s">
        <v>998</v>
      </c>
      <c r="B635" s="4" t="s">
        <v>1004</v>
      </c>
      <c r="C635" t="s">
        <v>996</v>
      </c>
      <c r="F635" s="13">
        <v>1</v>
      </c>
      <c r="G635" s="21">
        <v>0</v>
      </c>
      <c r="I635" s="4">
        <v>7</v>
      </c>
      <c r="J635" s="4">
        <v>7</v>
      </c>
      <c r="K635" s="4" t="s">
        <v>958</v>
      </c>
      <c r="L635" s="4" t="s">
        <v>13</v>
      </c>
      <c r="M635" s="4">
        <v>2022</v>
      </c>
      <c r="N635" s="4">
        <v>1</v>
      </c>
      <c r="O635" s="4">
        <v>1</v>
      </c>
    </row>
    <row r="636" spans="1:15">
      <c r="A636" s="4" t="s">
        <v>1005</v>
      </c>
      <c r="B636" s="4" t="s">
        <v>1007</v>
      </c>
      <c r="C636" t="s">
        <v>1006</v>
      </c>
      <c r="F636" s="13">
        <v>0</v>
      </c>
      <c r="I636" s="4"/>
      <c r="J636" s="4"/>
      <c r="K636" s="4"/>
      <c r="L636" s="4"/>
      <c r="M636" s="4"/>
      <c r="N636" s="4"/>
      <c r="O636" s="4"/>
    </row>
    <row r="637" spans="1:15">
      <c r="A637" s="4" t="s">
        <v>1005</v>
      </c>
      <c r="B637" s="4" t="s">
        <v>1012</v>
      </c>
      <c r="C637" t="s">
        <v>1008</v>
      </c>
      <c r="F637" s="13">
        <v>0</v>
      </c>
      <c r="I637" s="4"/>
      <c r="J637" s="4"/>
      <c r="K637" s="4"/>
      <c r="L637" s="4"/>
      <c r="M637" s="4"/>
      <c r="N637" s="4"/>
      <c r="O637" s="4"/>
    </row>
    <row r="638" spans="1:15">
      <c r="A638" s="4" t="s">
        <v>1005</v>
      </c>
      <c r="B638" s="4" t="s">
        <v>1013</v>
      </c>
      <c r="C638" t="s">
        <v>1009</v>
      </c>
      <c r="F638" s="13">
        <v>0</v>
      </c>
      <c r="I638" s="4"/>
      <c r="J638" s="4"/>
      <c r="K638" s="4"/>
      <c r="L638" s="4"/>
      <c r="M638" s="4"/>
      <c r="N638" s="4"/>
      <c r="O638" s="4"/>
    </row>
    <row r="639" spans="1:15">
      <c r="A639" s="4" t="s">
        <v>1005</v>
      </c>
      <c r="B639" s="4" t="s">
        <v>1014</v>
      </c>
      <c r="C639" t="s">
        <v>1010</v>
      </c>
      <c r="F639" s="13">
        <v>0</v>
      </c>
      <c r="I639" s="4"/>
      <c r="J639" s="4"/>
      <c r="K639" s="4"/>
      <c r="L639" s="4"/>
      <c r="M639" s="4"/>
      <c r="N639" s="4"/>
      <c r="O639" s="4"/>
    </row>
    <row r="640" spans="1:15">
      <c r="A640" s="4" t="s">
        <v>1005</v>
      </c>
      <c r="B640" s="4" t="s">
        <v>1015</v>
      </c>
      <c r="C640" t="s">
        <v>1011</v>
      </c>
      <c r="F640" s="13">
        <v>1</v>
      </c>
      <c r="G640" s="21">
        <v>0</v>
      </c>
      <c r="I640" s="4">
        <v>5</v>
      </c>
      <c r="J640" s="4">
        <v>5</v>
      </c>
      <c r="K640" s="4" t="s">
        <v>958</v>
      </c>
      <c r="L640" s="4" t="s">
        <v>13</v>
      </c>
      <c r="M640" s="4">
        <v>2021</v>
      </c>
      <c r="N640" s="4">
        <v>1</v>
      </c>
      <c r="O640" s="4">
        <v>1</v>
      </c>
    </row>
    <row r="641" spans="1:15">
      <c r="A641" s="4" t="s">
        <v>1017</v>
      </c>
      <c r="B641" s="4" t="s">
        <v>1016</v>
      </c>
      <c r="C641" s="25" t="s">
        <v>1018</v>
      </c>
      <c r="F641" s="13">
        <v>0</v>
      </c>
      <c r="I641" s="4"/>
      <c r="J641" s="4"/>
      <c r="K641" s="4"/>
      <c r="L641" s="4"/>
      <c r="M641" s="4"/>
      <c r="N641" s="4"/>
      <c r="O641" s="4"/>
    </row>
    <row r="642" spans="1:15" ht="18" customHeight="1">
      <c r="A642" s="4" t="s">
        <v>1017</v>
      </c>
      <c r="B642" s="4" t="s">
        <v>1023</v>
      </c>
      <c r="C642" t="s">
        <v>1019</v>
      </c>
      <c r="F642" s="13">
        <v>1</v>
      </c>
      <c r="G642" s="21">
        <v>1</v>
      </c>
      <c r="I642" s="4">
        <v>2</v>
      </c>
      <c r="J642" s="4">
        <v>5</v>
      </c>
      <c r="K642" s="4" t="s">
        <v>958</v>
      </c>
      <c r="L642" s="4" t="s">
        <v>13</v>
      </c>
      <c r="M642" s="4">
        <v>2020</v>
      </c>
      <c r="N642" s="4">
        <v>1</v>
      </c>
      <c r="O642" s="4">
        <v>1</v>
      </c>
    </row>
    <row r="643" spans="1:15">
      <c r="A643" s="4" t="s">
        <v>1017</v>
      </c>
      <c r="B643" s="4" t="s">
        <v>1024</v>
      </c>
      <c r="C643" t="s">
        <v>1020</v>
      </c>
      <c r="F643" s="13">
        <v>0</v>
      </c>
    </row>
    <row r="644" spans="1:15">
      <c r="A644" s="4" t="s">
        <v>1017</v>
      </c>
      <c r="B644" s="4" t="s">
        <v>1025</v>
      </c>
      <c r="C644" t="s">
        <v>1021</v>
      </c>
      <c r="F644" s="13">
        <v>0</v>
      </c>
    </row>
    <row r="645" spans="1:15">
      <c r="A645" s="4" t="s">
        <v>1017</v>
      </c>
      <c r="B645" s="4" t="s">
        <v>1026</v>
      </c>
      <c r="C645" s="28" t="s">
        <v>1022</v>
      </c>
      <c r="F645" s="13">
        <v>0</v>
      </c>
    </row>
  </sheetData>
  <phoneticPr fontId="11" type="noConversion"/>
  <conditionalFormatting sqref="F1:F1048576">
    <cfRule type="cellIs" dxfId="0" priority="3" operator="equal">
      <formula>0</formula>
    </cfRule>
  </conditionalFormatting>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32"/>
  <sheetViews>
    <sheetView topLeftCell="A2" zoomScale="120" zoomScaleNormal="120" workbookViewId="0">
      <selection activeCell="D35" sqref="D35"/>
    </sheetView>
  </sheetViews>
  <sheetFormatPr baseColWidth="10" defaultRowHeight="16"/>
  <cols>
    <col min="2" max="2" width="0" hidden="1" customWidth="1"/>
  </cols>
  <sheetData>
    <row r="1" spans="1:4">
      <c r="A1" s="1" t="s">
        <v>270</v>
      </c>
    </row>
    <row r="2" spans="1:4">
      <c r="A2" s="15" t="s">
        <v>387</v>
      </c>
    </row>
    <row r="3" spans="1:4">
      <c r="A3" s="1" t="s">
        <v>271</v>
      </c>
      <c r="B3" s="1" t="s">
        <v>272</v>
      </c>
      <c r="C3" s="1" t="s">
        <v>273</v>
      </c>
      <c r="D3" s="1" t="s">
        <v>274</v>
      </c>
    </row>
    <row r="4" spans="1:4">
      <c r="A4">
        <v>82</v>
      </c>
      <c r="B4">
        <v>0</v>
      </c>
      <c r="C4">
        <v>120</v>
      </c>
      <c r="D4">
        <v>202</v>
      </c>
    </row>
    <row r="6" spans="1:4">
      <c r="A6" s="15" t="s">
        <v>392</v>
      </c>
    </row>
    <row r="7" spans="1:4">
      <c r="A7" s="1" t="s">
        <v>271</v>
      </c>
      <c r="B7" s="1" t="s">
        <v>272</v>
      </c>
      <c r="C7" s="1" t="s">
        <v>273</v>
      </c>
      <c r="D7" s="1" t="s">
        <v>274</v>
      </c>
    </row>
    <row r="8" spans="1:4">
      <c r="A8">
        <f>COUNTIF(Sheet1!D:D,"0")</f>
        <v>36</v>
      </c>
      <c r="B8">
        <f>COUNTIF(Sheet1!D:D," ")</f>
        <v>0</v>
      </c>
      <c r="C8">
        <f>COUNTIF(Sheet1!D:D,"1")</f>
        <v>173</v>
      </c>
      <c r="D8">
        <f>SUM(A8:C8)</f>
        <v>209</v>
      </c>
    </row>
    <row r="10" spans="1:4">
      <c r="A10" s="17" t="s">
        <v>396</v>
      </c>
    </row>
    <row r="11" spans="1:4">
      <c r="A11" s="1">
        <v>0</v>
      </c>
      <c r="C11" s="1">
        <v>1</v>
      </c>
    </row>
    <row r="12" spans="1:4">
      <c r="A12">
        <f>COUNTIF(Sheet1!D:D,"0")</f>
        <v>36</v>
      </c>
      <c r="C12">
        <f>COUNTIF(Sheet1!D:D,"1")</f>
        <v>173</v>
      </c>
    </row>
    <row r="14" spans="1:4">
      <c r="C14" s="1" t="s">
        <v>398</v>
      </c>
    </row>
    <row r="15" spans="1:4">
      <c r="C15" s="16">
        <f>COUNTIF(Sheet1!E:E,"Low")</f>
        <v>60</v>
      </c>
    </row>
    <row r="16" spans="1:4">
      <c r="C16" s="1" t="s">
        <v>399</v>
      </c>
    </row>
    <row r="17" spans="1:6">
      <c r="C17" s="16">
        <f>COUNTIF(Sheet1!E:E,"Medium")</f>
        <v>89</v>
      </c>
    </row>
    <row r="18" spans="1:6">
      <c r="C18" s="1" t="s">
        <v>395</v>
      </c>
    </row>
    <row r="19" spans="1:6">
      <c r="C19" s="16">
        <f>COUNTIF(Sheet1!E:E,"High")</f>
        <v>23</v>
      </c>
    </row>
    <row r="21" spans="1:6">
      <c r="A21" s="18" t="s">
        <v>408</v>
      </c>
      <c r="C21" s="19"/>
    </row>
    <row r="22" spans="1:6">
      <c r="A22">
        <v>0</v>
      </c>
      <c r="C22" t="s">
        <v>410</v>
      </c>
      <c r="F22">
        <f>COUNTIF(Sheet1!H:H,"0")</f>
        <v>0</v>
      </c>
    </row>
    <row r="23" spans="1:6">
      <c r="A23">
        <v>1</v>
      </c>
      <c r="C23" t="s">
        <v>409</v>
      </c>
      <c r="F23">
        <f>COUNTIF(Sheet1!H:H,"1")</f>
        <v>116</v>
      </c>
    </row>
    <row r="24" spans="1:6">
      <c r="A24">
        <v>2</v>
      </c>
      <c r="C24" t="s">
        <v>411</v>
      </c>
      <c r="F24">
        <f>COUNTIF(Sheet1!H:H,"2")</f>
        <v>69</v>
      </c>
    </row>
    <row r="26" spans="1:6">
      <c r="A26" s="18" t="s">
        <v>530</v>
      </c>
      <c r="B26" s="19"/>
      <c r="C26" s="19"/>
      <c r="D26" s="19"/>
    </row>
    <row r="27" spans="1:6">
      <c r="A27">
        <v>0</v>
      </c>
      <c r="C27" t="s">
        <v>409</v>
      </c>
      <c r="F27">
        <f>COUNTIF(Sheet1!G:G,"0")</f>
        <v>214</v>
      </c>
    </row>
    <row r="28" spans="1:6">
      <c r="A28">
        <v>1</v>
      </c>
      <c r="C28" t="s">
        <v>411</v>
      </c>
      <c r="F28">
        <f>COUNTIF(Sheet1!G:G,"1")</f>
        <v>123</v>
      </c>
    </row>
    <row r="30" spans="1:6">
      <c r="A30" s="18" t="s">
        <v>1375</v>
      </c>
    </row>
    <row r="31" spans="1:6">
      <c r="A31">
        <v>0</v>
      </c>
      <c r="C31" t="s">
        <v>1376</v>
      </c>
      <c r="F31">
        <f>COUNTIF(Sheet1!F:F,"0")</f>
        <v>307</v>
      </c>
    </row>
    <row r="32" spans="1:6">
      <c r="A32">
        <v>1</v>
      </c>
      <c r="C32" t="s">
        <v>1377</v>
      </c>
      <c r="F32">
        <f>COUNTIF(Sheet1!F:F,"1")</f>
        <v>337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2026-04-12T07:49:06Z</dcterms:modified>
</cp:coreProperties>
</file>