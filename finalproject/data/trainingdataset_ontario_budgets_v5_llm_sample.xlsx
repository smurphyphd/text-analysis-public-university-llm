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118F4DB9-75A5-D14D-B3C4-ABA80E2730E1}" xr6:coauthVersionLast="47" xr6:coauthVersionMax="47" xr10:uidLastSave="{00000000-0000-0000-0000-000000000000}"/>
  <bookViews>
    <workbookView xWindow="14840" yWindow="520" windowWidth="23040" windowHeight="2010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3" l="1"/>
  <c r="B8" i="3"/>
  <c r="A8" i="3"/>
  <c r="D8" i="3" l="1"/>
</calcChain>
</file>

<file path=xl/sharedStrings.xml><?xml version="1.0" encoding="utf-8"?>
<sst xmlns="http://schemas.openxmlformats.org/spreadsheetml/2006/main" count="1668" uniqueCount="684">
  <si>
    <t>document</t>
  </si>
  <si>
    <t>ID</t>
  </si>
  <si>
    <t>text</t>
  </si>
  <si>
    <t>class</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</si>
  <si>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</si>
  <si>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</si>
  <si>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</si>
  <si>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</si>
  <si>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</si>
  <si>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</si>
  <si>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</si>
  <si>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</si>
  <si>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</si>
  <si>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</si>
  <si>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</si>
  <si>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</si>
  <si>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</si>
  <si>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</si>
  <si>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</si>
  <si>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</si>
  <si>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are discussions with each university within the Strategic Mandate Agreement (SMA) process to negotiate what, if any growth funding will be available for both flow-through growth on previous expansion and new programs that in good faith were submitted and approved and will begin within the period covered by this SMA period (2017-18 through to 2019-20). </t>
  </si>
  <si>
    <t>For the purposes of this budget the assumption was made that the negotiations with the Ministry on the funding of both flow through growth and new growth that was included in the budget would be successful and therefore the revenues related to the growth over and above the 2016-17 actual enrolment level has been included but is a possible risk to the budget. The monetary risk to the budget in 2017-18 is $1.5M.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</si>
  <si>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</si>
  <si>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The government announced a four-year tuition framework in March 2013. This limited tuition fee growth to an institutional average of 3%. This tuition framework was due to expire after 2016-17. In December 2016, MAESD announced a extension of the same tuition framework for an additional two years. For the purposes of this budget the same tuition framework was assumed for the 2019-20 year as no better information is available.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</si>
  <si>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</si>
  <si>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</si>
  <si>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</si>
  <si>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</si>
  <si>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queens_2017_4</t>
  </si>
  <si>
    <t>queens_2017_5</t>
  </si>
  <si>
    <t>queens_2017_6</t>
  </si>
  <si>
    <t>queens_2017_7</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</si>
  <si>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</si>
  <si>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</si>
  <si>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</si>
  <si>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</si>
  <si>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</si>
  <si>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During 2017-18, the Ministry of Advanced Education and Skills Development (MAESD) began the implementation of a new funding model that includeds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</si>
  <si>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 </t>
  </si>
  <si>
    <t>The Ministry has allocated one-time only funding for 2017-18 relating to the flow through growth. For the purposes of this budget the assumption was made that this one-time funding would be included in the base funding for 2018-19 onward. No growth beyond the 2017-18 enrolment level has been assumed in government grant. The inclusion of the one-time only 2017-18 funding is a possible risk to the budget. The monetary risk to the budget in 2018-19 is $1.9M. For the SMA 2 period all funding within the differentiation bin is being allocated based on enrolment. The intent of the Ministry is that these funds will be distributed based on outcomes based metrics for SMA 3 which will start in 2020-21 assuming there is no change in policy.</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</si>
  <si>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</si>
  <si>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</si>
  <si>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Previously, all institutions were requested to move to approving tuition fees two years ahead to facilitate the implementation of net-tuition billing. As a result, we had intended on bringing fees for 2019-20 to March board. However, due to the delay in the announcement of the next tuition framework we have post-poned the approval of the fees for 2019-20 until the Ministry announces what the new tuition framework will be for 2019-20.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</si>
  <si>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</si>
  <si>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</si>
  <si>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queens_2018_3</t>
  </si>
  <si>
    <t>queens_2018_4</t>
  </si>
  <si>
    <t>queens_2018_5</t>
  </si>
  <si>
    <t>queens_2018_6</t>
  </si>
  <si>
    <t>queens_2018_7</t>
  </si>
  <si>
    <t>queens_2018_8</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</si>
  <si>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</si>
  <si>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</si>
  <si>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</si>
  <si>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</si>
  <si>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</si>
  <si>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During 2017-18, the Ministry of Training, Colleges and Universities (MTCU)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</si>
  <si>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As part of the implementation of the new grant funding formula for universities, the Ministry
committed to at a minimum maintain the 2016-17 funding level for all universities for the duration of
the second round of SMA which concludes in 2019-20. The Ministry has re-introduced the enrolment
corridor funding methodology which would ensure grant revenue remains constant if enrolment
remains within +/- 3%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</si>
  <si>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</si>
  <si>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</si>
  <si>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</si>
  <si>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</si>
  <si>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queens_2019_3</t>
  </si>
  <si>
    <t>queens_2019_4</t>
  </si>
  <si>
    <t>queens_2019_5</t>
  </si>
  <si>
    <t>queens_2019_6</t>
  </si>
  <si>
    <t>queens_2019_7</t>
  </si>
  <si>
    <t>queens_2020_1</t>
  </si>
  <si>
    <t>Subsequent to the March board meeting, the finalization and approval of the 2020-21 budget was
altered as the University found itself grappling with the impacts of the COVID-19 crisis. The total effects
of this pandemic were not yet fully understood, and the exact end state of the emergency measures
were very much unknown. Nevertheless, the emergency measures in place and on-going physical
distancing requirements were expected to impact University operations.</t>
  </si>
  <si>
    <t>Given the fluidity of the situation and the uncertainty of the impact on operations at the time, the
Board was asked to approve the 2020-21 budget developed in detail prior to COVID-19. The Principal
and Vice-Chancellor and the Provost and Vice-principal (Academic) presented the alternate enrolment
scenarios to the Board at the May meeting, along with the potential budget implications.
Subsequently, the University continued to monitor the situation and once better information was
available over the summer and into September 2020 on enrolments and other budget impacts, an
update was provided to the Board at the September 25th, 2020 meeting of the Capital Assets and
Finance committee.</t>
  </si>
  <si>
    <t>The committee was presented with information demonstrating that, overall, operating revenue was
not expected to be significantly different than what was projected in the previously approved budget;
therefore, no changes were recommended for the 2020-21 budget. Any variances to the budget are to
be reported in the regular financial updates to the Board in the December 2020, March 2021, and May
2021 meetings.</t>
  </si>
  <si>
    <t>As a result, the remainder of this document is prepared to document the 2020-21 budget approved by
the Board describing the process and other aspects related to areas such as, student financial
assistance, compensation, investment, capital, pension, research, trust and endowment, and ancillary
operations all planned in a pre-COVID context.</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</si>
  <si>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</si>
  <si>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</si>
  <si>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</si>
  <si>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</si>
  <si>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</si>
  <si>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queens_2020_2</t>
  </si>
  <si>
    <t>queens_2020_3</t>
  </si>
  <si>
    <t>queens_2020_4</t>
  </si>
  <si>
    <t>queens_2020_5</t>
  </si>
  <si>
    <t>queens_2020_6</t>
  </si>
  <si>
    <t>queens_2020_7</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</si>
  <si>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</si>
  <si>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</si>
  <si>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</si>
  <si>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</si>
  <si>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</si>
  <si>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envelope which is linked to enrolment, a performance/outcomesbased
envelope which has outcomes based metrics linked to it, and a special purposes envelope which
contains targeted grants for initiatives such as disability supports, French language, clinical programs
etc.</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</si>
  <si>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</si>
  <si>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</si>
  <si>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On April 30, 2021, the Ministry announced the tuition framework for 2021-22. The framework
continues the previously announced framework with a tuition freeze at the 2020-21 levels for
domestic funding-eligible programs, except the framework permits increasing tuition for domestic outof-
province students by up to three percent. Due to the timing of the announcement, the budget
presented here does not reflect the impact of any such increases the university may subsequently elect
to introduce. For 2021-22, the budget appropriately assumes a 0% increase for domestic fundingeligible
programs. Tuition fees will be adjusted based on any changes to the tuition framework beyond
2021-22.</t>
  </si>
  <si>
    <t>queens_2021_2</t>
  </si>
  <si>
    <t>queens_2021_3</t>
  </si>
  <si>
    <t>queens_2021_4</t>
  </si>
  <si>
    <t>queens_2021_5</t>
  </si>
  <si>
    <t>queens_2021_6</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</si>
  <si>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</si>
  <si>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</si>
  <si>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</si>
  <si>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</si>
  <si>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</si>
  <si>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</si>
  <si>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</si>
  <si>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</si>
  <si>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</si>
  <si>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</si>
  <si>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</si>
  <si>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</si>
  <si>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</si>
  <si>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</si>
  <si>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</si>
  <si>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</si>
  <si>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</si>
  <si>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</si>
  <si>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</si>
  <si>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</si>
  <si>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The province made a number of announcements late in fiscal year 2022-23, applicable to future years,
which are outlined in the Government Grant section of this report. These announcements confirm
activation of performance-based funding linked to SMA3 to start in 2023-24 at a system-wide
proportion of ten per cent for Year 4 (2023-24). However, additional funding has been announced
linked to growth in the undergraduate and postgraduate medical spaces and nursing spaces which is
expected to be provided outside of the corridor and performance-based funding envelopes.</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</si>
  <si>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</si>
  <si>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</si>
  <si>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</si>
  <si>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</si>
  <si>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</si>
  <si>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</si>
  <si>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queens_2023_6</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</si>
  <si>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</si>
  <si>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</si>
  <si>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</si>
  <si>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</si>
  <si>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</si>
  <si>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</si>
  <si>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</si>
  <si>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</si>
  <si>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</si>
  <si>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</si>
  <si>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</si>
  <si>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</si>
  <si>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</si>
  <si>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</si>
  <si>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</si>
  <si>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</si>
  <si>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</si>
  <si>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</si>
  <si>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</si>
  <si>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</si>
  <si>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</si>
  <si>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</si>
  <si>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</si>
  <si>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</si>
  <si>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</si>
  <si>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</si>
  <si>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</si>
  <si>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</si>
  <si>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</si>
  <si>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</si>
  <si>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</si>
  <si>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queens_2025_5</t>
  </si>
  <si>
    <t>queens_2025_6</t>
  </si>
  <si>
    <t>queens_2025_7</t>
  </si>
  <si>
    <t>queens_2025_8</t>
  </si>
  <si>
    <t>uoft_2017</t>
  </si>
  <si>
    <t>uoft_2017_1</t>
  </si>
  <si>
    <t>University of Toronto</t>
  </si>
  <si>
    <t>Canada, and the world, is facing considerable political, immigration and trade uncertainty with the new US administration, the UK’s withdrawal from the European Union, and rising European populism. Much remains to be seen in terms of the impact on Canadian universities.</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</si>
  <si>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</si>
  <si>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of Ontario is undergoing a shift in its approach to funding universities and colleges. 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being operationalized through the introduction of a Strategic Mandate Agreement for each institution, which “outlines the role the University currently performs in Ontario’s postsecondary education system and how it will build on its current strengths to achieve its vision and help drive system-wide objectives and government priorities.” Future funding is expected to be increasingly directed towards achievement of excellence metrics, rather than enrolment numbers.</t>
  </si>
  <si>
    <t>The Province of Ontario is entering a period of significant decline in the 18-20 year-old population, primarily in the northern part of the province where the government has expressed concern about the sustainability of universities. In the Greater Toronto Area, projections for this age group call for a slight decline to 2021 and growth of over 20% to 2035. As a result of these demographics, undergraduate growth across the province will be more closely managed, likely through negotiated undergraduate targets; this is a noteworthy departure from the relatively unrestricted approach to undergraduate growth in the last decade.</t>
  </si>
  <si>
    <t>In 2014 the University of Toronto negotiated its first Strategic Mandate Agreement (SMA1) with the Ministry of Advanced Education and Skills Development (MAESD). SMA1 recognized the University’s strength across a broad array of programs and included an allocation of graduate expansion spaces and conversion of undergraduate teacher education spaces to additional graduate teacher education spaces. SMA1 continued to rely on enrolment growth as the key driver (&gt; 90% at UofT) for provincial grant allocations. SMA1 will conclude on April 30, 2017; discussions have begun with MAESD on SMA2, which will cover the 3-year period 2017-18 to 2019-20.</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</si>
  <si>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</si>
  <si>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The government has suggested that the new formula will likely include three envelopes:
1. The core operating grant, linked to enrolment
2. The differentiation envelope, linked to SMA metrics
3. Special purpose grants</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</si>
  <si>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</si>
  <si>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For the 2016-17 academic year, across an undergraduate population of 61,000 undergraduate students (FTEs), actual results came within 152 FTE of plan, a variance of 0.2%, spread across all three campuses. Our plans call for UTM to increase undergraduate enrolment by about 500 FTE over the next three years and then hold steady for a period after that; UTSC plans growth of about 1,000 undergraduate students over the next five years; the St. George campus is projecting a decline of about 500 FTE in undergraduate enrolment over five years, all as specified in the University’s Towards 2030 plan. The growth will be accompanied by considerable capital investment and faculty hiring at the three campuses.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</si>
  <si>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</si>
  <si>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</si>
  <si>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A full discussion of tuition fees is contained in the annual Tuition Fee Report 2017-18, and a full discussion of student assistance in the annual Student Aid Report 2015-16, both which accompany this report when presented to the Business Board of Governing Council. It should be noted that the 2015-16 year is the most recent year for which the University and the province have complete information on student assistance. Key highlights of the reports are noted below.</t>
  </si>
  <si>
    <t>Tuition fees at the University of Toronto are determined in accordance with the University’s Tuition Fee Policy, the Statement of Commitment Regarding International Students and the Provincial Government’s Tuition Framework which ran for a four-year period to 2016-17 and was recently extended to 2018-19. The long range budget projections assume the provincial Tuition Framework will remain unchanged over the final three years of the planning period.</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</si>
  <si>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</si>
  <si>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</si>
  <si>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The 2016 Ontario budget announced a fundamental restructuring of the provincial financial aid system, to begin in 2017-18. These changes are discussed later in this report.</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</si>
  <si>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</si>
  <si>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In the 2014 federal budget, the government positioned postsecondary research within their Science, Technology and Innovation strategy. The federal budget announced the creation of the Canada First Research Excellence Fund (CFREF), a $1.5 billion fund over ten years. The objective of the fund is to “help Canada’s postsecondary institutions excel globally in research areas that create long-term economic advantages for Canada.” In July 2015 the University of Toronto was awarded the largest research grant in our history under the CFREF program. The $114 million grant is spread over seven years, whereby the University and its partners, which include the Hospital for Sick Children, the University Health Network, and Mount Sinai Hospital to deliver a new program, called Medicine by Design. The initiative and the funding build on years of support for U of T’s regenerative medicine researchers from federal granting councils, the Canada Foundation for Innovation and support from the Canada Research Chairs and Canada Excellence Research Chairs programs. The University did not receive funding in the second round of CFREF awards.</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</si>
  <si>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</si>
  <si>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</si>
  <si>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</si>
  <si>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</si>
  <si>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uoft_2017_3</t>
  </si>
  <si>
    <t>uoft_2017_4</t>
  </si>
  <si>
    <t>uoft_2017_5</t>
  </si>
  <si>
    <t>uoft_2017_6</t>
  </si>
  <si>
    <t>uoft_2017_7</t>
  </si>
  <si>
    <t>uoft_2017_8</t>
  </si>
  <si>
    <t>uoft_2017_9</t>
  </si>
  <si>
    <t>uoft_2017_10</t>
  </si>
  <si>
    <t>uoft_2017_11</t>
  </si>
  <si>
    <t>uoft_2017_12</t>
  </si>
  <si>
    <t>uoft_2017_13</t>
  </si>
  <si>
    <t>uoft_2017_14</t>
  </si>
  <si>
    <t>uoft_2017_15</t>
  </si>
  <si>
    <t>uoft_2017_16</t>
  </si>
  <si>
    <t>uoft_2017_17</t>
  </si>
  <si>
    <t>uoft_2017_18</t>
  </si>
  <si>
    <t>uoft_2017_19</t>
  </si>
  <si>
    <t>uoft_2017_20</t>
  </si>
  <si>
    <t>uoft_2017_21</t>
  </si>
  <si>
    <t>uoft_2018</t>
  </si>
  <si>
    <t>uoft_2018_1</t>
  </si>
  <si>
    <t>The Canadian economy grew strongly in 2017. Global economic growth continues to strengthen, and the US economy remains robust. Still, Canada remains subject to considerable political, immigration and trade uncertainty, including uncertainty regarding the outcome of ongoing NAFTA renegotiations. Much remains to be seen in terms of the impact on Canadian universities.</t>
  </si>
  <si>
    <r>
      <t>The Bank of Canada Monetary Policy report released in January 2018</t>
    </r>
    <r>
      <rPr>
        <sz val="7"/>
        <color theme="1"/>
        <rFont val="Calibri"/>
        <family val="2"/>
      </rPr>
      <t xml:space="preserve">3 </t>
    </r>
    <r>
      <rPr>
        <sz val="11"/>
        <color theme="1"/>
        <rFont val="Calibri"/>
        <family val="2"/>
      </rPr>
      <t>projects ongoing growth in economic activity in Canada, with modest growth in real GDP of 2.2% in 2018 and 1.6% in 2019. Inflation is expected to remain close to 2% over the planning period. </t>
    </r>
  </si>
  <si>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</si>
  <si>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The Province of Ontario is entering a period of decline in the 18-20 year-old population, primarily in the northern part of the province where the government has expressed concern about the sustainability of universities. In the Greater Toronto Area, projections call for a slight decline in this age group to 2021, followed by a period of growth of approximately 20% to 2036. As a result of these demographics, undergraduate growth across the province will be more closely managed through negotiated enrolment targets; this is a noteworthy departure from the relatively unrestricted approach to undergraduate growth in the last decade.</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</si>
  <si>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</si>
  <si>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</si>
  <si>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</si>
  <si>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</si>
  <si>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t>
  </si>
  <si>
    <t>The agreement begins the transition to the new funding framework, including stable funding for enrolment within a negotiated enrolment corridor. Funding for enrolment will remain stable provided the University maintains a five-year average enrolment within ±3% of its negotiated target.</t>
  </si>
  <si>
    <t>In addition, the University will receive differentiation funding tied to performance in priority areas such as student experience; innovation, economic development and community engagement; research excellence and impact; access and equity; and innovative teaching. The differentiation envelope will be revenue-neutral throughout the period of SMA2 (2017-2020) while the Province consults with the sector to refine metrics and targets, which will be tied to funding for SMA3 (2020-2023).</t>
  </si>
  <si>
    <t>Fall 2017 undergraduate enrolment results came within just 1 FTE of plan, a variance of 0.002% across all three campuses. This reflects the net impact of a positive variance of 815 (+6.1%) in international enrolment, offset by a negative variance of 814 (-1.7%) in domestic enrolment versus the 2017-18 budget plan. Domestic enrolment growth targets for 2017-18 were set before the outcome of SMA2 negotiations was known.</t>
  </si>
  <si>
    <t>Plans call for undergraduate enrolment growth of 600 FTE (domestic and international students) over the next five years at each of UTM and UTSC; the St. George campus is projecting a decline of about 1,700 FTE over the same period, all as specified in the University’s Towards 2030 plan. Domestic enrolment will be held roughly constant until 2019-20 at UTM and UTSC, and reduced at the St. George campus, as specified in SMA2. Plans call for International enrolment growth of 1,142 FTE at all three campuses over the planning period.</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</si>
  <si>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</si>
  <si>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 </t>
  </si>
  <si>
    <t>Tuition fees at the University of Toronto are determined in accordance with the University’s Tuition Fee Policy, the Statement of Commitment Regarding International Students, and the provincial government’s Tuition Fee Framework 2013-14 to 2016-17, which has been extended to 2018-19 to support a major reform in OSAP. The long range budget projections assume the current Tuition Fee Framework will remain unchanged in 2019-20 and beyond.</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</si>
  <si>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</si>
  <si>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OSAP-eligible students in 2016-17 paid, on average, just 47% of the posted tuition rate.</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</si>
  <si>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</si>
  <si>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long range budget projections assume the current Tuition Fee Framework will remain unchanged in 2019-20 and beyond. </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</si>
  <si>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</si>
  <si>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November of 2017, the federal Minister of Science announced a series of changes to the Canada Research Chairs program, including a revised distribution of Chairs across the three federal research granting councils. This change resulted in an increased allocation of Chairs to the University of Toronto and its affiliated hospital partners. The University of Toronto CRC Equity, Diversity, and Inclusion Action Plan will guide our efforts in ensuring the representation of individuals from the federally designated groups — persons with disabilities, Indigenous peoples, visible minorities and women — among our Canada Research Chairholders.</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</si>
  <si>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</si>
  <si>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</si>
  <si>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uoft_2018_2</t>
  </si>
  <si>
    <t>uoft_2018_3</t>
  </si>
  <si>
    <t>uoft_2018_4</t>
  </si>
  <si>
    <t>uoft_2018_5</t>
  </si>
  <si>
    <t>uoft_2018_6</t>
  </si>
  <si>
    <t>uoft_2018_7</t>
  </si>
  <si>
    <t>uoft_2018_8</t>
  </si>
  <si>
    <t>uoft_2018_9</t>
  </si>
  <si>
    <t>uoft_2018_10</t>
  </si>
  <si>
    <t>uoft_2018_11</t>
  </si>
  <si>
    <t>uoft_2018_12</t>
  </si>
  <si>
    <t>uoft_2018_13</t>
  </si>
  <si>
    <t>uoft_2018_14</t>
  </si>
  <si>
    <t>uoft_2018_15</t>
  </si>
  <si>
    <t>uoft_2018_16</t>
  </si>
  <si>
    <t>uoft_2018_17</t>
  </si>
  <si>
    <t>uoft_2018_18</t>
  </si>
  <si>
    <t>uoft_2018_19</t>
  </si>
  <si>
    <t>uoft_2018_20</t>
  </si>
  <si>
    <t>uoft_2018_21</t>
  </si>
  <si>
    <t>uoft_2018_22</t>
  </si>
  <si>
    <t>uoft_2018_23</t>
  </si>
  <si>
    <t>uoft_2018_24</t>
  </si>
  <si>
    <t>uoft_2018_25</t>
  </si>
  <si>
    <t>uoft_2019</t>
  </si>
  <si>
    <t>uoft_2019_1</t>
  </si>
  <si>
    <t>A new Progressive Conservative government was sworn in at
Queen’s Park in June 2018. The new government immediately
established an Independent Financial Commission of Inquiry
to evaluate the previous government’s accounting practices and
update the Province’s baseline fiscal outlook. The Commission
reported a deficit of $15 billion for 2018–19, up from the
$6.7 billion planned deficit in the Provincial Budget 2018.</t>
  </si>
  <si>
    <t>The new government also engaged EY Canada to conduct a
line-by-line audit of provincial spending, spanning 15 years of
expenditures in both the public service and transfer payments
to broader public sector organizations. The review concluded
that expenditures had grown by 3.0% annually in real terms,
and that the pace of growth exceeded the rate of population
growth in the province.</t>
  </si>
  <si>
    <t>According to Ontario’s fall economic outlook2, the government
is now projecting a deficit of $14.5 billion for 2018–19, which
represents a positive variance of $0.5 billion from the report
of the Commission in August 2018. This change is a result
of $3.2 billion in program savings, offset by $2.7 billion
in tax reductions, including the elimination of the previous
government’s cap-and-trade program.</t>
  </si>
  <si>
    <t>The government is committed to returning the Province to
balanced budgets on a modest, reasonable and pragmatic
timetable. The University anticipates that this spending restraint
will impose significant pressure on all provincially-funded sectors.</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</si>
  <si>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unregulated, and will therefore be
unaffected. The announcement represents a reduction of
approximately $65 million in budgeted revenue over 2018–19.</t>
  </si>
  <si>
    <t>At the same time, the Minister of Training, Colleges and
Universities announced a new framework for ancillary fees.
Changes to the ancillary fee framework will allow students to
opt-out of the fees that fund some services and activities, while
protecting fees that fund mandatory core services and facilities
such as athletics, recreation, and health and counselling
services. At the time of writing this report, details have not
been provided regarding which specific fees will fall into each
of these categories.</t>
  </si>
  <si>
    <t>The Ontario post-secondary education system operates
under a differentiation policy framework3.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</si>
  <si>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Fiscal year 2019–20 is the third and final year of the University’s (SMA2)4. The SMA2 sets out a multi-year enrolment plan,
including funding for 631 new master’s and 198 new doctoral
student spaces by Fall 2019. In response to Ontario’s changing
demographics, the University and the Province agreed to reduce
domestic undergraduate enrolment by 1,800 domestic students
at the St. George Campus, and to hold constant the level of
domestic undergraduate enrolment at the University of Toronto
Scarborough and University of Toronto Mississauga over the
period of the agreement. Enrolment funding will remain stable
through 2019–20 provided the University maintains a five-year
average enrolment within ±3% of its negotiated target.
current Strategic Mandate Agreement with the Province</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</si>
  <si>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</si>
  <si>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</si>
  <si>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</si>
  <si>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</si>
  <si>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</si>
  <si>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</si>
  <si>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</si>
  <si>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</si>
  <si>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uoft_2019_2</t>
  </si>
  <si>
    <t>uoft_2019_3</t>
  </si>
  <si>
    <t>uoft_2019_4</t>
  </si>
  <si>
    <t>uoft_2019_5</t>
  </si>
  <si>
    <t>uoft_2019_6</t>
  </si>
  <si>
    <t>uoft_2019_7</t>
  </si>
  <si>
    <t>uoft_2019_8</t>
  </si>
  <si>
    <t>uoft_2019_9</t>
  </si>
  <si>
    <t>uoft_2019_10</t>
  </si>
  <si>
    <t>uoft_2019_11</t>
  </si>
  <si>
    <t>uoft_2019_12</t>
  </si>
  <si>
    <t>uoft_2019_13</t>
  </si>
  <si>
    <t>uoft_2019_14</t>
  </si>
  <si>
    <t>uoft_2019_15</t>
  </si>
  <si>
    <t>uoft_2019_16</t>
  </si>
  <si>
    <t>uoft_2020</t>
  </si>
  <si>
    <t>uoft_2020_1</t>
  </si>
  <si>
    <t>pres_external</t>
  </si>
  <si>
    <t>pres_exp</t>
  </si>
  <si>
    <t>prov_external</t>
  </si>
  <si>
    <t>prov_exp</t>
  </si>
  <si>
    <t>According to Ontario’s fall economic outlook3, the government is projecting a deficit of $9.0 billion for 2019-20, which represents a positive variance of $1.3 billion from the deficit target set out in the 2019 Provincial Budget. This change is primarily due to economic growth and higher than planned tax revenues.</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</si>
  <si>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</si>
  <si>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unaffected. The announcement represents a reduction of $113 million in projected domestic fee revenue for 2020-21 relative to the previous long range budget guidelines that assumed the former tuition framework would remain in place.</t>
  </si>
  <si>
    <t>At the same time, the Minister of Colleges and Universities announced a new framework for ancillary fees. Changes to the ancillary fee framework allowed students to opt-out of incidental fees that fund some services and activities, while protecting fees that fund mandatory core services and facilities such as athletics, recreation, and health and counselling services. This new provision, called the “Student Choice Initiative” was implemented in Fall 2019. In November 2019, Ontario’s Divisional Court struck down this new provision in the ancillary fee framework, finding it inconsistent with universities’ autonomous governance. At the time of writing this report, an appeal of this decision is pending. At this time, incidental fees are being assessed for Winter 2020 for all students. For students who opted-out prior to the system suspension on November 25, the University is awaiting the court’s decision.</t>
  </si>
  <si>
    <r>
      <t>The Ontario post-secondary education system operates under a differentiation policy framework</t>
    </r>
    <r>
      <rPr>
        <sz val="5"/>
        <color rgb="FF211D1E"/>
        <rFont val="Helvetica"/>
        <family val="2"/>
      </rPr>
      <t>4</t>
    </r>
    <r>
      <rPr>
        <sz val="9"/>
        <color rgb="FF211D1E"/>
        <rFont val="Helvetica"/>
        <family val="2"/>
      </rPr>
      <t>. The framework is operationalized through a series of institutional Strategic Mandate Agreements, which specify the role of each University in the system and how they will build on institutional strengths to drive system-wide objectives and government priorities. </t>
    </r>
  </si>
  <si>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</si>
  <si>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Fiscal year 2020-21 will be the first year of the University’s third Strategic Mandate Agreement with the Province (SMA3). In the 2019 Ontario Budget, the Government announced that an increased percentage of funding for colleges and universities will be tied to performance outcomes. Under SMA3, performance based funding will gradually rise from 25 per cent of total Provincial operating grants (5.6% of total revenue) in 2020-21 to 60 per cent of operating grants (11.7% of total revenue) by 2024-25. Funding will be conditional on achieving performance targets on a series of metrics.</t>
  </si>
  <si>
    <t>The number of performance indicators will be phased in, from six in 2020-21 to 10 in 2024-25. Targets will be established by the Ministry based on previous performance, taking into consideration the variability of performance in recent years. Performance metrics include six measures of graduate skills and job outcomes, and four measures of economic and community impact. They include:
•
Graduate Employment Rate in a Related Field
•
Enrolment in Areas of Institutional Strength/Focus
•
Graduation Rate
•
Experiential Learning
•
Graduate Employment Earnings
•
Skills and Competencies
•
Community/Local Impact
•
Economic Impact
•
Research Funding and Capacity: Federal Tri-Agency Funding Secured
•
Innovation: Research Revenue from Private Sector Sources</t>
  </si>
  <si>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</si>
  <si>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The SMA3 will also set out a multi-year enrolment plan. In response to Ontario’s changing demographics, the University and the Province have agreed to hold constant the level of funding for domestic undergraduate enrolment at the University of Toronto over the period of the agreement. Enrolment funding will remain stable through 2024-25 provided the University maintains a five-year average enrolment within ±3% of its enrolment target.</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</si>
  <si>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</si>
  <si>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</si>
  <si>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</si>
  <si>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</si>
  <si>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</si>
  <si>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</si>
  <si>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uoft_2020_3</t>
  </si>
  <si>
    <t>uoft_2020_4</t>
  </si>
  <si>
    <t>uoft_2020_5</t>
  </si>
  <si>
    <t>uoft_2020_6</t>
  </si>
  <si>
    <t>uoft_2020_7</t>
  </si>
  <si>
    <t>uoft_2020_8</t>
  </si>
  <si>
    <t>uoft_2020_9</t>
  </si>
  <si>
    <t>uoft_2020_10</t>
  </si>
  <si>
    <t>uoft_2020_11</t>
  </si>
  <si>
    <t>uoft_2020_12</t>
  </si>
  <si>
    <t>uoft_2020_13</t>
  </si>
  <si>
    <t>uoft_2020_14</t>
  </si>
  <si>
    <t>uoft_2020_15</t>
  </si>
  <si>
    <t>uoft_2020_16</t>
  </si>
  <si>
    <t>uoft_2020_17</t>
  </si>
  <si>
    <t>pres_new</t>
  </si>
  <si>
    <t>prov_new</t>
  </si>
  <si>
    <t>uoft_2021</t>
  </si>
  <si>
    <t>uoft_2021_1</t>
  </si>
  <si>
    <t>Last year’s budget was developed prior to the outbreak of COVID-19, and was based on assumptions of normal levels of enrolment and on-campus activity. Despite the significant uncertainty created by the COVID-19 pandemic, the University was able to successfully deliver the vast majority of academic programs in 2020-21 in alternative formats, adapting to fast-changing public health regulations as necessary. The incoming undergraduate class for Fall 2020 was 0.2% larger than that of Fall 2019, including the largest incoming cohort of international undergraduate students in the University’s history. Many students from around the globe began their studies remotely, with the intention of attending classes on campus when in-person teaching resumes. While the overall enrolment results were positive, there was some variability in enrolment at the level of individual programs, with modest enrolment reductions in professional undergraduate and graduate programs in particular.</t>
  </si>
  <si>
    <t>As the University worked to address the challenges of COVID-19, there were significant cost increases in many areas, including repatriating students who were overseas during the initial outbreak in Spring 2020, emergency financial support for students dealing with loss of employment opportunities and unexpected expenses caused by the pandemic, quarantine costs for international students entering Canada, changes to instructional design and IT systems to enable online course delivery, and environmental health and safety costs to support the safe re-opening of research labs and workplaces. Many of these were one-time expenditures, partially offset by savings in planned travel costs and lower occupancy costs due to reduced on-campus activity. Some expenses, such as support for new IT platforms and innovative teaching methods, will continue to be needed in future years and have been incorporated into the long range plan.</t>
  </si>
  <si>
    <t>Levels of on-campus activity were significantly reduced, and campus services such as residences, food, and parking were particularly hard hit. Service ancillaries implemented significant cost-saving strategies, but the magnitude of revenue reductions made it impossible to avoid financial losses in many cases. Under normal circumstances, service ancillaries are expected to operate without subsidy from the University’s operating budget and rely solely on revenue from the services they provide. These campus services are crucial to ensuring that students, faculty, and staff are able to participate in University life on all three campuses, and the University may need to support some ancillaries as they develop a path to recovery over the coming years.</t>
  </si>
  <si>
    <t>Given the extent and extraordinary circumstances of the ancillary losses in 2020-21, the University is proposing to allocate up to $50 million of deficit spending room to ancillary operations. Deficit spending will be allowed only where it is necessary to do so, after considering cost containment strategies, levels of reserves, and funding for critical infrastructure projects. Units with sufficient reserves will continue without need for deficit spending, so it is possible that the full amount will not be required. This approach is intended to ensure that the level of the ancillary budget deficit will be only as high as absolutely necessary.</t>
  </si>
  <si>
    <t>Ancillary units will be expected to eliminate any deficits over a five-year period. The University will work with each unit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after consultation with the academic divisions whose faculty, staff, and students benefit from these services.</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</si>
  <si>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</si>
  <si>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The University’s third Strategic Mandate Agreement with the Province (SMA3)3 came into effect on April 1, 2020 and covers the period 2020-2025. With the implementation of SMA3, a significant portion of existing operating grant revenue will be re-directed to a differentiation envelope tied to performance metrics. Performance-based funding will gradually increase from 25 per cent of total Provincial operating grants (5.9% of total revenue) in 2020-21 to 60 per cent of operating grants (11.9% of total revenue) by 2024-25.</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</si>
  <si>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</si>
  <si>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</si>
  <si>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t>
  </si>
  <si>
    <t>According to the Ontario Budget released in November 20204, the Government is not planning any material new investments in the post-secondary education sector over the next three years, including no inflationary increases to the University’s operating grant. Areas of priority investment for the Government include: development, delivery, and expansion of Ontario’s micro-credentials strategy; supporting the ongoing cost of the Ontario Student Assistance Program (OSAP); and continued investment in deferred maintenance.</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</si>
  <si>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</si>
  <si>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</si>
  <si>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The student fee framework announced in 2019 also allowed
students to opt-out of incidental fees that fund some services
and activities, while protecting fees that fund mandatory
core services and facilities such as athletics, recreation, and
health and counselling services. This new provision in the
fee framework, called the “Student Choice Initiative” was
implemented in Fall 2019. In November 2019, Ontario’s
Divisional Court struck down this new provision, finding it
inconsistent with universities’ autonomous governance. At
this time, a Government appeal of this decision is pending.
In the interim, implementation of ancillary fee opt-outs have
been suspended.</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</si>
  <si>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</si>
  <si>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</si>
  <si>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As with most federal research funding programs, the CRC
program places significant emphasis on equity, diversity and
inclusion (EDI). The CRC Equity, Diversity and Inclusion
Action Plan5 guides the University’s efforts in ensuring the
representation of individuals from the federally designated
groups — persons with disabilities, Indigenous peoples,
visible minorities, and women — among Canada Research
Chair holders.</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</si>
  <si>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</si>
  <si>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</si>
  <si>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</si>
  <si>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Group6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</si>
  <si>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</si>
  <si>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uoft_2021_2</t>
  </si>
  <si>
    <t>uoft_2021_3</t>
  </si>
  <si>
    <t>uoft_2021_4</t>
  </si>
  <si>
    <t>uoft_2021_5</t>
  </si>
  <si>
    <t>uoft_2021_6</t>
  </si>
  <si>
    <t>uoft_2021_7</t>
  </si>
  <si>
    <t>uoft_2021_8</t>
  </si>
  <si>
    <t>uoft_2021_9</t>
  </si>
  <si>
    <t>uoft_2021_10</t>
  </si>
  <si>
    <t>uoft_2021_11</t>
  </si>
  <si>
    <t>uoft_2021_12</t>
  </si>
  <si>
    <t>uoft_2021_13</t>
  </si>
  <si>
    <t>uoft_2021_14</t>
  </si>
  <si>
    <t>uoft_2021_15</t>
  </si>
  <si>
    <t>uoft_2021_16</t>
  </si>
  <si>
    <t>uoft_2021_17</t>
  </si>
  <si>
    <t>uoft_2021_18</t>
  </si>
  <si>
    <t>uoft_2021_19</t>
  </si>
  <si>
    <t>uoft_2021_20</t>
  </si>
  <si>
    <t>uoft_2021_21</t>
  </si>
  <si>
    <t>uoft_2021_22</t>
  </si>
  <si>
    <t>uoft_2022</t>
  </si>
  <si>
    <t>uoft_2022_1</t>
  </si>
  <si>
    <t>The ongoing COVID-19 pandemic continues to evolve as new variants emerge, requiring flexibility in planning for operations. With the rollout of vaccines and associated relaxing of public health measures, the University moved to deliver approximately 50% of courses in person in the Fall 2021 session with plans to increase this for the start of the Winter 2022 session. However, in response to the fast spread of the Omicron variant in December, these plans were adjusted and the increase in on-campus activity was delayed until later in the session. Experience gained throughout the pandemic has allowed the University to quickly pivot as necessary to changing public health measures while ensuring continuity of academic programs for our students.</t>
  </si>
  <si>
    <t>The University continues to plan for a gradual increase in campus activities over the planning period. We have led the way in requiring vaccinations with over 99% of students, faculty and staff fully vaccinated as of February 2022 – a critical element to facilitate greater on-campus activity.</t>
  </si>
  <si>
    <t>Demand for the University’s programs continues to be very strong with larger domestic and international undergraduate applicant pools for Fall 2021, leading to a 10.8% increase in intake compared to last year. However, this increase was largely offset by lower retention rates for domestic continuing students across many of the direct entry divisions, resulting in a small overall increase of 0.2% in undergraduate enrolment vs Fall 2020. Divisions are investigating the reasons behind the decrease in retention rates to determine if this is a temporary pandemic-related shift or if there are longer term issues to be addressed. Graduate enrolment increased by 4% vs. last year with demand for professional masters and doctoral programs particularly strong.
Summer enrolment activity</t>
  </si>
  <si>
    <t>Summer enrolment activity continues to be significantly higher than pre-pandemic levels, although down slightly from the peak in 2020 in the early stages of the pandemic. Students have shown increasing interest in taking courses across all three terms which allows for a broader set of offerings through the summer session, reduced pressure on courses through the Fall/Winter, and more activity on campuses over the summer.</t>
  </si>
  <si>
    <t>Ancillary operations provide important services that contribute to the quality of the student experience. In order to support their continued operations, the University’s 2021-22 budget plan included up to $50 million of deficit spending room for ancillary operations such as residences, food, and parking services to provide flexibility for multi-year plans to recover from the financial impacts of the pandemic. Deficit spending will be allowed only where it is necessary to do so, after considering cost containment strategies, levels of reserves, and funding for critical infrastructure projects. Ancillary units will be expected to eliminate any deficits over a five-year period.</t>
  </si>
  <si>
    <t>Under this plan, ancillary operations established deficit budgets for 2021-22 as they anticipated continued reduced occupancy in residences and in on-campus activities. Campus residences have rebounded more quickly than anticipated with high occupancy rates at most facilities in Fall 2021, although the impact of emerging variants continues to pose some risk to short-term occupancy plans. Food and parking services are also ahead of plan but to a lesser extent given the continued reduction in on-campus activity this year.</t>
  </si>
  <si>
    <t>The University is working with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</si>
  <si>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Ontario post-secondary education system operates under a differentiation policy framework2. The framework is operationalized through a series of institutional Strategic Mandate Agreements, which specify the role of each university in the system and how each will build on institutional strengths to drive system-wide objectives and government priorities.</t>
  </si>
  <si>
    <t>The University’s third Strategic Mandate Agreement with the Province (SMA3)3 came into effect on April 1, 2020 and covers the period 2020-2025. With the implementation of SMA3, a significant portion of existing operating grant revenue is being re-directed to a differentiation envelope tied to performance metrics. Performance-based funding will gradually increase from 25 per cent of total Provincial operating grants (6% of total revenue) in 2020-21 to 60 per cent of operating grants (12% of total revenue) by 2024-25.</t>
  </si>
  <si>
    <t>In the context of the COVID-19 pandemic, the government has confirmed that no performance-based funding will be at risk until at least the third year of the agreement which, because of the slip year nature of funding impacts, would be the University’s 2023-24 fiscal year. The Ministry will engage in an annual review of performance outcomes and will evaluate potential COVID-19 impacts on targets for future years.</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</si>
  <si>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</si>
  <si>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Areas of priority investment for the Government include expansion of Nursing enrolment, which may lead to a small amount of enrolment growth funding for the University; supporting the ongoing cost of the Ontario Student Assistance Program (OSAP), including extension of eligibility to some micro-credential programs; and continued investment in addressing deferred maintenance.</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</si>
  <si>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</si>
  <si>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</si>
  <si>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At this time, no domestic fee framework has been announced
for the 2022-23 fiscal year. The University has conservatively
assumed an extension of the existing framework, including a
freeze for the 2022-23 budget year. This one-year extension
of the domestic tuition fee freeze would further reduce
tuition fee revenue by $28 million in 2022-23 relative to the
University’s previous long range budget plans from prior to
the 2019-20 Framework.</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</si>
  <si>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</si>
  <si>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The student fee framework announced in 2019 included
a new provision called the “Student Choice Initiative” that
allowed students to opt-out of incidental fees that fund
some student services and activities, while protecting fees
that fund mandatory core services and facilities such as
athletics, recreation, and health and counselling services.
However, in November 2019, Ontario’s Divisional Court
struck down this new provision, finding it inconsistent with
universities’ autonomous governance. In August 2021,
Ontario’s Court of Appeal dismissed the Government’s
bid to overturn the decision to strike down the provision.
As a result, the University will continue to suspend
implementation of this policy.</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</si>
  <si>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</si>
  <si>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</si>
  <si>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As with most federal research funding programs, the CRC
program places significant emphasis on equity, diversity and
inclusion (EDI) and has established representation targets
that must be achieved by 2029, with interim targets along
the way. The University’s CRC Equity, Diversity and Inclusion
Action Plan6 guides the University’s efforts in ensuring the
representation of individuals from the federally designated
groups — persons with disabilities, Indigenous peoples,
visible minorities, and women — among Canada Research
Chair holders. The Division of the Vice-President Research
and Innovation closely monitors progress toward the required
targets and works with academic divisions and hospitals to
ensure that the targets are met.</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</si>
  <si>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</si>
  <si>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</si>
  <si>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</si>
  <si>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</si>
  <si>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Group7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</si>
  <si>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</si>
  <si>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uoft_2022_2</t>
  </si>
  <si>
    <t>uoft_2022_3</t>
  </si>
  <si>
    <t>uoft_2022_4</t>
  </si>
  <si>
    <t>uoft_2022_5</t>
  </si>
  <si>
    <t>uoft_2022_6</t>
  </si>
  <si>
    <t>uoft_2022_7</t>
  </si>
  <si>
    <t>uoft_2022_8</t>
  </si>
  <si>
    <t>uoft_2022_9</t>
  </si>
  <si>
    <t>uoft_2022_10</t>
  </si>
  <si>
    <t>uoft_2022_11</t>
  </si>
  <si>
    <t>uoft_2022_12</t>
  </si>
  <si>
    <t>uoft_2022_13</t>
  </si>
  <si>
    <t>uoft_2022_14</t>
  </si>
  <si>
    <t>uoft_2022_15</t>
  </si>
  <si>
    <t>uoft_2022_16</t>
  </si>
  <si>
    <t>uoft_2022_17</t>
  </si>
  <si>
    <t>uoft_2022_18</t>
  </si>
  <si>
    <t>uoft_2022_19</t>
  </si>
  <si>
    <t>uoft_2022_20</t>
  </si>
  <si>
    <t>uoft_2022_21</t>
  </si>
  <si>
    <t>uoft_2022_22</t>
  </si>
  <si>
    <t>uoft_2022_23</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</si>
  <si>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</si>
  <si>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</si>
  <si>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</si>
  <si>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</si>
  <si>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</si>
  <si>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</si>
  <si>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</si>
  <si>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</si>
  <si>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</si>
  <si>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</si>
  <si>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</si>
  <si>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</si>
  <si>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</si>
  <si>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</si>
  <si>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uoft_2023_1</t>
  </si>
  <si>
    <t>The University has successfully navigated through the challenges of the COVID-19 global pandemic and this year we had our biggest back to school ever, welcoming over 90,000 students to our three campuses, many for the first time in their academic careers. Throughout the pandemic, our faculty, librarians, and staff worked tirelessly to ensure operational continuity while maintaining excellence in our academic and research programs and our students demonstrated outstanding resiliency as have adapted to changes required to meet public health measures. Demand for our programs remained strong throughout and our scholars had an outsized impact on pandemic-related research and through contributions to health care and public health planning.</t>
  </si>
  <si>
    <t>uoft_2023_2</t>
  </si>
  <si>
    <t>While our ancillary operations were impacted by the reduced activity on our campuses, they are rebounding faster than anticipated. Residences are back to full occupancy this year and other services such as food and transportation are making steady progress as on-campus activity increases. These units are now able to turn their focus away from crisis management and back towards planning for the future.</t>
  </si>
  <si>
    <t>uoft_2023_3</t>
  </si>
  <si>
    <t>As is often the case with historic events like this, the pandemic has led to innovations that will benefit all as we move forward. In March 2022, the Provost established the new University Resilience Project Team (RPT) to build upon the work and insights gained over the last two years, capitalize on the innovations developed during the pandemic, and build strategies for long-term institutional resilience. Over the course of this year, the team has consulted with a wide array of stakeholders from all divisions across our three campuses and have developed recommendations across themes of Navigation, Engagement, and Future Proofing.</t>
  </si>
  <si>
    <t>uoft_2023_4</t>
  </si>
  <si>
    <t>The University expects to continue as an in-person institution, although, we recognize that there are benefits and demand for a selection of online courses going forward. To leverage the lessons learned during the pandemic, the University has implemented an “Online by Design” initiative to support faculty in developing courses designed from the ground up for an online learning environment.</t>
  </si>
  <si>
    <t>uoft_2023_5</t>
  </si>
  <si>
    <t>We continue to implement changes to increase our capacity to meet student mental health needs. Our much improved continuum of mental health supports to both domestic and international students has led to a three-fold increase in mental health service interactions since 2019-20, trending towards 41,000 interactions across in-person and internet-based service models this year. Additionally, in collaboration with CAMH, the University has launched an acute care navigation pathway to serve complex and high need students. In the first four months of this service, U of T and CAMH collaborated to identify and serve over 100 students seen in the Emergency Department and Inpatient Units. Through this innovative partnership, we have achieved important learnings and are well positioned to further develop this service in 2023-24. Progress across mental health is well aligned with the recommendations of the Presidential and Provostial Task Force of 2019.
Demand for the University’s programs continues to be</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</si>
  <si>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</si>
  <si>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</si>
  <si>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uoft_2023_7</t>
  </si>
  <si>
    <t>Overall, undergraduate enrolment was about (1.2%) below target this year – although, still 364 FTEs above last year – primarily because of the lower than planned intake.</t>
  </si>
  <si>
    <t>uoft_2023_8</t>
  </si>
  <si>
    <t>Many divisions experienced some softening in graduate intakes this year with overall graduate enrolment coming in (2.8%) below plan, although still within our funded enrolment corridor. Plans included significant growth over Fall 2021 so, while enrolment was under target, divisions still saw year over year growth of 0.9%.</t>
  </si>
  <si>
    <t>uoft_2023_9</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</si>
  <si>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</si>
  <si>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uoft_2023_10</t>
  </si>
  <si>
    <t>The University’s 2021-22 budget plan included up to $50 million of deficit spending room for ancillary operations such as residences, food, and parking services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in the first two years of the pandemic and are ahead of their five-year plans.</t>
  </si>
  <si>
    <t>uoft_2023_11</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</si>
  <si>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</si>
  <si>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uoft_2023_12</t>
  </si>
  <si>
    <r>
      <t>The Ontario post-secondary education system operates under a differentiation policy framework</t>
    </r>
    <r>
      <rPr>
        <vertAlign val="superscript"/>
        <sz val="6"/>
        <color theme="1"/>
        <rFont val="Helvetica"/>
        <family val="2"/>
      </rPr>
      <t xml:space="preserve">2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</si>
  <si>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uoft_2023_13</t>
  </si>
  <si>
    <t>The University’s third Strategic Mandate Agreement with the Province (SMA3)3 came into effect on April 1, 2020 and covers the period 2020-2025. With the implementation of SMA3, the Government is shifting a significant portion of existing operating grant revenue to a differentiation envelope that will be linked to performance metrics. Over the five years, the Differentiation Envelope portion of funding will increase from 25 per cent of total
Provincial operating grants (6% of total revenue) in 2020-21 to 60 per cent of operating grants (12% of total revenue) by 2024-25.</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</si>
  <si>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</si>
  <si>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</si>
  <si>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</si>
  <si>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</si>
  <si>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uoft_2023_16</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</si>
  <si>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t>
  </si>
  <si>
    <t>uoft_2023_17</t>
  </si>
  <si>
    <t>According to the 2022 Ontario Budget released in April 20224 and follow up November 2022 Fall Economic Statement5 the Government is not planning any inflationary increases to the University’s operating grant over the next three years.</t>
  </si>
  <si>
    <t>uoft_2023_18</t>
  </si>
  <si>
    <t>Nursing education continues to be a priority area for the Government which funded additional spaces at colleges and universities in 2021 and again in 2022. Under this program, the University received 30 additional spaces for our undergraduate BScN program for Fall 2022 entry (17% increase in intake). Given the continuing high demand for nursing graduates in the health care sector, the University is anticipating that this expansion will continue over the planning period.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</si>
  <si>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</si>
  <si>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</si>
  <si>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uoft_2023_20</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</si>
  <si>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At full capacity, the SAMIH will prepare the following number of graduates on an annual basis:
• 30 physicians (with potential to expand to 50 in the future)
• 30 physician assistants
• 30 nurse practitioners
• 40 physical therapists
• 300 undergraduates in life sciences</t>
  </si>
  <si>
    <t>uoft_2023_21</t>
  </si>
  <si>
    <t>In addition, the Government has allocated an additional 45 postgraduate medical resident spaces to the University as part of the SAMIH expansion. </t>
  </si>
  <si>
    <t>uoft_2023_22</t>
  </si>
  <si>
    <t>SAMIH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 </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</si>
  <si>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</si>
  <si>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</si>
  <si>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uoft_2023_24</t>
  </si>
  <si>
    <t>Changes to domestic tuition fees in publicly 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institutions that contravene the framework. The frameworks only apply to tuition for students for which the Government provides operating grant funding, so do not apply to majority of international students, non-publicly funded programs such as Executive MBA, and continuing education programs. </t>
  </si>
  <si>
    <t>uoft_2023_25</t>
  </si>
  <si>
    <t>On January 17, 2019, the Ontario government announced a 10 per cent cut to domestic tuition fees for 2019-20, and a freeze at that level for 2020-21. The freeze was subsequently extended for two additional years to 2022-23. Tuition paid by international students was unaffected.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</si>
  <si>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</si>
  <si>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</si>
  <si>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</si>
  <si>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</si>
  <si>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</si>
  <si>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</si>
  <si>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</si>
  <si>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</si>
  <si>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</si>
  <si>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</si>
  <si>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</si>
  <si>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</si>
  <si>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</si>
  <si>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</si>
  <si>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</si>
  <si>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</si>
  <si>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</si>
  <si>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</si>
  <si>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</si>
  <si>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</si>
  <si>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</si>
  <si>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</si>
  <si>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</si>
  <si>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</si>
  <si>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</si>
  <si>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</si>
  <si>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</si>
  <si>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uoft_2024_1</t>
  </si>
  <si>
    <t>Approximately 87% of the University’s operating revenue is related to enrolment through student fees and operating grants. Demand for the University’s programs continues to be very strong with overall enrolment growing to 99,794 undergraduate and graduate students taking 88,652 FTEs of course activity in Fall 2023, a 2,355 FTE increase over the previous year.</t>
  </si>
  <si>
    <t>uoft_2024_2</t>
  </si>
  <si>
    <t>We continue to see strong domestic and international applicant pools to our direct-entry undergraduate programs, with growth of 3.3% in the incoming class to 16,361 in Fall 2023, although (2.3%) below the plan for this year which had assumed a bit more growth. Domestic intake was 269 above target which offset a (657) negative variance on international intake – although, both domestic and international intake increased over last year. In 2023-24, we have also seen an increase in retention rates of continuing students, which resulted in higher upper-year enrolment than expected based on historical rates. This very positive result means that overall undergraduate domestic and international enrolment slightly exceeded the budget plan by a combined 1.1%. </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</si>
  <si>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</si>
  <si>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</si>
  <si>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</si>
  <si>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</si>
  <si>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uoft_2024_5</t>
  </si>
  <si>
    <t>Many divisions continued to experience some softening in graduate intakes again this year with overall graduate enrolment coming in (2.8%) below plan, although still within our funded enrolment corridor. Fall 2023 graduate enrolment across all years of study was 20,424 FTEs, essentially unchanged from 2022. </t>
  </si>
  <si>
    <t>uoft_2024_6</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</si>
  <si>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 </t>
  </si>
  <si>
    <t>uoft_2024_7</t>
  </si>
  <si>
    <t>Geopolitical issues continue to present some risk to our international enrolment plans. We are seeing some impact from the recent tensions in the Canada-India relationship on demand with applications from that country for Fall 2024 down by about 41% compared to last year. Applicants from China are also down about 7% as of February. This volatility demonstrates why the University’s diversification strategy to build and increase connections with a broader range of international countries is so important. </t>
  </si>
  <si>
    <t>uoft_2024_8</t>
  </si>
  <si>
    <t>The impact of post-Bill 124 compensation decisions is a dominating factor in this year’s budget plan. </t>
  </si>
  <si>
    <t>uoft_2024_9</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</si>
  <si>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over the past year. This decision removed the “no-catch up” restrictions in the Act which, when combined with high inflation rates, has led to large top-ups to the already negotiated Bill 124 1% increases such as:
+6.5% over three years for OPSEU employees with public colleges
+6.25% over two years for Ontario Power Workers
+6.25% retro over two years for Ontario Hospital Paramedical Employees</t>
  </si>
  <si>
    <t>uoft_2024_10</t>
  </si>
  <si>
    <t>While the University does not have any reopener clauses in its agreements, the final year of the Bill 124 period agreement with our Faculty &amp; Librarians (2022) was in arbitration when the Court made its decision. As a result, negotiation resumed on this final year and the Arbitrator ultimately awarded a 7% increase in addition to the 1% already negotiated. This 7% special increase was subsequently included in the 2023 agreement with USW and other administrative staff. The University is anticipating that this special increase will ultimately cost about $125 million above what was planned for this year.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</si>
  <si>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</si>
  <si>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</si>
  <si>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</si>
  <si>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</si>
  <si>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uoft_2024_13</t>
  </si>
  <si>
    <t>As of the writing of this report, the Government has not yet formally responded to the BRP’s recommendations. However, they have signaled that the domestic tuition freeze will be extended for another year and they are considering operating grant support for colleges and universities. As noted later in this report, the Budget assumes continuation of the domestic tuition freeze to 2024-25 and increased operating grants to offset the financial impact. </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</si>
  <si>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</si>
  <si>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</si>
  <si>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</si>
  <si>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</si>
  <si>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uoft_2024_16</t>
  </si>
  <si>
    <t>uoft_2024_17</t>
  </si>
  <si>
    <t>Under the SMA3 performance-based funding formula,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and the University has allocated its performance-based funding envelope across these metrics, with an option to adjust each year in response to changing priorities.</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</si>
  <si>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</si>
  <si>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</si>
  <si>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uoft_2024_19</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</si>
  <si>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</si>
  <si>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uoft_2024_20</t>
  </si>
  <si>
    <t>Nursing education continues to be a priority area for the Government, which has funded additional spaces at colleges and universities since 2021. Under this program, the University received 55 additional spaces for our undergraduate BScN program in Fall 2024 entry (31% increase in intake over 2020). Given the continuing high demand for nursing graduates in the health care sector, the University is anticipating that this expansion will continue over the planning period. </t>
  </si>
  <si>
    <t>uoft_2024_21</t>
  </si>
  <si>
    <t>In addition, in 2022-23, the Government committed $124.7 million over three years to significantly increase funding for nursing clinical operations at colleges and universities. Under this initiative, the University’s allocation for nursing clinical funding has roughly tripled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 </t>
  </si>
  <si>
    <t>uoft_2024_22</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</si>
  <si>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</si>
  <si>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uoft_2024_23</t>
  </si>
  <si>
    <t>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</si>
  <si>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uoft_2024_24</t>
  </si>
  <si>
    <t>In addition, 30 MN Nurse Practitioner spaces will be delivered through SAMIH. </t>
  </si>
  <si>
    <t>uoft_2024_25</t>
  </si>
  <si>
    <t>uoft_2024_26</t>
  </si>
  <si>
    <t>In 2023-24, the Government continued its on-going $10.5 million annual funding for mental health services at colleges and universities – from which the University received $365k.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
  </si>
  <si>
    <t>uoft_2024_27</t>
  </si>
  <si>
    <t>However, the Government repositioned the $5 million in additional funding provided in 2022-23 into a two-year, project-based program for 2023-24 and 2024-25. The University has submitted a proposal for funding but has not received the results as of the writing of this report. </t>
  </si>
  <si>
    <t>uoft_2024_28</t>
  </si>
  <si>
    <t>uoft_2024_29</t>
  </si>
  <si>
    <t>In 2019-20, the Ontario government announced a 10 per cent cut to domestic tuition fees and has subsequently frozen fees at these levels for four years to 2023-24. Tuition paid by international students was unaffected. The cumulative impact of the 10% cut and four-year freeze is a $195 million reduction in annual operating revenue to the University as of 2023-24 compared to the 3% average framework in place prior to 2019-20. </t>
  </si>
  <si>
    <t>uoft_2024_30</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</si>
  <si>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</si>
  <si>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</si>
  <si>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We will revisit these plans, if necessary, when the Government formally announces its framework for 2024-25.</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</si>
  <si>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</si>
  <si>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</si>
  <si>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</si>
  <si>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uof_2024_34</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</si>
  <si>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</si>
  <si>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uoft_2024_35</t>
  </si>
  <si>
    <t>uoft_2024_36</t>
  </si>
  <si>
    <t>Ancillary services across all three campuses make important contributions to the student and campus experience through residences, food operations, parking, and other services for student, faculty, and staff. These self-funding units rely on on-campus activity and faced significant financial challenges during the pandemic. </t>
  </si>
  <si>
    <t>uoft_2024_37</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</si>
  <si>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</si>
  <si>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uoft_2024_38</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</si>
  <si>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</si>
  <si>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</si>
  <si>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</si>
  <si>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</si>
  <si>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</si>
  <si>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uoft_2024_42</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</si>
  <si>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</si>
  <si>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</si>
  <si>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</si>
  <si>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</si>
  <si>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</si>
  <si>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</si>
  <si>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</si>
  <si>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</si>
  <si>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</si>
  <si>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</si>
  <si>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</si>
  <si>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</si>
  <si>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</si>
  <si>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</si>
  <si>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</si>
  <si>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</si>
  <si>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uoft_2025_8</t>
  </si>
  <si>
    <t>It is important to note that the University separately
manages domestic and international enrolment spaces.
Each pool has separate targets and we endeavour to fill all
of our funded domestic spaces each year. We do not fill
domestic spaces with international students. In fact, in
2024 we admitted more domestic students than funded for
given the very strong demand and softening of the
Budget Report 2025-26 7 University of Toronto
international market. Although, this is only a temporary
measure as we cannot sustain this growth on domestic
tuition revenue alone.</t>
  </si>
  <si>
    <t>uoft_2025_9</t>
  </si>
  <si>
    <t>Many divisions continued to experience some softening in
graduate intakes again this year with overall graduate
enrolment coming in 0.7% below plan, although still 1.9%
higher than 2023-24. We are seeing some shifts in the
market for professional masters programs and divisions are
developing new programs and modifications to respond to
demand. One area of significant change is in the Rotman
School of Management, which is are planning a new
advanced standing option for the MBA (ie. shortened
program) and management programs for working
professionals and students from non-business
backgrounds.</t>
  </si>
  <si>
    <t>uoft_2025_10</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</si>
  <si>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</si>
  <si>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uoft_2025_11</t>
  </si>
  <si>
    <t>Geopolitical issues continue to present some risk to our
international enrolment plans. We are seeing a continued
impact on demand resulting from the tensions in the
Canada-India relationship with applications from that
country for Fall 2025 down by almost two-thirds compared
to 2023. This volatility demonstrates why the University’s
diversification strategy to build and increase connections
with a broader range of international countries is so
important.</t>
  </si>
  <si>
    <t>uoft_2025_12</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</si>
  <si>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and continues to impact the University’s
budget plan.</t>
  </si>
  <si>
    <t>uoft_2025_13</t>
  </si>
  <si>
    <t>The final year of the Bill 124 period agreement with our
Faculty &amp; Librarians (2022) was in arbitration when the
Court made its decision. As a result, negotiation resumed
on this final year and the Arbitrator ultimately awarded a
7% increase in addition to the 1% already negotiated
under the Bill 124 constraints. Negotiations with the
Faculty Association on the next agreement, fully post-Bill
124, continue.</t>
  </si>
  <si>
    <t>uoft_2025_14</t>
  </si>
  <si>
    <t>This 7% special increase was subsequently included in
post-Bill 124 negotiated agreements with other employee
groups and for other administrative staff. The University is
anticipating that this special increase will ultimately cost
about $125 million above what was planned.</t>
  </si>
  <si>
    <t>uoft_2025_15</t>
  </si>
  <si>
    <t>In response, divisions have had to review their hiring plans,
contingencies, capital plans, and other priorities. It is
taking several years for divisions to fully absorb this
extraordinary increase in base costs, which is limiting
funding available for other priorities. The multi-year
smoothing introduced to manage this incremental cost
impact to shared service budgets is requiring additional
funds from the 2025-26 budget beyond what will be
needed to fund next year’s compensation increases.</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</si>
  <si>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</si>
  <si>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</si>
  <si>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uoft_2025_17</t>
  </si>
  <si>
    <t>The University’s fourth Strategic Mandate Agreement with
the Province (SMA4) will come into effect on April 1st,
2025 and continue for five years. This follows the 2020-
2025 SMA32 that introduced a new performance-based
funding model. The University is currently working with the
Province to finalize the SMA4, which is expected to include
the following features:
• Continuation of the SMA3 performance-based
funding framework but with eight metrics, down from
the 10 included in SMA3. One of the two SMA3
research metrics is being eliminated under SMA4
and the Skills &amp; Competencies metric will be
discontinued.
• Enrolment-related metrics will now be focused on
domestic students and exclude international.
• 5% of funding will now be linked to meeting certain
reporting deadlines, engaging with MCU on work to
develop efficiencies and new skills &amp; competencies
metrics, and attesting to a commitment to research
security. These elements are still under development
as of the writing of this report.</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</si>
  <si>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</si>
  <si>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</si>
  <si>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uoft_2025_19</t>
  </si>
  <si>
    <t>The SMA3 also set out a multi-year enrolment plan where
the Province held constant the level of funded domestic
enrolment at the University of Toronto over the period of
the agreement. The University has been eligible for full
enrolment funding provided it maintained a five-year
average enrolment within ±3% of its target. This excluded
separately funded enrolment expansions in nursing and
the Scarborough Academy of Medicine &amp; Integrated Health
discussed later in this document.</t>
  </si>
  <si>
    <t>uoft_2025_20</t>
  </si>
  <si>
    <t>The funded enrolment corridor is not expected to change
for the first two years of SMA4. However, the Government
has indicated an interest in expanding enrolments in
science, technology, engineering, and math (STEM) and
the University has submitted a proposal to expand
programs by 4,850 undergraduates and 565 masters
students in areas such as engineering (including a new
undergraduate biomedical engineering program),
computer science, life &amp; physical sciences, data sciences,
kinesiology, and information studies. At this stage, this
proposed enrolment growth has not yet been factored into
the University’s long-range budget plan.</t>
  </si>
  <si>
    <t>uoft_2025_21</t>
  </si>
  <si>
    <t>In March 2023, the Government created a Blue Ribbon
Panel3 of postsecondary education experts to provide
advice on securing the financial sustainability of the sector.
The Panel recommended unfreezing domestic tuition, an
immediate 10% increase in operating grant funding, and
consideration of future enrolment growth funding to meet
demand.</t>
  </si>
  <si>
    <t>uoft_2025_22</t>
  </si>
  <si>
    <t>In response, the Government created a three-year
Postsecondary Education Financial Sustainability Fund
with a 7% phased-in increase to operating grants: 3% in
2024-25, 2% in 2025-26, and 2% in 2026-27. However,
the Government has not yet committed to continuing this
additional funding beyond 2026-27. They are planning a
funding review over the next two years that could inform
decisions on future funding.</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</si>
  <si>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</si>
  <si>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</si>
  <si>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uoft_2025_24</t>
  </si>
  <si>
    <t>Changes to domestic tuition fees in publicly-funded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Figure 4: 2025-26 Domestic Tuition Fees
institutions that contravene the framework. The frameworks
only apply to tuition for students for which the Government
provides operating grant funding, so do not apply to the
majority of international students, non-publicly funded
programs such as Executive MBA, and continuing
education programs.</t>
  </si>
  <si>
    <t>uoft_2025_25</t>
  </si>
  <si>
    <t>In 2019-20, the Ontario government required a 10 per cent
cut to domestic tuition fees and has subsequently frozen
fees at these lower levels out to at least 2026-27.</t>
  </si>
  <si>
    <t>uoft_2025_26</t>
  </si>
  <si>
    <t>In 2022-23, the Government introduced flexibility to
increase non-Ontario domestic tuition by 5% per year – a
helpful change but limited in impact as this applies to just
a small portion of the University’s domestic enrolment.</t>
  </si>
  <si>
    <t>uoft_2025_27</t>
  </si>
  <si>
    <t>In 2023-24, the Government approved multi-year plans to
increase fees for some programs where they were
significantly lower than the comparative sector average.
This applies to our MA, MSc, and MSc in Applied
Computing programs (more information is provided later in
this report).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</si>
  <si>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</si>
  <si>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</si>
  <si>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uoft_2025_29</t>
  </si>
  <si>
    <t>Nursing education continues to be a priority area for the
Government, which has funded additional spaces at
colleges and universities since 2021. Under this program,
the University received 55 additional spaces for our
undergraduate BScN program (31% increase in intake
over 2020). Given the continuing high demand for nursing
graduates in the health care sector, the University is
anticipating that this expansion will continue over the
planning period.</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</si>
  <si>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</si>
  <si>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</si>
  <si>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uoft_2025_31</t>
  </si>
  <si>
    <t>In May 2022, the Government announced expansion
funding for the new Scarborough Academy of Medicine
and Integrated Health (SAMIH) that will be located at the
University of Toronto Scarborough (UTSC) campus. SAMIH
is a collaboration between UTSC, the Temerty Faculty of
Medicine, the Lawrence Bloomberg Faculty of Nursing,
and the Leslie Dan Faculty of Pharmacy. It will serve as a
hub for undergraduate health education and health
professional training. 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</si>
  <si>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uoft_2025_32</t>
  </si>
  <si>
    <t>In addition, 30 MN Nurse Practitioner spaces will be
delivered through SAMIH.</t>
  </si>
  <si>
    <t>uoft_2025_33</t>
  </si>
  <si>
    <t>The home for SAMIH is currently under construction and
the Academy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t>
  </si>
  <si>
    <t>uof_2025_34</t>
  </si>
  <si>
    <t>In addition to the base and expansion operating grant
funding described above, the Provincial Government also
provides Special Purpose Funding for a number of targeted
initiatives each year such as mental health support
programs, accessibility &amp; accommodation supports,
campus safety, access &amp; outreach programs, Indigenous
student bursaries, and others. In total, the University
received $5.5 million in special purpose funding in 2023-
24. Allocations for many of these programs are announced
in-year and often flow through the restricted fund portion of
the University’s systems given the specific nature of the
eligible expenditures. However, the annual operating
budget does include a provision for Accessibility Funding,
assumed to be $3.8 million for 2025-26.</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</si>
  <si>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</si>
  <si>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</si>
  <si>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</si>
  <si>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</si>
  <si>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</si>
  <si>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</si>
  <si>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</si>
  <si>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</si>
  <si>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uoft_2025_39</t>
  </si>
  <si>
    <t>Similarly, the Provincial Government provides support
through Ontario Graduate Scholarships and the QEII
Graduate Scholarships in Science and Technology.
However, these awards have remained frozen in value and
the number available has not kept pace with the rapid
growth in graduate enrolment.</t>
  </si>
  <si>
    <t>uoft_2025_40</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</si>
  <si>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</si>
  <si>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uoft_2025_41</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</si>
  <si>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</si>
  <si>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uoft_2025_42</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</si>
  <si>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</si>
  <si>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</si>
  <si>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</si>
  <si>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</si>
  <si>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PART 2</t>
  </si>
  <si>
    <t>uoft_2025_44</t>
  </si>
  <si>
    <t>uoft_2025_45</t>
  </si>
  <si>
    <t>uoft_2025_46</t>
  </si>
  <si>
    <t>Ancillary services across all three campuses make
important contributions to the student and campus
experience through residences, food operations, parking,
and other services for student, faculty, and staff. These
self-funded units rely on on-campus activity and faced
significant financial challenges during the pandemic.</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</si>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</sst>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7"/>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6"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8" fillId="0" borderId="0" xfId="0" applyFont="1" applyAlignment="1">
      <alignment shrinkToFit="1"/>
    </xf>
    <xf numFmtId="0" fontId="1" fillId="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Q329"/>
  <sheetViews>
    <sheetView tabSelected="1" topLeftCell="A224" zoomScaleNormal="100" workbookViewId="0">
      <selection activeCell="F316" sqref="F316"/>
    </sheetView>
  </sheetViews>
  <sheetFormatPr baseColWidth="10" defaultRowHeight="16"/>
  <cols>
    <col min="1" max="1" width="12.33203125" customWidth="1"/>
    <col min="2" max="2" width="14" customWidth="1"/>
    <col min="3" max="3" width="14.6640625" customWidth="1"/>
    <col min="4" max="4" width="15" style="13" customWidth="1"/>
    <col min="6" max="6" width="12" customWidth="1"/>
    <col min="7" max="7" width="18" customWidth="1"/>
    <col min="8" max="8" width="16.5" customWidth="1"/>
    <col min="10" max="11" width="19" customWidth="1"/>
    <col min="12" max="12" width="12.5" customWidth="1"/>
    <col min="13" max="13" width="12.1640625" customWidth="1"/>
    <col min="14" max="14" width="12.5" customWidth="1"/>
  </cols>
  <sheetData>
    <row r="1" spans="1:17">
      <c r="A1" s="2" t="s">
        <v>0</v>
      </c>
      <c r="B1" s="2" t="s">
        <v>1</v>
      </c>
      <c r="C1" s="5" t="s">
        <v>2</v>
      </c>
      <c r="D1" s="12" t="s">
        <v>3</v>
      </c>
      <c r="E1" s="3" t="s">
        <v>6</v>
      </c>
      <c r="F1" s="3" t="s">
        <v>7</v>
      </c>
      <c r="G1" s="3" t="s">
        <v>4</v>
      </c>
      <c r="H1" s="3" t="s">
        <v>13</v>
      </c>
      <c r="I1" s="3" t="s">
        <v>5</v>
      </c>
      <c r="J1" s="3" t="s">
        <v>15</v>
      </c>
      <c r="K1" s="3" t="s">
        <v>16</v>
      </c>
      <c r="L1" s="3" t="s">
        <v>289</v>
      </c>
      <c r="M1" s="3" t="s">
        <v>290</v>
      </c>
      <c r="N1" s="3" t="s">
        <v>291</v>
      </c>
      <c r="O1" s="3" t="s">
        <v>292</v>
      </c>
      <c r="P1" s="3" t="s">
        <v>324</v>
      </c>
      <c r="Q1" s="3" t="s">
        <v>325</v>
      </c>
    </row>
    <row r="2" spans="1:17" ht="28" customHeight="1">
      <c r="A2" s="4" t="s">
        <v>10</v>
      </c>
      <c r="B2" s="4" t="s">
        <v>11</v>
      </c>
      <c r="C2" s="6" t="s">
        <v>17</v>
      </c>
      <c r="D2" s="13">
        <v>1</v>
      </c>
      <c r="E2" s="4">
        <v>1</v>
      </c>
      <c r="F2" s="4">
        <v>9</v>
      </c>
      <c r="G2" s="4" t="s">
        <v>12</v>
      </c>
      <c r="H2" s="4" t="s">
        <v>14</v>
      </c>
      <c r="I2" s="4">
        <v>2017</v>
      </c>
      <c r="J2" s="4">
        <v>1</v>
      </c>
      <c r="K2" s="4">
        <v>0</v>
      </c>
    </row>
    <row r="3" spans="1:17" ht="20" customHeight="1">
      <c r="A3" s="4" t="s">
        <v>10</v>
      </c>
      <c r="B3" s="4" t="s">
        <v>26</v>
      </c>
      <c r="C3" s="6" t="s">
        <v>18</v>
      </c>
      <c r="D3" s="13">
        <v>1</v>
      </c>
      <c r="E3" s="4">
        <v>2</v>
      </c>
      <c r="F3" s="4">
        <v>9</v>
      </c>
      <c r="G3" s="4" t="s">
        <v>12</v>
      </c>
      <c r="H3" s="4" t="s">
        <v>14</v>
      </c>
      <c r="I3" s="4">
        <v>2017</v>
      </c>
      <c r="J3" s="4">
        <v>1</v>
      </c>
      <c r="K3" s="4">
        <v>0</v>
      </c>
    </row>
    <row r="4" spans="1:17" ht="22" customHeight="1">
      <c r="A4" s="4" t="s">
        <v>10</v>
      </c>
      <c r="B4" s="4" t="s">
        <v>27</v>
      </c>
      <c r="C4" s="6" t="s">
        <v>19</v>
      </c>
      <c r="D4" s="13">
        <v>1</v>
      </c>
      <c r="E4" s="4">
        <v>3</v>
      </c>
      <c r="F4" s="4">
        <v>9</v>
      </c>
      <c r="G4" s="4" t="s">
        <v>12</v>
      </c>
      <c r="H4" s="4" t="s">
        <v>14</v>
      </c>
      <c r="I4" s="4">
        <v>2017</v>
      </c>
      <c r="J4" s="4">
        <v>1</v>
      </c>
      <c r="K4" s="4">
        <v>0</v>
      </c>
    </row>
    <row r="5" spans="1:17" ht="23" customHeight="1">
      <c r="A5" s="4" t="s">
        <v>10</v>
      </c>
      <c r="B5" s="4" t="s">
        <v>28</v>
      </c>
      <c r="C5" s="6" t="s">
        <v>20</v>
      </c>
      <c r="D5" s="13">
        <v>1</v>
      </c>
      <c r="E5" s="4">
        <v>4</v>
      </c>
      <c r="F5" s="4">
        <v>9</v>
      </c>
      <c r="G5" s="4" t="s">
        <v>12</v>
      </c>
      <c r="H5" s="4" t="s">
        <v>14</v>
      </c>
      <c r="I5" s="4">
        <v>2017</v>
      </c>
      <c r="J5" s="4">
        <v>1</v>
      </c>
      <c r="K5" s="4">
        <v>0</v>
      </c>
    </row>
    <row r="6" spans="1:17" ht="21" customHeight="1">
      <c r="A6" s="4" t="s">
        <v>10</v>
      </c>
      <c r="B6" s="4" t="s">
        <v>29</v>
      </c>
      <c r="C6" s="6" t="s">
        <v>21</v>
      </c>
      <c r="D6" s="13">
        <v>0</v>
      </c>
      <c r="E6" s="4">
        <v>5</v>
      </c>
      <c r="F6" s="4">
        <v>9</v>
      </c>
      <c r="G6" s="4" t="s">
        <v>12</v>
      </c>
      <c r="H6" s="4" t="s">
        <v>14</v>
      </c>
      <c r="I6" s="4">
        <v>2017</v>
      </c>
      <c r="J6" s="4">
        <v>1</v>
      </c>
      <c r="K6" s="4">
        <v>0</v>
      </c>
    </row>
    <row r="7" spans="1:17">
      <c r="A7" s="4" t="s">
        <v>10</v>
      </c>
      <c r="B7" s="4" t="s">
        <v>30</v>
      </c>
      <c r="C7" s="6" t="s">
        <v>22</v>
      </c>
      <c r="D7" s="13">
        <v>0</v>
      </c>
      <c r="E7" s="4">
        <v>6</v>
      </c>
      <c r="F7" s="4">
        <v>9</v>
      </c>
      <c r="G7" s="4" t="s">
        <v>12</v>
      </c>
      <c r="H7" s="4" t="s">
        <v>14</v>
      </c>
      <c r="I7" s="4">
        <v>2017</v>
      </c>
      <c r="J7" s="4">
        <v>1</v>
      </c>
      <c r="K7" s="4">
        <v>0</v>
      </c>
    </row>
    <row r="8" spans="1:17">
      <c r="A8" s="4" t="s">
        <v>10</v>
      </c>
      <c r="B8" s="4" t="s">
        <v>31</v>
      </c>
      <c r="C8" s="6" t="s">
        <v>23</v>
      </c>
      <c r="D8" s="13">
        <v>1</v>
      </c>
      <c r="E8" s="4">
        <v>7</v>
      </c>
      <c r="F8" s="4">
        <v>9</v>
      </c>
      <c r="G8" s="4" t="s">
        <v>12</v>
      </c>
      <c r="H8" s="4" t="s">
        <v>14</v>
      </c>
      <c r="I8" s="4">
        <v>2017</v>
      </c>
      <c r="J8" s="4">
        <v>1</v>
      </c>
      <c r="K8" s="4">
        <v>0</v>
      </c>
    </row>
    <row r="9" spans="1:17">
      <c r="A9" s="4" t="s">
        <v>10</v>
      </c>
      <c r="B9" s="4" t="s">
        <v>32</v>
      </c>
      <c r="C9" s="6" t="s">
        <v>24</v>
      </c>
      <c r="D9" s="13">
        <v>1</v>
      </c>
      <c r="E9" s="4">
        <v>8</v>
      </c>
      <c r="F9" s="4">
        <v>9</v>
      </c>
      <c r="G9" s="4" t="s">
        <v>12</v>
      </c>
      <c r="H9" s="4" t="s">
        <v>14</v>
      </c>
      <c r="I9" s="4">
        <v>2017</v>
      </c>
      <c r="J9" s="4">
        <v>1</v>
      </c>
      <c r="K9" s="4">
        <v>0</v>
      </c>
    </row>
    <row r="10" spans="1:17">
      <c r="A10" s="4" t="s">
        <v>10</v>
      </c>
      <c r="B10" s="4" t="s">
        <v>33</v>
      </c>
      <c r="C10" s="6" t="s">
        <v>25</v>
      </c>
      <c r="D10" s="13">
        <v>0</v>
      </c>
      <c r="E10" s="4">
        <v>9</v>
      </c>
      <c r="F10" s="4">
        <v>9</v>
      </c>
      <c r="G10" s="4" t="s">
        <v>12</v>
      </c>
      <c r="H10" s="4" t="s">
        <v>14</v>
      </c>
      <c r="I10" s="4">
        <v>2017</v>
      </c>
      <c r="J10" s="4">
        <v>1</v>
      </c>
      <c r="K10" s="4">
        <v>0</v>
      </c>
    </row>
    <row r="11" spans="1:17">
      <c r="A11" s="4" t="s">
        <v>9</v>
      </c>
      <c r="B11" s="4" t="s">
        <v>34</v>
      </c>
      <c r="C11" s="6" t="s">
        <v>35</v>
      </c>
      <c r="D11" s="13">
        <v>1</v>
      </c>
      <c r="E11" s="4">
        <v>1</v>
      </c>
      <c r="F11" s="4">
        <v>9</v>
      </c>
      <c r="G11" s="4" t="s">
        <v>12</v>
      </c>
      <c r="H11" s="4" t="s">
        <v>14</v>
      </c>
      <c r="I11" s="4">
        <v>2018</v>
      </c>
      <c r="J11" s="4">
        <v>1</v>
      </c>
      <c r="K11" s="4">
        <v>0</v>
      </c>
    </row>
    <row r="12" spans="1:17">
      <c r="A12" s="4" t="s">
        <v>9</v>
      </c>
      <c r="B12" s="4" t="s">
        <v>44</v>
      </c>
      <c r="C12" s="6" t="s">
        <v>36</v>
      </c>
      <c r="D12" s="13">
        <v>1</v>
      </c>
      <c r="E12" s="4">
        <v>2</v>
      </c>
      <c r="F12" s="4">
        <v>9</v>
      </c>
      <c r="G12" s="4" t="s">
        <v>12</v>
      </c>
      <c r="H12" s="4" t="s">
        <v>14</v>
      </c>
      <c r="I12" s="4">
        <v>2018</v>
      </c>
      <c r="J12" s="4">
        <v>1</v>
      </c>
      <c r="K12" s="4">
        <v>0</v>
      </c>
    </row>
    <row r="13" spans="1:17">
      <c r="A13" s="4" t="s">
        <v>9</v>
      </c>
      <c r="B13" s="4" t="s">
        <v>45</v>
      </c>
      <c r="C13" s="6" t="s">
        <v>37</v>
      </c>
      <c r="D13" s="13">
        <v>1</v>
      </c>
      <c r="E13" s="4">
        <v>3</v>
      </c>
      <c r="F13" s="4">
        <v>9</v>
      </c>
      <c r="G13" s="4" t="s">
        <v>12</v>
      </c>
      <c r="H13" s="4" t="s">
        <v>14</v>
      </c>
      <c r="I13" s="4">
        <v>2018</v>
      </c>
      <c r="J13" s="4">
        <v>1</v>
      </c>
      <c r="K13" s="4">
        <v>0</v>
      </c>
    </row>
    <row r="14" spans="1:17">
      <c r="A14" s="4" t="s">
        <v>9</v>
      </c>
      <c r="B14" s="4" t="s">
        <v>46</v>
      </c>
      <c r="C14" s="6" t="s">
        <v>38</v>
      </c>
      <c r="D14" s="13">
        <v>1</v>
      </c>
      <c r="E14" s="4">
        <v>4</v>
      </c>
      <c r="F14" s="4">
        <v>9</v>
      </c>
      <c r="G14" s="4" t="s">
        <v>12</v>
      </c>
      <c r="H14" s="4" t="s">
        <v>14</v>
      </c>
      <c r="I14" s="4">
        <v>2018</v>
      </c>
      <c r="J14" s="4">
        <v>1</v>
      </c>
      <c r="K14" s="4">
        <v>0</v>
      </c>
    </row>
    <row r="15" spans="1:17">
      <c r="A15" s="4" t="s">
        <v>9</v>
      </c>
      <c r="B15" s="4" t="s">
        <v>47</v>
      </c>
      <c r="C15" s="6" t="s">
        <v>39</v>
      </c>
      <c r="D15" s="13">
        <v>1</v>
      </c>
      <c r="E15" s="4">
        <v>5</v>
      </c>
      <c r="F15" s="4">
        <v>9</v>
      </c>
      <c r="G15" s="4" t="s">
        <v>12</v>
      </c>
      <c r="H15" s="4" t="s">
        <v>14</v>
      </c>
      <c r="I15" s="4">
        <v>2018</v>
      </c>
      <c r="J15" s="4">
        <v>1</v>
      </c>
      <c r="K15" s="4">
        <v>0</v>
      </c>
    </row>
    <row r="16" spans="1:17">
      <c r="A16" s="4" t="s">
        <v>9</v>
      </c>
      <c r="B16" s="4" t="s">
        <v>48</v>
      </c>
      <c r="C16" s="6" t="s">
        <v>40</v>
      </c>
      <c r="D16" s="13">
        <v>0</v>
      </c>
      <c r="E16" s="4">
        <v>6</v>
      </c>
      <c r="F16" s="4">
        <v>9</v>
      </c>
      <c r="G16" s="4" t="s">
        <v>12</v>
      </c>
      <c r="H16" s="4" t="s">
        <v>14</v>
      </c>
      <c r="I16" s="4">
        <v>2018</v>
      </c>
      <c r="J16" s="4">
        <v>1</v>
      </c>
      <c r="K16" s="4">
        <v>0</v>
      </c>
    </row>
    <row r="17" spans="1:11">
      <c r="A17" s="4" t="s">
        <v>9</v>
      </c>
      <c r="B17" s="4" t="s">
        <v>49</v>
      </c>
      <c r="C17" s="6" t="s">
        <v>41</v>
      </c>
      <c r="D17" s="13">
        <v>1</v>
      </c>
      <c r="E17" s="4">
        <v>7</v>
      </c>
      <c r="F17" s="4">
        <v>9</v>
      </c>
      <c r="G17" s="4" t="s">
        <v>12</v>
      </c>
      <c r="H17" s="4" t="s">
        <v>14</v>
      </c>
      <c r="I17" s="4">
        <v>2018</v>
      </c>
      <c r="J17" s="4">
        <v>1</v>
      </c>
      <c r="K17" s="4">
        <v>0</v>
      </c>
    </row>
    <row r="18" spans="1:11">
      <c r="A18" s="4" t="s">
        <v>9</v>
      </c>
      <c r="B18" s="4" t="s">
        <v>50</v>
      </c>
      <c r="C18" s="6" t="s">
        <v>42</v>
      </c>
      <c r="D18" s="13">
        <v>1</v>
      </c>
      <c r="E18" s="4">
        <v>8</v>
      </c>
      <c r="F18" s="4">
        <v>9</v>
      </c>
      <c r="G18" s="4" t="s">
        <v>12</v>
      </c>
      <c r="H18" s="4" t="s">
        <v>14</v>
      </c>
      <c r="I18" s="4">
        <v>2018</v>
      </c>
      <c r="J18" s="4">
        <v>1</v>
      </c>
      <c r="K18" s="4">
        <v>0</v>
      </c>
    </row>
    <row r="19" spans="1:11">
      <c r="A19" s="4" t="s">
        <v>9</v>
      </c>
      <c r="B19" s="4" t="s">
        <v>51</v>
      </c>
      <c r="C19" s="6" t="s">
        <v>43</v>
      </c>
      <c r="D19" s="13">
        <v>0</v>
      </c>
      <c r="E19" s="4">
        <v>9</v>
      </c>
      <c r="F19" s="4">
        <v>9</v>
      </c>
      <c r="G19" s="4" t="s">
        <v>12</v>
      </c>
      <c r="H19" s="4" t="s">
        <v>14</v>
      </c>
      <c r="I19" s="4">
        <v>2018</v>
      </c>
      <c r="J19" s="4">
        <v>1</v>
      </c>
      <c r="K19" s="4">
        <v>0</v>
      </c>
    </row>
    <row r="20" spans="1:11">
      <c r="A20" s="4" t="s">
        <v>8</v>
      </c>
      <c r="B20" s="4" t="s">
        <v>52</v>
      </c>
      <c r="C20" s="7" t="s">
        <v>54</v>
      </c>
      <c r="D20" s="13">
        <v>1</v>
      </c>
      <c r="E20" s="4">
        <v>1</v>
      </c>
      <c r="F20" s="4">
        <v>7</v>
      </c>
      <c r="G20" s="4" t="s">
        <v>12</v>
      </c>
      <c r="H20" s="4" t="s">
        <v>14</v>
      </c>
      <c r="I20" s="4">
        <v>2019</v>
      </c>
      <c r="J20" s="4">
        <v>1</v>
      </c>
      <c r="K20" s="4">
        <v>1</v>
      </c>
    </row>
    <row r="21" spans="1:11">
      <c r="A21" s="4" t="s">
        <v>8</v>
      </c>
      <c r="B21" s="4" t="s">
        <v>61</v>
      </c>
      <c r="C21" s="7" t="s">
        <v>55</v>
      </c>
      <c r="D21" s="13">
        <v>1</v>
      </c>
      <c r="E21" s="4">
        <v>2</v>
      </c>
      <c r="F21" s="4">
        <v>7</v>
      </c>
      <c r="G21" s="4" t="s">
        <v>12</v>
      </c>
      <c r="H21" s="4" t="s">
        <v>14</v>
      </c>
      <c r="I21" s="4">
        <v>2019</v>
      </c>
      <c r="J21" s="4">
        <v>1</v>
      </c>
      <c r="K21" s="4">
        <v>1</v>
      </c>
    </row>
    <row r="22" spans="1:11">
      <c r="A22" s="4" t="s">
        <v>8</v>
      </c>
      <c r="B22" s="4" t="s">
        <v>62</v>
      </c>
      <c r="C22" s="7" t="s">
        <v>56</v>
      </c>
      <c r="D22" s="13">
        <v>1</v>
      </c>
      <c r="E22" s="4">
        <v>3</v>
      </c>
      <c r="F22" s="4">
        <v>7</v>
      </c>
      <c r="G22" s="4" t="s">
        <v>12</v>
      </c>
      <c r="H22" s="4" t="s">
        <v>14</v>
      </c>
      <c r="I22" s="4">
        <v>2019</v>
      </c>
      <c r="J22" s="4">
        <v>1</v>
      </c>
      <c r="K22" s="4">
        <v>1</v>
      </c>
    </row>
    <row r="23" spans="1:11">
      <c r="A23" s="4" t="s">
        <v>8</v>
      </c>
      <c r="B23" s="4" t="s">
        <v>63</v>
      </c>
      <c r="C23" s="7" t="s">
        <v>57</v>
      </c>
      <c r="D23" s="13">
        <v>1</v>
      </c>
      <c r="E23" s="4">
        <v>4</v>
      </c>
      <c r="F23" s="4">
        <v>7</v>
      </c>
      <c r="G23" s="4" t="s">
        <v>12</v>
      </c>
      <c r="H23" s="4" t="s">
        <v>14</v>
      </c>
      <c r="I23" s="4">
        <v>2019</v>
      </c>
      <c r="J23" s="4">
        <v>1</v>
      </c>
      <c r="K23" s="4">
        <v>1</v>
      </c>
    </row>
    <row r="24" spans="1:11">
      <c r="A24" s="4" t="s">
        <v>8</v>
      </c>
      <c r="B24" s="4" t="s">
        <v>64</v>
      </c>
      <c r="C24" s="8" t="s">
        <v>58</v>
      </c>
      <c r="D24" s="13">
        <v>0</v>
      </c>
      <c r="E24" s="4">
        <v>5</v>
      </c>
      <c r="F24" s="4">
        <v>7</v>
      </c>
      <c r="G24" s="4" t="s">
        <v>12</v>
      </c>
      <c r="H24" s="4" t="s">
        <v>14</v>
      </c>
      <c r="I24" s="4">
        <v>2019</v>
      </c>
      <c r="J24" s="4">
        <v>1</v>
      </c>
      <c r="K24" s="4">
        <v>1</v>
      </c>
    </row>
    <row r="25" spans="1:11">
      <c r="A25" s="4" t="s">
        <v>8</v>
      </c>
      <c r="B25" s="4" t="s">
        <v>65</v>
      </c>
      <c r="C25" s="8" t="s">
        <v>59</v>
      </c>
      <c r="D25" s="13">
        <v>1</v>
      </c>
      <c r="E25" s="4">
        <v>6</v>
      </c>
      <c r="F25" s="4">
        <v>7</v>
      </c>
      <c r="G25" s="4" t="s">
        <v>12</v>
      </c>
      <c r="H25" s="4" t="s">
        <v>14</v>
      </c>
      <c r="I25" s="4">
        <v>2019</v>
      </c>
      <c r="J25" s="4">
        <v>1</v>
      </c>
      <c r="K25" s="4">
        <v>1</v>
      </c>
    </row>
    <row r="26" spans="1:11">
      <c r="A26" s="4" t="s">
        <v>8</v>
      </c>
      <c r="B26" s="4" t="s">
        <v>66</v>
      </c>
      <c r="C26" s="8" t="s">
        <v>60</v>
      </c>
      <c r="D26" s="13">
        <v>0</v>
      </c>
      <c r="E26" s="4">
        <v>7</v>
      </c>
      <c r="F26" s="4">
        <v>7</v>
      </c>
      <c r="G26" s="4" t="s">
        <v>12</v>
      </c>
      <c r="H26" s="4" t="s">
        <v>14</v>
      </c>
      <c r="I26" s="4">
        <v>2019</v>
      </c>
      <c r="J26" s="4">
        <v>1</v>
      </c>
      <c r="K26" s="4">
        <v>1</v>
      </c>
    </row>
    <row r="27" spans="1:11">
      <c r="A27" s="4" t="s">
        <v>53</v>
      </c>
      <c r="B27" s="4" t="s">
        <v>67</v>
      </c>
      <c r="C27" s="8" t="s">
        <v>68</v>
      </c>
      <c r="D27" s="13">
        <v>1</v>
      </c>
      <c r="E27" s="4">
        <v>1</v>
      </c>
      <c r="F27" s="4">
        <v>10</v>
      </c>
      <c r="G27" s="4" t="s">
        <v>12</v>
      </c>
      <c r="H27" s="4" t="s">
        <v>14</v>
      </c>
      <c r="I27" s="4">
        <v>2020</v>
      </c>
      <c r="J27" s="4">
        <v>1</v>
      </c>
      <c r="K27" s="4">
        <v>1</v>
      </c>
    </row>
    <row r="28" spans="1:11">
      <c r="A28" s="4" t="s">
        <v>53</v>
      </c>
      <c r="B28" s="4" t="s">
        <v>77</v>
      </c>
      <c r="C28" s="8" t="s">
        <v>69</v>
      </c>
      <c r="D28" s="13">
        <v>1</v>
      </c>
      <c r="E28" s="4">
        <v>2</v>
      </c>
      <c r="F28" s="4">
        <v>10</v>
      </c>
      <c r="G28" s="4" t="s">
        <v>12</v>
      </c>
      <c r="H28" s="4" t="s">
        <v>14</v>
      </c>
      <c r="I28" s="4">
        <v>2020</v>
      </c>
      <c r="J28" s="4">
        <v>1</v>
      </c>
      <c r="K28" s="4">
        <v>1</v>
      </c>
    </row>
    <row r="29" spans="1:11">
      <c r="A29" s="4" t="s">
        <v>53</v>
      </c>
      <c r="B29" s="4" t="s">
        <v>78</v>
      </c>
      <c r="C29" s="8" t="s">
        <v>70</v>
      </c>
      <c r="D29" s="13">
        <v>0</v>
      </c>
      <c r="E29" s="4">
        <v>3</v>
      </c>
      <c r="F29" s="4">
        <v>10</v>
      </c>
      <c r="G29" s="4" t="s">
        <v>12</v>
      </c>
      <c r="H29" s="4" t="s">
        <v>14</v>
      </c>
      <c r="I29" s="4">
        <v>2020</v>
      </c>
      <c r="J29" s="4">
        <v>1</v>
      </c>
      <c r="K29" s="4">
        <v>1</v>
      </c>
    </row>
    <row r="30" spans="1:11">
      <c r="A30" s="4" t="s">
        <v>53</v>
      </c>
      <c r="B30" s="4" t="s">
        <v>79</v>
      </c>
      <c r="C30" s="8" t="s">
        <v>71</v>
      </c>
      <c r="D30" s="13">
        <v>0</v>
      </c>
      <c r="E30" s="4">
        <v>4</v>
      </c>
      <c r="F30" s="4">
        <v>10</v>
      </c>
      <c r="G30" s="4" t="s">
        <v>12</v>
      </c>
      <c r="H30" s="4" t="s">
        <v>14</v>
      </c>
      <c r="I30" s="4">
        <v>2020</v>
      </c>
      <c r="J30" s="4">
        <v>1</v>
      </c>
      <c r="K30" s="4">
        <v>1</v>
      </c>
    </row>
    <row r="31" spans="1:11">
      <c r="A31" s="4" t="s">
        <v>53</v>
      </c>
      <c r="B31" s="4" t="s">
        <v>80</v>
      </c>
      <c r="C31" s="8" t="s">
        <v>72</v>
      </c>
      <c r="D31" s="13">
        <v>1</v>
      </c>
      <c r="E31" s="4">
        <v>5</v>
      </c>
      <c r="F31" s="4">
        <v>10</v>
      </c>
      <c r="G31" s="4" t="s">
        <v>12</v>
      </c>
      <c r="H31" s="4" t="s">
        <v>14</v>
      </c>
      <c r="I31" s="4">
        <v>2020</v>
      </c>
      <c r="J31" s="4">
        <v>1</v>
      </c>
      <c r="K31" s="4">
        <v>1</v>
      </c>
    </row>
    <row r="32" spans="1:11">
      <c r="A32" s="4" t="s">
        <v>53</v>
      </c>
      <c r="B32" s="4" t="s">
        <v>81</v>
      </c>
      <c r="C32" s="8" t="s">
        <v>73</v>
      </c>
      <c r="D32" s="13">
        <v>1</v>
      </c>
      <c r="E32" s="4">
        <v>6</v>
      </c>
      <c r="F32" s="4">
        <v>10</v>
      </c>
      <c r="G32" s="4" t="s">
        <v>12</v>
      </c>
      <c r="H32" s="4" t="s">
        <v>14</v>
      </c>
      <c r="I32" s="4">
        <v>2020</v>
      </c>
      <c r="J32" s="4">
        <v>1</v>
      </c>
      <c r="K32" s="4">
        <v>1</v>
      </c>
    </row>
    <row r="33" spans="1:11">
      <c r="A33" s="4" t="s">
        <v>53</v>
      </c>
      <c r="B33" s="4" t="s">
        <v>82</v>
      </c>
      <c r="C33" s="8" t="s">
        <v>74</v>
      </c>
      <c r="D33" s="13">
        <v>1</v>
      </c>
      <c r="E33" s="4">
        <v>7</v>
      </c>
      <c r="F33" s="4">
        <v>10</v>
      </c>
      <c r="G33" s="4" t="s">
        <v>12</v>
      </c>
      <c r="H33" s="4" t="s">
        <v>14</v>
      </c>
      <c r="I33" s="4">
        <v>2020</v>
      </c>
      <c r="J33" s="4">
        <v>1</v>
      </c>
      <c r="K33" s="4">
        <v>1</v>
      </c>
    </row>
    <row r="34" spans="1:11">
      <c r="A34" s="4" t="s">
        <v>53</v>
      </c>
      <c r="B34" s="4" t="s">
        <v>83</v>
      </c>
      <c r="C34" s="8" t="s">
        <v>428</v>
      </c>
      <c r="D34" s="13">
        <v>1</v>
      </c>
      <c r="E34" s="4">
        <v>8</v>
      </c>
      <c r="F34" s="4">
        <v>10</v>
      </c>
      <c r="G34" s="4" t="s">
        <v>12</v>
      </c>
      <c r="H34" s="4" t="s">
        <v>14</v>
      </c>
      <c r="I34" s="4">
        <v>2020</v>
      </c>
      <c r="J34" s="4">
        <v>1</v>
      </c>
      <c r="K34" s="4">
        <v>1</v>
      </c>
    </row>
    <row r="35" spans="1:11">
      <c r="A35" s="4" t="s">
        <v>53</v>
      </c>
      <c r="B35" s="4" t="s">
        <v>84</v>
      </c>
      <c r="C35" s="8" t="s">
        <v>75</v>
      </c>
      <c r="D35" s="13">
        <v>0</v>
      </c>
      <c r="E35" s="4">
        <v>9</v>
      </c>
      <c r="F35" s="4">
        <v>10</v>
      </c>
      <c r="G35" s="4" t="s">
        <v>12</v>
      </c>
      <c r="H35" s="4" t="s">
        <v>14</v>
      </c>
      <c r="I35" s="4">
        <v>2020</v>
      </c>
      <c r="J35" s="4">
        <v>1</v>
      </c>
      <c r="K35" s="4">
        <v>1</v>
      </c>
    </row>
    <row r="36" spans="1:11">
      <c r="A36" s="4" t="s">
        <v>53</v>
      </c>
      <c r="B36" s="4" t="s">
        <v>427</v>
      </c>
      <c r="C36" s="8" t="s">
        <v>76</v>
      </c>
      <c r="D36" s="13">
        <v>1</v>
      </c>
      <c r="E36" s="4">
        <v>10</v>
      </c>
      <c r="F36" s="4">
        <v>10</v>
      </c>
      <c r="G36" s="4" t="s">
        <v>12</v>
      </c>
      <c r="H36" s="4" t="s">
        <v>14</v>
      </c>
      <c r="I36" s="4">
        <v>2020</v>
      </c>
      <c r="J36" s="4">
        <v>1</v>
      </c>
      <c r="K36" s="4">
        <v>1</v>
      </c>
    </row>
    <row r="37" spans="1:11">
      <c r="A37" s="4" t="s">
        <v>85</v>
      </c>
      <c r="B37" s="4" t="s">
        <v>86</v>
      </c>
      <c r="C37" s="8" t="s">
        <v>87</v>
      </c>
      <c r="D37" s="13">
        <v>1</v>
      </c>
      <c r="E37" s="4">
        <v>1</v>
      </c>
      <c r="F37" s="4">
        <v>6</v>
      </c>
      <c r="G37" s="4" t="s">
        <v>12</v>
      </c>
      <c r="H37" s="4" t="s">
        <v>14</v>
      </c>
      <c r="I37" s="4">
        <v>2021</v>
      </c>
      <c r="J37" s="4">
        <v>1</v>
      </c>
      <c r="K37" s="4">
        <v>1</v>
      </c>
    </row>
    <row r="38" spans="1:11">
      <c r="A38" s="4" t="s">
        <v>85</v>
      </c>
      <c r="B38" s="4" t="s">
        <v>92</v>
      </c>
      <c r="C38" s="8" t="s">
        <v>73</v>
      </c>
      <c r="D38" s="13">
        <v>1</v>
      </c>
      <c r="E38" s="4">
        <v>2</v>
      </c>
      <c r="F38" s="4">
        <v>6</v>
      </c>
      <c r="G38" s="4" t="s">
        <v>12</v>
      </c>
      <c r="H38" s="4" t="s">
        <v>14</v>
      </c>
      <c r="I38" s="4">
        <v>2021</v>
      </c>
      <c r="J38" s="4">
        <v>1</v>
      </c>
      <c r="K38" s="4">
        <v>1</v>
      </c>
    </row>
    <row r="39" spans="1:11">
      <c r="A39" s="4" t="s">
        <v>85</v>
      </c>
      <c r="B39" s="4" t="s">
        <v>93</v>
      </c>
      <c r="C39" s="9" t="s">
        <v>88</v>
      </c>
      <c r="D39" s="13">
        <v>1</v>
      </c>
      <c r="E39" s="4">
        <v>3</v>
      </c>
      <c r="F39" s="4">
        <v>6</v>
      </c>
      <c r="G39" s="4" t="s">
        <v>12</v>
      </c>
      <c r="H39" s="4" t="s">
        <v>14</v>
      </c>
      <c r="I39" s="4">
        <v>2021</v>
      </c>
      <c r="J39" s="4">
        <v>1</v>
      </c>
      <c r="K39" s="4">
        <v>1</v>
      </c>
    </row>
    <row r="40" spans="1:11">
      <c r="A40" s="4" t="s">
        <v>85</v>
      </c>
      <c r="B40" s="4" t="s">
        <v>94</v>
      </c>
      <c r="C40" s="9" t="s">
        <v>89</v>
      </c>
      <c r="D40" s="13">
        <v>1</v>
      </c>
      <c r="E40" s="4">
        <v>4</v>
      </c>
      <c r="F40" s="4">
        <v>6</v>
      </c>
      <c r="G40" s="4" t="s">
        <v>12</v>
      </c>
      <c r="H40" s="4" t="s">
        <v>14</v>
      </c>
      <c r="I40" s="4">
        <v>2021</v>
      </c>
      <c r="J40" s="4">
        <v>1</v>
      </c>
      <c r="K40" s="4">
        <v>1</v>
      </c>
    </row>
    <row r="41" spans="1:11">
      <c r="A41" s="4" t="s">
        <v>85</v>
      </c>
      <c r="B41" s="4" t="s">
        <v>95</v>
      </c>
      <c r="C41" s="9" t="s">
        <v>90</v>
      </c>
      <c r="D41" s="13">
        <v>0</v>
      </c>
      <c r="E41" s="4">
        <v>5</v>
      </c>
      <c r="F41" s="4">
        <v>6</v>
      </c>
      <c r="G41" s="4" t="s">
        <v>12</v>
      </c>
      <c r="H41" s="4" t="s">
        <v>14</v>
      </c>
      <c r="I41" s="4">
        <v>2021</v>
      </c>
      <c r="J41" s="4">
        <v>1</v>
      </c>
      <c r="K41" s="4">
        <v>1</v>
      </c>
    </row>
    <row r="42" spans="1:11">
      <c r="A42" s="4" t="s">
        <v>85</v>
      </c>
      <c r="B42" s="4" t="s">
        <v>96</v>
      </c>
      <c r="C42" s="9" t="s">
        <v>91</v>
      </c>
      <c r="D42" s="13">
        <v>1</v>
      </c>
      <c r="E42" s="4">
        <v>6</v>
      </c>
      <c r="F42" s="4">
        <v>6</v>
      </c>
      <c r="G42" s="4" t="s">
        <v>12</v>
      </c>
      <c r="H42" s="4" t="s">
        <v>14</v>
      </c>
      <c r="I42" s="4">
        <v>2021</v>
      </c>
      <c r="J42" s="4">
        <v>1</v>
      </c>
      <c r="K42" s="4">
        <v>1</v>
      </c>
    </row>
    <row r="43" spans="1:11">
      <c r="A43" s="4" t="s">
        <v>97</v>
      </c>
      <c r="B43" s="4" t="s">
        <v>98</v>
      </c>
      <c r="C43" s="9" t="s">
        <v>87</v>
      </c>
      <c r="D43" s="13">
        <v>1</v>
      </c>
      <c r="E43" s="4">
        <v>1</v>
      </c>
      <c r="F43" s="4">
        <v>7</v>
      </c>
      <c r="G43" s="4" t="s">
        <v>12</v>
      </c>
      <c r="H43" s="4" t="s">
        <v>14</v>
      </c>
      <c r="I43" s="4">
        <v>2022</v>
      </c>
      <c r="J43" s="4">
        <v>1</v>
      </c>
      <c r="K43" s="4">
        <v>1</v>
      </c>
    </row>
    <row r="44" spans="1:11">
      <c r="A44" s="4" t="s">
        <v>97</v>
      </c>
      <c r="B44" s="4" t="s">
        <v>104</v>
      </c>
      <c r="C44" s="9" t="s">
        <v>73</v>
      </c>
      <c r="D44" s="13">
        <v>1</v>
      </c>
      <c r="E44" s="4">
        <v>2</v>
      </c>
      <c r="F44" s="4">
        <v>7</v>
      </c>
      <c r="G44" s="4" t="s">
        <v>12</v>
      </c>
      <c r="H44" s="4" t="s">
        <v>14</v>
      </c>
      <c r="I44" s="4">
        <v>2022</v>
      </c>
      <c r="J44" s="4">
        <v>1</v>
      </c>
      <c r="K44" s="4">
        <v>1</v>
      </c>
    </row>
    <row r="45" spans="1:11">
      <c r="A45" s="4" t="s">
        <v>97</v>
      </c>
      <c r="B45" s="4" t="s">
        <v>105</v>
      </c>
      <c r="C45" s="9" t="s">
        <v>99</v>
      </c>
      <c r="D45" s="13">
        <v>1</v>
      </c>
      <c r="E45" s="4">
        <v>3</v>
      </c>
      <c r="F45" s="4">
        <v>7</v>
      </c>
      <c r="G45" s="4" t="s">
        <v>12</v>
      </c>
      <c r="H45" s="4" t="s">
        <v>14</v>
      </c>
      <c r="I45" s="4">
        <v>2022</v>
      </c>
      <c r="J45" s="4">
        <v>1</v>
      </c>
      <c r="K45" s="4">
        <v>1</v>
      </c>
    </row>
    <row r="46" spans="1:11">
      <c r="A46" s="4" t="s">
        <v>97</v>
      </c>
      <c r="B46" s="4" t="s">
        <v>106</v>
      </c>
      <c r="C46" s="9" t="s">
        <v>100</v>
      </c>
      <c r="D46" s="13">
        <v>1</v>
      </c>
      <c r="E46" s="4">
        <v>4</v>
      </c>
      <c r="F46" s="4">
        <v>7</v>
      </c>
      <c r="G46" s="4" t="s">
        <v>12</v>
      </c>
      <c r="H46" s="4" t="s">
        <v>14</v>
      </c>
      <c r="I46" s="4">
        <v>2022</v>
      </c>
      <c r="J46" s="4">
        <v>1</v>
      </c>
      <c r="K46" s="4">
        <v>1</v>
      </c>
    </row>
    <row r="47" spans="1:11">
      <c r="A47" s="4" t="s">
        <v>97</v>
      </c>
      <c r="B47" s="4" t="s">
        <v>107</v>
      </c>
      <c r="C47" s="9" t="s">
        <v>101</v>
      </c>
      <c r="D47" s="13">
        <v>1</v>
      </c>
      <c r="E47" s="4">
        <v>5</v>
      </c>
      <c r="F47" s="4">
        <v>7</v>
      </c>
      <c r="G47" s="4" t="s">
        <v>12</v>
      </c>
      <c r="H47" s="4" t="s">
        <v>14</v>
      </c>
      <c r="I47" s="4">
        <v>2022</v>
      </c>
      <c r="J47" s="4">
        <v>1</v>
      </c>
      <c r="K47" s="4">
        <v>1</v>
      </c>
    </row>
    <row r="48" spans="1:11">
      <c r="A48" s="4" t="s">
        <v>97</v>
      </c>
      <c r="B48" s="4" t="s">
        <v>108</v>
      </c>
      <c r="C48" s="9" t="s">
        <v>102</v>
      </c>
      <c r="D48" s="13">
        <v>0</v>
      </c>
      <c r="E48" s="4">
        <v>6</v>
      </c>
      <c r="F48" s="4">
        <v>7</v>
      </c>
      <c r="G48" s="4" t="s">
        <v>12</v>
      </c>
      <c r="H48" s="4" t="s">
        <v>14</v>
      </c>
      <c r="I48" s="4">
        <v>2022</v>
      </c>
      <c r="J48" s="4">
        <v>1</v>
      </c>
      <c r="K48" s="4">
        <v>1</v>
      </c>
    </row>
    <row r="49" spans="1:11">
      <c r="A49" s="4" t="s">
        <v>97</v>
      </c>
      <c r="B49" s="4" t="s">
        <v>109</v>
      </c>
      <c r="C49" s="9" t="s">
        <v>103</v>
      </c>
      <c r="D49" s="13">
        <v>1</v>
      </c>
      <c r="E49" s="4">
        <v>7</v>
      </c>
      <c r="F49" s="4">
        <v>7</v>
      </c>
      <c r="G49" s="4" t="s">
        <v>12</v>
      </c>
      <c r="H49" s="4" t="s">
        <v>14</v>
      </c>
      <c r="I49" s="4">
        <v>2022</v>
      </c>
      <c r="J49" s="4">
        <v>1</v>
      </c>
      <c r="K49" s="4">
        <v>1</v>
      </c>
    </row>
    <row r="50" spans="1:11">
      <c r="A50" s="4" t="s">
        <v>110</v>
      </c>
      <c r="B50" s="4" t="s">
        <v>111</v>
      </c>
      <c r="C50" s="9" t="s">
        <v>112</v>
      </c>
      <c r="D50" s="13">
        <v>1</v>
      </c>
      <c r="E50" s="4">
        <v>1</v>
      </c>
      <c r="F50" s="4">
        <v>8</v>
      </c>
      <c r="G50" s="4" t="s">
        <v>12</v>
      </c>
      <c r="H50" s="4" t="s">
        <v>14</v>
      </c>
      <c r="I50" s="4">
        <v>2023</v>
      </c>
      <c r="J50" s="4">
        <v>1</v>
      </c>
      <c r="K50" s="4">
        <v>1</v>
      </c>
    </row>
    <row r="51" spans="1:11">
      <c r="A51" s="4" t="s">
        <v>110</v>
      </c>
      <c r="B51" s="4" t="s">
        <v>120</v>
      </c>
      <c r="C51" s="9" t="s">
        <v>113</v>
      </c>
      <c r="D51" s="13">
        <v>1</v>
      </c>
      <c r="E51" s="4">
        <v>2</v>
      </c>
      <c r="F51" s="4">
        <v>8</v>
      </c>
      <c r="G51" s="4" t="s">
        <v>12</v>
      </c>
      <c r="H51" s="4" t="s">
        <v>14</v>
      </c>
      <c r="I51" s="4">
        <v>2023</v>
      </c>
      <c r="J51" s="4">
        <v>1</v>
      </c>
      <c r="K51" s="4">
        <v>1</v>
      </c>
    </row>
    <row r="52" spans="1:11">
      <c r="A52" s="4" t="s">
        <v>110</v>
      </c>
      <c r="B52" s="4" t="s">
        <v>121</v>
      </c>
      <c r="C52" s="9" t="s">
        <v>114</v>
      </c>
      <c r="D52" s="13">
        <v>1</v>
      </c>
      <c r="E52" s="4">
        <v>3</v>
      </c>
      <c r="F52" s="4">
        <v>8</v>
      </c>
      <c r="G52" s="4" t="s">
        <v>12</v>
      </c>
      <c r="H52" s="4" t="s">
        <v>14</v>
      </c>
      <c r="I52" s="4">
        <v>2023</v>
      </c>
      <c r="J52" s="4">
        <v>1</v>
      </c>
      <c r="K52" s="4">
        <v>1</v>
      </c>
    </row>
    <row r="53" spans="1:11">
      <c r="A53" s="4" t="s">
        <v>110</v>
      </c>
      <c r="B53" s="4" t="s">
        <v>122</v>
      </c>
      <c r="C53" s="9" t="s">
        <v>115</v>
      </c>
      <c r="D53" s="13">
        <v>1</v>
      </c>
      <c r="E53" s="4">
        <v>4</v>
      </c>
      <c r="F53" s="4">
        <v>8</v>
      </c>
      <c r="G53" s="4" t="s">
        <v>12</v>
      </c>
      <c r="H53" s="4" t="s">
        <v>14</v>
      </c>
      <c r="I53" s="4">
        <v>2023</v>
      </c>
      <c r="J53" s="4">
        <v>1</v>
      </c>
      <c r="K53" s="4">
        <v>1</v>
      </c>
    </row>
    <row r="54" spans="1:11">
      <c r="A54" s="4" t="s">
        <v>110</v>
      </c>
      <c r="B54" s="4" t="s">
        <v>123</v>
      </c>
      <c r="C54" s="9" t="s">
        <v>116</v>
      </c>
      <c r="D54" s="13">
        <v>1</v>
      </c>
      <c r="E54" s="4">
        <v>5</v>
      </c>
      <c r="F54" s="4">
        <v>8</v>
      </c>
      <c r="G54" s="4" t="s">
        <v>12</v>
      </c>
      <c r="H54" s="4" t="s">
        <v>14</v>
      </c>
      <c r="I54" s="4">
        <v>2023</v>
      </c>
      <c r="J54" s="4">
        <v>1</v>
      </c>
      <c r="K54" s="4">
        <v>1</v>
      </c>
    </row>
    <row r="55" spans="1:11">
      <c r="A55" s="4" t="s">
        <v>110</v>
      </c>
      <c r="B55" s="4" t="s">
        <v>124</v>
      </c>
      <c r="C55" s="9" t="s">
        <v>117</v>
      </c>
      <c r="D55" s="13">
        <v>1</v>
      </c>
      <c r="E55" s="4">
        <v>6</v>
      </c>
      <c r="F55" s="4">
        <v>8</v>
      </c>
      <c r="G55" s="4" t="s">
        <v>12</v>
      </c>
      <c r="H55" s="4" t="s">
        <v>14</v>
      </c>
      <c r="I55" s="4">
        <v>2023</v>
      </c>
      <c r="J55" s="4">
        <v>1</v>
      </c>
      <c r="K55" s="4">
        <v>1</v>
      </c>
    </row>
    <row r="56" spans="1:11">
      <c r="A56" s="4" t="s">
        <v>110</v>
      </c>
      <c r="B56" s="4" t="s">
        <v>125</v>
      </c>
      <c r="C56" s="9" t="s">
        <v>118</v>
      </c>
      <c r="D56" s="13">
        <v>0</v>
      </c>
      <c r="E56" s="4">
        <v>7</v>
      </c>
      <c r="F56" s="4">
        <v>8</v>
      </c>
      <c r="G56" s="4" t="s">
        <v>12</v>
      </c>
      <c r="H56" s="4" t="s">
        <v>14</v>
      </c>
      <c r="I56" s="4">
        <v>2023</v>
      </c>
      <c r="J56" s="4">
        <v>1</v>
      </c>
      <c r="K56" s="4">
        <v>1</v>
      </c>
    </row>
    <row r="57" spans="1:11">
      <c r="A57" s="4" t="s">
        <v>110</v>
      </c>
      <c r="B57" s="4" t="s">
        <v>126</v>
      </c>
      <c r="C57" s="9" t="s">
        <v>119</v>
      </c>
      <c r="D57" s="13">
        <v>1</v>
      </c>
      <c r="E57" s="4">
        <v>8</v>
      </c>
      <c r="F57" s="4">
        <v>8</v>
      </c>
      <c r="G57" s="4" t="s">
        <v>12</v>
      </c>
      <c r="H57" s="4" t="s">
        <v>14</v>
      </c>
      <c r="I57" s="4">
        <v>2023</v>
      </c>
      <c r="J57" s="4">
        <v>1</v>
      </c>
      <c r="K57" s="4">
        <v>1</v>
      </c>
    </row>
    <row r="58" spans="1:11">
      <c r="A58" s="4" t="s">
        <v>127</v>
      </c>
      <c r="B58" s="4" t="s">
        <v>128</v>
      </c>
      <c r="C58" s="9" t="s">
        <v>129</v>
      </c>
      <c r="D58" s="13">
        <v>1</v>
      </c>
      <c r="E58" s="4">
        <v>1</v>
      </c>
      <c r="F58" s="4">
        <v>8</v>
      </c>
      <c r="G58" s="4" t="s">
        <v>12</v>
      </c>
      <c r="H58" s="4" t="s">
        <v>14</v>
      </c>
      <c r="I58" s="4">
        <v>2024</v>
      </c>
      <c r="J58" s="4">
        <v>1</v>
      </c>
      <c r="K58" s="4">
        <v>1</v>
      </c>
    </row>
    <row r="59" spans="1:11">
      <c r="A59" s="4" t="s">
        <v>127</v>
      </c>
      <c r="B59" s="4" t="s">
        <v>136</v>
      </c>
      <c r="C59" s="9" t="s">
        <v>130</v>
      </c>
      <c r="D59" s="13">
        <v>1</v>
      </c>
      <c r="E59" s="4">
        <v>2</v>
      </c>
      <c r="F59" s="4">
        <v>8</v>
      </c>
      <c r="G59" s="4" t="s">
        <v>12</v>
      </c>
      <c r="H59" s="4" t="s">
        <v>14</v>
      </c>
      <c r="I59" s="4">
        <v>2024</v>
      </c>
      <c r="J59" s="4">
        <v>1</v>
      </c>
      <c r="K59" s="4">
        <v>1</v>
      </c>
    </row>
    <row r="60" spans="1:11">
      <c r="A60" s="4" t="s">
        <v>127</v>
      </c>
      <c r="B60" s="4" t="s">
        <v>137</v>
      </c>
      <c r="C60" s="9" t="s">
        <v>131</v>
      </c>
      <c r="D60" s="13">
        <v>1</v>
      </c>
      <c r="E60" s="4">
        <v>3</v>
      </c>
      <c r="F60" s="4">
        <v>8</v>
      </c>
      <c r="G60" s="4" t="s">
        <v>12</v>
      </c>
      <c r="H60" s="4" t="s">
        <v>14</v>
      </c>
      <c r="I60" s="4">
        <v>2024</v>
      </c>
      <c r="J60" s="4">
        <v>1</v>
      </c>
      <c r="K60" s="4">
        <v>1</v>
      </c>
    </row>
    <row r="61" spans="1:11">
      <c r="A61" s="4" t="s">
        <v>127</v>
      </c>
      <c r="B61" s="4" t="s">
        <v>138</v>
      </c>
      <c r="C61" s="9" t="s">
        <v>116</v>
      </c>
      <c r="D61" s="13">
        <v>1</v>
      </c>
      <c r="E61" s="4">
        <v>4</v>
      </c>
      <c r="F61" s="4">
        <v>8</v>
      </c>
      <c r="G61" s="4" t="s">
        <v>12</v>
      </c>
      <c r="H61" s="4" t="s">
        <v>14</v>
      </c>
      <c r="I61" s="4">
        <v>2024</v>
      </c>
      <c r="J61" s="4">
        <v>1</v>
      </c>
      <c r="K61" s="4">
        <v>1</v>
      </c>
    </row>
    <row r="62" spans="1:11">
      <c r="A62" s="4" t="s">
        <v>127</v>
      </c>
      <c r="B62" s="4" t="s">
        <v>139</v>
      </c>
      <c r="C62" s="9" t="s">
        <v>132</v>
      </c>
      <c r="D62" s="13">
        <v>1</v>
      </c>
      <c r="E62" s="4">
        <v>5</v>
      </c>
      <c r="F62" s="4">
        <v>8</v>
      </c>
      <c r="G62" s="4" t="s">
        <v>12</v>
      </c>
      <c r="H62" s="4" t="s">
        <v>14</v>
      </c>
      <c r="I62" s="4">
        <v>2024</v>
      </c>
      <c r="J62" s="4">
        <v>1</v>
      </c>
      <c r="K62" s="4">
        <v>1</v>
      </c>
    </row>
    <row r="63" spans="1:11">
      <c r="A63" s="4" t="s">
        <v>127</v>
      </c>
      <c r="B63" s="4" t="s">
        <v>140</v>
      </c>
      <c r="C63" s="9" t="s">
        <v>133</v>
      </c>
      <c r="D63" s="13">
        <v>1</v>
      </c>
      <c r="E63" s="4">
        <v>6</v>
      </c>
      <c r="F63" s="4">
        <v>8</v>
      </c>
      <c r="G63" s="4" t="s">
        <v>12</v>
      </c>
      <c r="H63" s="4" t="s">
        <v>14</v>
      </c>
      <c r="I63" s="4">
        <v>2024</v>
      </c>
      <c r="J63" s="4">
        <v>1</v>
      </c>
      <c r="K63" s="4">
        <v>1</v>
      </c>
    </row>
    <row r="64" spans="1:11">
      <c r="A64" s="4" t="s">
        <v>127</v>
      </c>
      <c r="B64" s="4" t="s">
        <v>141</v>
      </c>
      <c r="C64" s="9" t="s">
        <v>134</v>
      </c>
      <c r="D64" s="13">
        <v>1</v>
      </c>
      <c r="E64" s="4">
        <v>7</v>
      </c>
      <c r="F64" s="4">
        <v>8</v>
      </c>
      <c r="G64" s="4" t="s">
        <v>12</v>
      </c>
      <c r="H64" s="4" t="s">
        <v>14</v>
      </c>
      <c r="I64" s="4">
        <v>2024</v>
      </c>
      <c r="J64" s="4">
        <v>1</v>
      </c>
      <c r="K64" s="4">
        <v>1</v>
      </c>
    </row>
    <row r="65" spans="1:11">
      <c r="A65" s="4" t="s">
        <v>127</v>
      </c>
      <c r="B65" s="4" t="s">
        <v>142</v>
      </c>
      <c r="C65" s="9" t="s">
        <v>135</v>
      </c>
      <c r="D65" s="13">
        <v>1</v>
      </c>
      <c r="E65" s="4">
        <v>8</v>
      </c>
      <c r="F65" s="4">
        <v>8</v>
      </c>
      <c r="G65" s="4" t="s">
        <v>12</v>
      </c>
      <c r="H65" s="4" t="s">
        <v>14</v>
      </c>
      <c r="I65" s="4">
        <v>2024</v>
      </c>
      <c r="J65" s="4">
        <v>1</v>
      </c>
      <c r="K65" s="4">
        <v>1</v>
      </c>
    </row>
    <row r="66" spans="1:11">
      <c r="A66" s="4" t="s">
        <v>143</v>
      </c>
      <c r="B66" s="4" t="s">
        <v>144</v>
      </c>
      <c r="C66" s="9" t="s">
        <v>145</v>
      </c>
      <c r="D66" s="13">
        <v>1</v>
      </c>
      <c r="E66" s="4">
        <v>1</v>
      </c>
      <c r="F66" s="4">
        <v>8</v>
      </c>
      <c r="G66" s="4" t="s">
        <v>12</v>
      </c>
      <c r="H66" s="4" t="s">
        <v>14</v>
      </c>
      <c r="I66" s="4">
        <v>2025</v>
      </c>
      <c r="J66" s="4">
        <v>1</v>
      </c>
      <c r="K66" s="4">
        <v>1</v>
      </c>
    </row>
    <row r="67" spans="1:11">
      <c r="A67" s="4" t="s">
        <v>143</v>
      </c>
      <c r="B67" s="4" t="s">
        <v>153</v>
      </c>
      <c r="C67" s="9" t="s">
        <v>146</v>
      </c>
      <c r="D67" s="13">
        <v>1</v>
      </c>
      <c r="E67" s="4">
        <v>2</v>
      </c>
      <c r="F67" s="4">
        <v>8</v>
      </c>
      <c r="G67" s="4" t="s">
        <v>12</v>
      </c>
      <c r="H67" s="4" t="s">
        <v>14</v>
      </c>
      <c r="I67" s="4">
        <v>2025</v>
      </c>
      <c r="J67" s="4">
        <v>1</v>
      </c>
      <c r="K67" s="4">
        <v>1</v>
      </c>
    </row>
    <row r="68" spans="1:11">
      <c r="A68" s="4" t="s">
        <v>143</v>
      </c>
      <c r="B68" s="4" t="s">
        <v>154</v>
      </c>
      <c r="C68" s="9" t="s">
        <v>147</v>
      </c>
      <c r="D68" s="13">
        <v>1</v>
      </c>
      <c r="E68" s="4">
        <v>3</v>
      </c>
      <c r="F68" s="4">
        <v>8</v>
      </c>
      <c r="G68" s="4" t="s">
        <v>12</v>
      </c>
      <c r="H68" s="4" t="s">
        <v>14</v>
      </c>
      <c r="I68" s="4">
        <v>2025</v>
      </c>
      <c r="J68" s="4">
        <v>1</v>
      </c>
      <c r="K68" s="4">
        <v>1</v>
      </c>
    </row>
    <row r="69" spans="1:11">
      <c r="A69" s="4" t="s">
        <v>143</v>
      </c>
      <c r="B69" s="4" t="s">
        <v>155</v>
      </c>
      <c r="C69" s="9" t="s">
        <v>148</v>
      </c>
      <c r="D69" s="13">
        <v>1</v>
      </c>
      <c r="E69" s="4">
        <v>4</v>
      </c>
      <c r="F69" s="4">
        <v>8</v>
      </c>
      <c r="G69" s="4" t="s">
        <v>12</v>
      </c>
      <c r="H69" s="4" t="s">
        <v>14</v>
      </c>
      <c r="I69" s="4">
        <v>2025</v>
      </c>
      <c r="J69" s="4">
        <v>1</v>
      </c>
      <c r="K69" s="4">
        <v>1</v>
      </c>
    </row>
    <row r="70" spans="1:11">
      <c r="A70" s="4" t="s">
        <v>143</v>
      </c>
      <c r="B70" s="4" t="s">
        <v>156</v>
      </c>
      <c r="C70" s="9" t="s">
        <v>149</v>
      </c>
      <c r="D70" s="13">
        <v>0</v>
      </c>
      <c r="E70" s="4">
        <v>5</v>
      </c>
      <c r="F70" s="4">
        <v>8</v>
      </c>
      <c r="G70" s="4" t="s">
        <v>12</v>
      </c>
      <c r="H70" s="4" t="s">
        <v>14</v>
      </c>
      <c r="I70" s="4">
        <v>2025</v>
      </c>
      <c r="J70" s="4">
        <v>1</v>
      </c>
      <c r="K70" s="4">
        <v>1</v>
      </c>
    </row>
    <row r="71" spans="1:11">
      <c r="A71" s="4" t="s">
        <v>143</v>
      </c>
      <c r="B71" s="4" t="s">
        <v>157</v>
      </c>
      <c r="C71" s="9" t="s">
        <v>150</v>
      </c>
      <c r="D71" s="13">
        <v>1</v>
      </c>
      <c r="E71" s="4">
        <v>6</v>
      </c>
      <c r="F71" s="4">
        <v>8</v>
      </c>
      <c r="G71" s="4" t="s">
        <v>12</v>
      </c>
      <c r="H71" s="4" t="s">
        <v>14</v>
      </c>
      <c r="I71" s="4">
        <v>2025</v>
      </c>
      <c r="J71" s="4">
        <v>1</v>
      </c>
      <c r="K71" s="4">
        <v>1</v>
      </c>
    </row>
    <row r="72" spans="1:11">
      <c r="A72" s="4" t="s">
        <v>143</v>
      </c>
      <c r="B72" s="4" t="s">
        <v>158</v>
      </c>
      <c r="C72" s="9" t="s">
        <v>151</v>
      </c>
      <c r="D72" s="13">
        <v>1</v>
      </c>
      <c r="E72" s="4">
        <v>7</v>
      </c>
      <c r="F72" s="4">
        <v>8</v>
      </c>
      <c r="G72" s="4" t="s">
        <v>12</v>
      </c>
      <c r="H72" s="4" t="s">
        <v>14</v>
      </c>
      <c r="I72" s="4">
        <v>2025</v>
      </c>
      <c r="J72" s="4">
        <v>1</v>
      </c>
      <c r="K72" s="4">
        <v>1</v>
      </c>
    </row>
    <row r="73" spans="1:11">
      <c r="A73" s="4" t="s">
        <v>143</v>
      </c>
      <c r="B73" s="4" t="s">
        <v>159</v>
      </c>
      <c r="C73" s="9" t="s">
        <v>152</v>
      </c>
      <c r="D73" s="13">
        <v>1</v>
      </c>
      <c r="E73" s="4">
        <v>8</v>
      </c>
      <c r="F73" s="4">
        <v>8</v>
      </c>
      <c r="G73" s="4" t="s">
        <v>12</v>
      </c>
      <c r="H73" s="4" t="s">
        <v>14</v>
      </c>
      <c r="I73" s="4">
        <v>2025</v>
      </c>
      <c r="J73" s="4">
        <v>1</v>
      </c>
      <c r="K73" s="4">
        <v>1</v>
      </c>
    </row>
    <row r="74" spans="1:11">
      <c r="A74" s="4" t="s">
        <v>160</v>
      </c>
      <c r="B74" s="4" t="s">
        <v>161</v>
      </c>
      <c r="C74" s="9" t="s">
        <v>163</v>
      </c>
      <c r="D74" s="13">
        <v>1</v>
      </c>
      <c r="E74" s="4">
        <v>1</v>
      </c>
      <c r="F74" s="4">
        <v>21</v>
      </c>
      <c r="G74" s="4" t="s">
        <v>162</v>
      </c>
      <c r="H74" s="4" t="s">
        <v>14</v>
      </c>
      <c r="I74" s="4">
        <v>2017</v>
      </c>
      <c r="J74" s="4">
        <v>1</v>
      </c>
      <c r="K74" s="4">
        <v>0</v>
      </c>
    </row>
    <row r="75" spans="1:11">
      <c r="A75" s="4" t="s">
        <v>160</v>
      </c>
      <c r="B75" s="4" t="s">
        <v>184</v>
      </c>
      <c r="C75" s="9" t="s">
        <v>164</v>
      </c>
      <c r="D75" s="13">
        <v>1</v>
      </c>
      <c r="E75" s="4">
        <v>2</v>
      </c>
      <c r="F75" s="4">
        <v>21</v>
      </c>
      <c r="G75" s="4" t="s">
        <v>162</v>
      </c>
      <c r="H75" s="4" t="s">
        <v>14</v>
      </c>
      <c r="I75" s="4">
        <v>2017</v>
      </c>
      <c r="J75" s="4">
        <v>1</v>
      </c>
      <c r="K75" s="4">
        <v>0</v>
      </c>
    </row>
    <row r="76" spans="1:11">
      <c r="A76" s="4" t="s">
        <v>160</v>
      </c>
      <c r="B76" s="4" t="s">
        <v>185</v>
      </c>
      <c r="C76" s="9" t="s">
        <v>165</v>
      </c>
      <c r="D76" s="13">
        <v>0</v>
      </c>
      <c r="E76" s="4">
        <v>3</v>
      </c>
      <c r="F76" s="4">
        <v>21</v>
      </c>
      <c r="G76" s="4" t="s">
        <v>162</v>
      </c>
      <c r="H76" s="4" t="s">
        <v>14</v>
      </c>
      <c r="I76" s="4">
        <v>2017</v>
      </c>
      <c r="J76" s="4">
        <v>1</v>
      </c>
      <c r="K76" s="4">
        <v>0</v>
      </c>
    </row>
    <row r="77" spans="1:11">
      <c r="A77" s="4" t="s">
        <v>160</v>
      </c>
      <c r="B77" s="4" t="s">
        <v>186</v>
      </c>
      <c r="C77" s="9" t="s">
        <v>166</v>
      </c>
      <c r="D77" s="13">
        <v>1</v>
      </c>
      <c r="E77" s="4">
        <v>4</v>
      </c>
      <c r="F77" s="4">
        <v>21</v>
      </c>
      <c r="G77" s="4" t="s">
        <v>162</v>
      </c>
      <c r="H77" s="4" t="s">
        <v>14</v>
      </c>
      <c r="I77" s="4">
        <v>2017</v>
      </c>
      <c r="J77" s="4">
        <v>1</v>
      </c>
      <c r="K77" s="4">
        <v>0</v>
      </c>
    </row>
    <row r="78" spans="1:11">
      <c r="A78" s="4" t="s">
        <v>160</v>
      </c>
      <c r="B78" s="4" t="s">
        <v>187</v>
      </c>
      <c r="C78" s="9" t="s">
        <v>167</v>
      </c>
      <c r="D78" s="13">
        <v>1</v>
      </c>
      <c r="E78" s="4">
        <v>5</v>
      </c>
      <c r="F78" s="4">
        <v>21</v>
      </c>
      <c r="G78" s="4" t="s">
        <v>162</v>
      </c>
      <c r="H78" s="4" t="s">
        <v>14</v>
      </c>
      <c r="I78" s="4">
        <v>2017</v>
      </c>
      <c r="J78" s="4">
        <v>1</v>
      </c>
      <c r="K78" s="4">
        <v>0</v>
      </c>
    </row>
    <row r="79" spans="1:11">
      <c r="A79" s="4" t="s">
        <v>160</v>
      </c>
      <c r="B79" s="4" t="s">
        <v>188</v>
      </c>
      <c r="C79" s="9" t="s">
        <v>168</v>
      </c>
      <c r="D79" s="13">
        <v>1</v>
      </c>
      <c r="E79" s="4">
        <v>6</v>
      </c>
      <c r="F79" s="4">
        <v>21</v>
      </c>
      <c r="G79" s="4" t="s">
        <v>162</v>
      </c>
      <c r="H79" s="4" t="s">
        <v>14</v>
      </c>
      <c r="I79" s="4">
        <v>2017</v>
      </c>
      <c r="J79" s="4">
        <v>1</v>
      </c>
      <c r="K79" s="4">
        <v>0</v>
      </c>
    </row>
    <row r="80" spans="1:11">
      <c r="A80" s="4" t="s">
        <v>160</v>
      </c>
      <c r="B80" s="4" t="s">
        <v>189</v>
      </c>
      <c r="C80" s="9" t="s">
        <v>169</v>
      </c>
      <c r="D80" s="13">
        <v>1</v>
      </c>
      <c r="E80" s="4">
        <v>7</v>
      </c>
      <c r="F80" s="4">
        <v>21</v>
      </c>
      <c r="G80" s="4" t="s">
        <v>162</v>
      </c>
      <c r="H80" s="4" t="s">
        <v>14</v>
      </c>
      <c r="I80" s="4">
        <v>2017</v>
      </c>
      <c r="J80" s="4">
        <v>1</v>
      </c>
      <c r="K80" s="4">
        <v>0</v>
      </c>
    </row>
    <row r="81" spans="1:11">
      <c r="A81" s="4" t="s">
        <v>160</v>
      </c>
      <c r="B81" s="4" t="s">
        <v>190</v>
      </c>
      <c r="C81" s="9" t="s">
        <v>170</v>
      </c>
      <c r="D81" s="13">
        <v>0</v>
      </c>
      <c r="E81" s="4">
        <v>8</v>
      </c>
      <c r="F81" s="4">
        <v>21</v>
      </c>
      <c r="G81" s="4" t="s">
        <v>162</v>
      </c>
      <c r="H81" s="4" t="s">
        <v>14</v>
      </c>
      <c r="I81" s="4">
        <v>2017</v>
      </c>
      <c r="J81" s="4">
        <v>1</v>
      </c>
      <c r="K81" s="4">
        <v>0</v>
      </c>
    </row>
    <row r="82" spans="1:11">
      <c r="A82" s="4" t="s">
        <v>160</v>
      </c>
      <c r="B82" s="4" t="s">
        <v>191</v>
      </c>
      <c r="C82" s="9" t="s">
        <v>171</v>
      </c>
      <c r="D82" s="13">
        <v>0</v>
      </c>
      <c r="E82" s="4">
        <v>9</v>
      </c>
      <c r="F82" s="4">
        <v>21</v>
      </c>
      <c r="G82" s="4" t="s">
        <v>162</v>
      </c>
      <c r="H82" s="4" t="s">
        <v>14</v>
      </c>
      <c r="I82" s="4">
        <v>2017</v>
      </c>
      <c r="J82" s="4">
        <v>1</v>
      </c>
      <c r="K82" s="4">
        <v>0</v>
      </c>
    </row>
    <row r="83" spans="1:11">
      <c r="A83" s="4" t="s">
        <v>160</v>
      </c>
      <c r="B83" s="4" t="s">
        <v>192</v>
      </c>
      <c r="C83" s="9" t="s">
        <v>172</v>
      </c>
      <c r="D83" s="13">
        <v>0</v>
      </c>
      <c r="E83" s="4">
        <v>10</v>
      </c>
      <c r="F83" s="4">
        <v>21</v>
      </c>
      <c r="G83" s="4" t="s">
        <v>162</v>
      </c>
      <c r="H83" s="4" t="s">
        <v>14</v>
      </c>
      <c r="I83" s="4">
        <v>2017</v>
      </c>
      <c r="J83" s="4">
        <v>1</v>
      </c>
      <c r="K83" s="4">
        <v>0</v>
      </c>
    </row>
    <row r="84" spans="1:11">
      <c r="A84" s="4" t="s">
        <v>160</v>
      </c>
      <c r="B84" s="4" t="s">
        <v>193</v>
      </c>
      <c r="C84" s="9" t="s">
        <v>173</v>
      </c>
      <c r="D84" s="13">
        <v>0</v>
      </c>
      <c r="E84" s="4">
        <v>11</v>
      </c>
      <c r="F84" s="4">
        <v>21</v>
      </c>
      <c r="G84" s="4" t="s">
        <v>162</v>
      </c>
      <c r="H84" s="4" t="s">
        <v>14</v>
      </c>
      <c r="I84" s="4">
        <v>2017</v>
      </c>
      <c r="J84" s="4">
        <v>1</v>
      </c>
      <c r="K84" s="4">
        <v>0</v>
      </c>
    </row>
    <row r="85" spans="1:11">
      <c r="A85" s="4" t="s">
        <v>160</v>
      </c>
      <c r="B85" s="4" t="s">
        <v>194</v>
      </c>
      <c r="C85" s="9" t="s">
        <v>174</v>
      </c>
      <c r="D85" s="13">
        <v>0</v>
      </c>
      <c r="E85" s="4">
        <v>12</v>
      </c>
      <c r="F85" s="4">
        <v>21</v>
      </c>
      <c r="G85" s="4" t="s">
        <v>162</v>
      </c>
      <c r="H85" s="4" t="s">
        <v>14</v>
      </c>
      <c r="I85" s="4">
        <v>2017</v>
      </c>
      <c r="J85" s="4">
        <v>1</v>
      </c>
      <c r="K85" s="4">
        <v>0</v>
      </c>
    </row>
    <row r="86" spans="1:11">
      <c r="A86" s="4" t="s">
        <v>160</v>
      </c>
      <c r="B86" s="4" t="s">
        <v>195</v>
      </c>
      <c r="C86" s="9" t="s">
        <v>175</v>
      </c>
      <c r="D86" s="13">
        <v>1</v>
      </c>
      <c r="E86" s="4">
        <v>13</v>
      </c>
      <c r="F86" s="4">
        <v>21</v>
      </c>
      <c r="G86" s="4" t="s">
        <v>162</v>
      </c>
      <c r="H86" s="4" t="s">
        <v>14</v>
      </c>
      <c r="I86" s="4">
        <v>2017</v>
      </c>
      <c r="J86" s="4">
        <v>1</v>
      </c>
      <c r="K86" s="4">
        <v>0</v>
      </c>
    </row>
    <row r="87" spans="1:11">
      <c r="A87" s="4" t="s">
        <v>160</v>
      </c>
      <c r="B87" s="4" t="s">
        <v>196</v>
      </c>
      <c r="C87" s="9" t="s">
        <v>176</v>
      </c>
      <c r="D87" s="13">
        <v>0</v>
      </c>
      <c r="E87" s="4">
        <v>14</v>
      </c>
      <c r="F87" s="4">
        <v>21</v>
      </c>
      <c r="G87" s="4" t="s">
        <v>162</v>
      </c>
      <c r="H87" s="4" t="s">
        <v>14</v>
      </c>
      <c r="I87" s="4">
        <v>2017</v>
      </c>
      <c r="J87" s="4">
        <v>1</v>
      </c>
      <c r="K87" s="4">
        <v>0</v>
      </c>
    </row>
    <row r="88" spans="1:11">
      <c r="A88" s="4" t="s">
        <v>160</v>
      </c>
      <c r="B88" s="4" t="s">
        <v>197</v>
      </c>
      <c r="C88" s="9" t="s">
        <v>177</v>
      </c>
      <c r="D88" s="13">
        <v>0</v>
      </c>
      <c r="E88" s="4">
        <v>15</v>
      </c>
      <c r="F88" s="4">
        <v>21</v>
      </c>
      <c r="G88" s="4" t="s">
        <v>162</v>
      </c>
      <c r="H88" s="4" t="s">
        <v>14</v>
      </c>
      <c r="I88" s="4">
        <v>2017</v>
      </c>
      <c r="J88" s="4">
        <v>1</v>
      </c>
      <c r="K88" s="4">
        <v>0</v>
      </c>
    </row>
    <row r="89" spans="1:11">
      <c r="A89" s="4" t="s">
        <v>160</v>
      </c>
      <c r="B89" s="4" t="s">
        <v>198</v>
      </c>
      <c r="C89" s="9" t="s">
        <v>178</v>
      </c>
      <c r="D89" s="13">
        <v>1</v>
      </c>
      <c r="E89" s="4">
        <v>16</v>
      </c>
      <c r="F89" s="4">
        <v>21</v>
      </c>
      <c r="G89" s="4" t="s">
        <v>162</v>
      </c>
      <c r="H89" s="4" t="s">
        <v>14</v>
      </c>
      <c r="I89" s="4">
        <v>2017</v>
      </c>
      <c r="J89" s="4">
        <v>1</v>
      </c>
      <c r="K89" s="4">
        <v>0</v>
      </c>
    </row>
    <row r="90" spans="1:11">
      <c r="A90" s="4" t="s">
        <v>160</v>
      </c>
      <c r="B90" s="4" t="s">
        <v>199</v>
      </c>
      <c r="C90" s="9" t="s">
        <v>179</v>
      </c>
      <c r="D90" s="13">
        <v>0</v>
      </c>
      <c r="E90" s="4">
        <v>17</v>
      </c>
      <c r="F90" s="4">
        <v>21</v>
      </c>
      <c r="G90" s="4" t="s">
        <v>162</v>
      </c>
      <c r="H90" s="4" t="s">
        <v>14</v>
      </c>
      <c r="I90" s="4">
        <v>2017</v>
      </c>
      <c r="J90" s="4">
        <v>1</v>
      </c>
      <c r="K90" s="4">
        <v>0</v>
      </c>
    </row>
    <row r="91" spans="1:11">
      <c r="A91" s="4" t="s">
        <v>160</v>
      </c>
      <c r="B91" s="4" t="s">
        <v>200</v>
      </c>
      <c r="C91" s="9" t="s">
        <v>180</v>
      </c>
      <c r="D91" s="13">
        <v>0</v>
      </c>
      <c r="E91" s="4">
        <v>18</v>
      </c>
      <c r="F91" s="4">
        <v>21</v>
      </c>
      <c r="G91" s="4" t="s">
        <v>162</v>
      </c>
      <c r="H91" s="4" t="s">
        <v>14</v>
      </c>
      <c r="I91" s="4">
        <v>2017</v>
      </c>
      <c r="J91" s="4">
        <v>1</v>
      </c>
      <c r="K91" s="4">
        <v>0</v>
      </c>
    </row>
    <row r="92" spans="1:11">
      <c r="A92" s="4" t="s">
        <v>160</v>
      </c>
      <c r="B92" s="4" t="s">
        <v>201</v>
      </c>
      <c r="C92" s="9" t="s">
        <v>181</v>
      </c>
      <c r="D92" s="13">
        <v>0</v>
      </c>
      <c r="E92" s="4">
        <v>19</v>
      </c>
      <c r="F92" s="4">
        <v>21</v>
      </c>
      <c r="G92" s="4" t="s">
        <v>162</v>
      </c>
      <c r="H92" s="4" t="s">
        <v>14</v>
      </c>
      <c r="I92" s="4">
        <v>2017</v>
      </c>
      <c r="J92" s="4">
        <v>1</v>
      </c>
      <c r="K92" s="4">
        <v>0</v>
      </c>
    </row>
    <row r="93" spans="1:11">
      <c r="A93" s="4" t="s">
        <v>160</v>
      </c>
      <c r="B93" s="4" t="s">
        <v>202</v>
      </c>
      <c r="C93" s="9" t="s">
        <v>182</v>
      </c>
      <c r="D93" s="13">
        <v>1</v>
      </c>
      <c r="E93" s="4">
        <v>20</v>
      </c>
      <c r="F93" s="4">
        <v>21</v>
      </c>
      <c r="G93" s="4" t="s">
        <v>162</v>
      </c>
      <c r="H93" s="4" t="s">
        <v>14</v>
      </c>
      <c r="I93" s="4">
        <v>2017</v>
      </c>
      <c r="J93" s="4">
        <v>1</v>
      </c>
      <c r="K93" s="4">
        <v>0</v>
      </c>
    </row>
    <row r="94" spans="1:11">
      <c r="A94" s="4" t="s">
        <v>160</v>
      </c>
      <c r="B94" s="4" t="s">
        <v>203</v>
      </c>
      <c r="C94" s="6" t="s">
        <v>183</v>
      </c>
      <c r="D94" s="13">
        <v>1</v>
      </c>
      <c r="E94" s="4">
        <v>21</v>
      </c>
      <c r="F94" s="4">
        <v>21</v>
      </c>
      <c r="G94" s="4" t="s">
        <v>162</v>
      </c>
      <c r="H94" s="4" t="s">
        <v>14</v>
      </c>
      <c r="I94" s="4">
        <v>2017</v>
      </c>
      <c r="J94" s="4">
        <v>1</v>
      </c>
      <c r="K94" s="4">
        <v>0</v>
      </c>
    </row>
    <row r="95" spans="1:11">
      <c r="A95" s="4" t="s">
        <v>204</v>
      </c>
      <c r="B95" s="4" t="s">
        <v>205</v>
      </c>
      <c r="C95" s="9" t="s">
        <v>206</v>
      </c>
      <c r="D95" s="13">
        <v>1</v>
      </c>
      <c r="E95" s="4">
        <v>1</v>
      </c>
      <c r="F95" s="4">
        <v>25</v>
      </c>
      <c r="G95" s="4" t="s">
        <v>162</v>
      </c>
      <c r="H95" s="4" t="s">
        <v>14</v>
      </c>
      <c r="I95" s="4">
        <v>2018</v>
      </c>
      <c r="J95" s="4">
        <v>1</v>
      </c>
      <c r="K95" s="4">
        <v>0</v>
      </c>
    </row>
    <row r="96" spans="1:11">
      <c r="A96" s="4" t="s">
        <v>204</v>
      </c>
      <c r="B96" s="4" t="s">
        <v>230</v>
      </c>
      <c r="C96" s="10" t="s">
        <v>207</v>
      </c>
      <c r="D96" s="13">
        <v>0</v>
      </c>
      <c r="E96" s="4">
        <v>2</v>
      </c>
      <c r="F96" s="4">
        <v>25</v>
      </c>
      <c r="G96" s="4" t="s">
        <v>162</v>
      </c>
      <c r="H96" s="4" t="s">
        <v>14</v>
      </c>
      <c r="I96" s="4">
        <v>2018</v>
      </c>
      <c r="J96" s="4">
        <v>1</v>
      </c>
      <c r="K96" s="4">
        <v>0</v>
      </c>
    </row>
    <row r="97" spans="1:11">
      <c r="A97" s="4" t="s">
        <v>204</v>
      </c>
      <c r="B97" s="4" t="s">
        <v>231</v>
      </c>
      <c r="C97" s="9" t="s">
        <v>208</v>
      </c>
      <c r="D97" s="13">
        <v>1</v>
      </c>
      <c r="E97" s="4">
        <v>3</v>
      </c>
      <c r="F97" s="4">
        <v>25</v>
      </c>
      <c r="G97" s="4" t="s">
        <v>162</v>
      </c>
      <c r="H97" s="4" t="s">
        <v>14</v>
      </c>
      <c r="I97" s="4">
        <v>2018</v>
      </c>
      <c r="J97" s="4">
        <v>1</v>
      </c>
      <c r="K97" s="4">
        <v>0</v>
      </c>
    </row>
    <row r="98" spans="1:11">
      <c r="A98" s="4" t="s">
        <v>204</v>
      </c>
      <c r="B98" s="4" t="s">
        <v>232</v>
      </c>
      <c r="C98" s="9" t="s">
        <v>209</v>
      </c>
      <c r="D98" s="13">
        <v>1</v>
      </c>
      <c r="E98" s="4">
        <v>4</v>
      </c>
      <c r="F98" s="4">
        <v>25</v>
      </c>
      <c r="G98" s="4" t="s">
        <v>162</v>
      </c>
      <c r="H98" s="4" t="s">
        <v>14</v>
      </c>
      <c r="I98" s="4">
        <v>2018</v>
      </c>
      <c r="J98" s="4">
        <v>1</v>
      </c>
      <c r="K98" s="4">
        <v>0</v>
      </c>
    </row>
    <row r="99" spans="1:11">
      <c r="A99" s="4" t="s">
        <v>204</v>
      </c>
      <c r="B99" s="4" t="s">
        <v>233</v>
      </c>
      <c r="C99" s="9" t="s">
        <v>210</v>
      </c>
      <c r="D99" s="13">
        <v>0</v>
      </c>
      <c r="E99" s="4">
        <v>5</v>
      </c>
      <c r="F99" s="4">
        <v>25</v>
      </c>
      <c r="G99" s="4" t="s">
        <v>162</v>
      </c>
      <c r="H99" s="4" t="s">
        <v>14</v>
      </c>
      <c r="I99" s="4">
        <v>2018</v>
      </c>
      <c r="J99" s="4">
        <v>1</v>
      </c>
      <c r="K99" s="4">
        <v>0</v>
      </c>
    </row>
    <row r="100" spans="1:11">
      <c r="A100" s="4" t="s">
        <v>204</v>
      </c>
      <c r="B100" s="4" t="s">
        <v>234</v>
      </c>
      <c r="C100" s="9" t="s">
        <v>211</v>
      </c>
      <c r="D100" s="13">
        <v>0</v>
      </c>
      <c r="E100" s="4">
        <v>6</v>
      </c>
      <c r="F100" s="4">
        <v>25</v>
      </c>
      <c r="G100" s="4" t="s">
        <v>162</v>
      </c>
      <c r="H100" s="4" t="s">
        <v>14</v>
      </c>
      <c r="I100" s="4">
        <v>2018</v>
      </c>
      <c r="J100" s="4">
        <v>1</v>
      </c>
      <c r="K100" s="4">
        <v>0</v>
      </c>
    </row>
    <row r="101" spans="1:11">
      <c r="A101" s="4" t="s">
        <v>204</v>
      </c>
      <c r="B101" s="4" t="s">
        <v>235</v>
      </c>
      <c r="C101" s="9" t="s">
        <v>212</v>
      </c>
      <c r="D101" s="13">
        <v>0</v>
      </c>
      <c r="E101" s="4">
        <v>7</v>
      </c>
      <c r="F101" s="4">
        <v>25</v>
      </c>
      <c r="G101" s="4" t="s">
        <v>162</v>
      </c>
      <c r="H101" s="4" t="s">
        <v>14</v>
      </c>
      <c r="I101" s="4">
        <v>2018</v>
      </c>
      <c r="J101" s="4">
        <v>1</v>
      </c>
      <c r="K101" s="4">
        <v>0</v>
      </c>
    </row>
    <row r="102" spans="1:11">
      <c r="A102" s="4" t="s">
        <v>204</v>
      </c>
      <c r="B102" s="4" t="s">
        <v>236</v>
      </c>
      <c r="C102" s="9" t="s">
        <v>213</v>
      </c>
      <c r="D102" s="13">
        <v>0</v>
      </c>
      <c r="E102" s="4">
        <v>8</v>
      </c>
      <c r="F102" s="4">
        <v>25</v>
      </c>
      <c r="G102" s="4" t="s">
        <v>162</v>
      </c>
      <c r="H102" s="4" t="s">
        <v>14</v>
      </c>
      <c r="I102" s="4">
        <v>2018</v>
      </c>
      <c r="J102" s="4">
        <v>1</v>
      </c>
      <c r="K102" s="4">
        <v>0</v>
      </c>
    </row>
    <row r="103" spans="1:11">
      <c r="A103" s="4" t="s">
        <v>204</v>
      </c>
      <c r="B103" s="4" t="s">
        <v>237</v>
      </c>
      <c r="C103" s="9" t="s">
        <v>214</v>
      </c>
      <c r="D103" s="13">
        <v>0</v>
      </c>
      <c r="E103" s="4">
        <v>9</v>
      </c>
      <c r="F103" s="4">
        <v>25</v>
      </c>
      <c r="G103" s="4" t="s">
        <v>162</v>
      </c>
      <c r="H103" s="4" t="s">
        <v>14</v>
      </c>
      <c r="I103" s="4">
        <v>2018</v>
      </c>
      <c r="J103" s="4">
        <v>1</v>
      </c>
      <c r="K103" s="4">
        <v>0</v>
      </c>
    </row>
    <row r="104" spans="1:11">
      <c r="A104" s="4" t="s">
        <v>204</v>
      </c>
      <c r="B104" s="4" t="s">
        <v>238</v>
      </c>
      <c r="C104" s="9" t="s">
        <v>215</v>
      </c>
      <c r="D104" s="13">
        <v>0</v>
      </c>
      <c r="E104" s="4">
        <v>10</v>
      </c>
      <c r="F104" s="4">
        <v>25</v>
      </c>
      <c r="G104" s="4" t="s">
        <v>162</v>
      </c>
      <c r="H104" s="4" t="s">
        <v>14</v>
      </c>
      <c r="I104" s="4">
        <v>2018</v>
      </c>
      <c r="J104" s="4">
        <v>1</v>
      </c>
      <c r="K104" s="4">
        <v>0</v>
      </c>
    </row>
    <row r="105" spans="1:11">
      <c r="A105" s="4" t="s">
        <v>204</v>
      </c>
      <c r="B105" s="4" t="s">
        <v>239</v>
      </c>
      <c r="C105" s="9" t="s">
        <v>216</v>
      </c>
      <c r="D105" s="13">
        <v>0</v>
      </c>
      <c r="E105" s="4">
        <v>11</v>
      </c>
      <c r="F105" s="4">
        <v>25</v>
      </c>
      <c r="G105" s="4" t="s">
        <v>162</v>
      </c>
      <c r="H105" s="4" t="s">
        <v>14</v>
      </c>
      <c r="I105" s="4">
        <v>2018</v>
      </c>
      <c r="J105" s="4">
        <v>1</v>
      </c>
      <c r="K105" s="4">
        <v>0</v>
      </c>
    </row>
    <row r="106" spans="1:11">
      <c r="A106" s="4" t="s">
        <v>204</v>
      </c>
      <c r="B106" s="4" t="s">
        <v>240</v>
      </c>
      <c r="C106" s="9" t="s">
        <v>217</v>
      </c>
      <c r="D106" s="13">
        <v>1</v>
      </c>
      <c r="E106" s="4">
        <v>12</v>
      </c>
      <c r="F106" s="4">
        <v>25</v>
      </c>
      <c r="G106" s="4" t="s">
        <v>162</v>
      </c>
      <c r="H106" s="4" t="s">
        <v>14</v>
      </c>
      <c r="I106" s="4">
        <v>2018</v>
      </c>
      <c r="J106" s="4">
        <v>1</v>
      </c>
      <c r="K106" s="4">
        <v>0</v>
      </c>
    </row>
    <row r="107" spans="1:11">
      <c r="A107" s="4" t="s">
        <v>204</v>
      </c>
      <c r="B107" s="4" t="s">
        <v>241</v>
      </c>
      <c r="C107" s="9" t="s">
        <v>218</v>
      </c>
      <c r="D107" s="13">
        <v>0</v>
      </c>
      <c r="E107" s="4">
        <v>13</v>
      </c>
      <c r="F107" s="4">
        <v>25</v>
      </c>
      <c r="G107" s="4" t="s">
        <v>162</v>
      </c>
      <c r="H107" s="4" t="s">
        <v>14</v>
      </c>
      <c r="I107" s="4">
        <v>2018</v>
      </c>
      <c r="J107" s="4">
        <v>1</v>
      </c>
      <c r="K107" s="4">
        <v>0</v>
      </c>
    </row>
    <row r="108" spans="1:11">
      <c r="A108" s="4" t="s">
        <v>204</v>
      </c>
      <c r="B108" s="4" t="s">
        <v>242</v>
      </c>
      <c r="C108" s="9" t="s">
        <v>219</v>
      </c>
      <c r="D108" s="13">
        <v>0</v>
      </c>
      <c r="E108" s="4">
        <v>14</v>
      </c>
      <c r="F108" s="4">
        <v>25</v>
      </c>
      <c r="G108" s="4" t="s">
        <v>162</v>
      </c>
      <c r="H108" s="4" t="s">
        <v>14</v>
      </c>
      <c r="I108" s="4">
        <v>2018</v>
      </c>
      <c r="J108" s="4">
        <v>1</v>
      </c>
      <c r="K108" s="4">
        <v>0</v>
      </c>
    </row>
    <row r="109" spans="1:11">
      <c r="A109" s="4" t="s">
        <v>204</v>
      </c>
      <c r="B109" s="4" t="s">
        <v>243</v>
      </c>
      <c r="C109" s="10" t="s">
        <v>220</v>
      </c>
      <c r="D109" s="13">
        <v>0</v>
      </c>
      <c r="E109" s="4">
        <v>15</v>
      </c>
      <c r="F109" s="4">
        <v>25</v>
      </c>
      <c r="G109" s="4" t="s">
        <v>162</v>
      </c>
      <c r="H109" s="4" t="s">
        <v>14</v>
      </c>
      <c r="I109" s="4">
        <v>2018</v>
      </c>
      <c r="J109" s="4">
        <v>1</v>
      </c>
      <c r="K109" s="4">
        <v>0</v>
      </c>
    </row>
    <row r="110" spans="1:11">
      <c r="A110" s="4" t="s">
        <v>204</v>
      </c>
      <c r="B110" s="4" t="s">
        <v>244</v>
      </c>
      <c r="C110" s="9" t="s">
        <v>221</v>
      </c>
      <c r="D110" s="13">
        <v>1</v>
      </c>
      <c r="E110" s="4">
        <v>16</v>
      </c>
      <c r="F110" s="4">
        <v>25</v>
      </c>
      <c r="G110" s="4" t="s">
        <v>162</v>
      </c>
      <c r="H110" s="4" t="s">
        <v>14</v>
      </c>
      <c r="I110" s="4">
        <v>2018</v>
      </c>
      <c r="J110" s="4">
        <v>1</v>
      </c>
      <c r="K110" s="4">
        <v>0</v>
      </c>
    </row>
    <row r="111" spans="1:11">
      <c r="A111" s="4" t="s">
        <v>204</v>
      </c>
      <c r="B111" s="4" t="s">
        <v>245</v>
      </c>
      <c r="C111" s="9" t="s">
        <v>222</v>
      </c>
      <c r="D111" s="13">
        <v>0</v>
      </c>
      <c r="E111" s="4">
        <v>17</v>
      </c>
      <c r="F111" s="4">
        <v>25</v>
      </c>
      <c r="G111" s="4" t="s">
        <v>162</v>
      </c>
      <c r="H111" s="4" t="s">
        <v>14</v>
      </c>
      <c r="I111" s="4">
        <v>2018</v>
      </c>
      <c r="J111" s="4">
        <v>1</v>
      </c>
      <c r="K111" s="4">
        <v>0</v>
      </c>
    </row>
    <row r="112" spans="1:11">
      <c r="A112" s="4" t="s">
        <v>204</v>
      </c>
      <c r="B112" s="4" t="s">
        <v>246</v>
      </c>
      <c r="C112" s="9" t="s">
        <v>223</v>
      </c>
      <c r="D112" s="13">
        <v>0</v>
      </c>
      <c r="E112" s="4">
        <v>18</v>
      </c>
      <c r="F112" s="4">
        <v>25</v>
      </c>
      <c r="G112" s="4" t="s">
        <v>162</v>
      </c>
      <c r="H112" s="4" t="s">
        <v>14</v>
      </c>
      <c r="I112" s="4">
        <v>2018</v>
      </c>
      <c r="J112" s="4">
        <v>1</v>
      </c>
      <c r="K112" s="4">
        <v>0</v>
      </c>
    </row>
    <row r="113" spans="1:11">
      <c r="A113" s="4" t="s">
        <v>204</v>
      </c>
      <c r="B113" s="4" t="s">
        <v>247</v>
      </c>
      <c r="C113" s="9" t="s">
        <v>224</v>
      </c>
      <c r="D113" s="13">
        <v>0</v>
      </c>
      <c r="E113" s="4">
        <v>19</v>
      </c>
      <c r="F113" s="4">
        <v>25</v>
      </c>
      <c r="G113" s="4" t="s">
        <v>162</v>
      </c>
      <c r="H113" s="4" t="s">
        <v>14</v>
      </c>
      <c r="I113" s="4">
        <v>2018</v>
      </c>
      <c r="J113" s="4">
        <v>1</v>
      </c>
      <c r="K113" s="4">
        <v>0</v>
      </c>
    </row>
    <row r="114" spans="1:11">
      <c r="A114" s="4" t="s">
        <v>204</v>
      </c>
      <c r="B114" s="4" t="s">
        <v>248</v>
      </c>
      <c r="C114" s="10" t="s">
        <v>225</v>
      </c>
      <c r="D114" s="13">
        <v>1</v>
      </c>
      <c r="E114" s="4">
        <v>20</v>
      </c>
      <c r="F114" s="4">
        <v>25</v>
      </c>
      <c r="G114" s="4" t="s">
        <v>162</v>
      </c>
      <c r="H114" s="4" t="s">
        <v>14</v>
      </c>
      <c r="I114" s="4">
        <v>2018</v>
      </c>
      <c r="J114" s="4">
        <v>1</v>
      </c>
      <c r="K114" s="4">
        <v>0</v>
      </c>
    </row>
    <row r="115" spans="1:11">
      <c r="A115" s="4" t="s">
        <v>204</v>
      </c>
      <c r="B115" s="4" t="s">
        <v>249</v>
      </c>
      <c r="C115" s="9" t="s">
        <v>226</v>
      </c>
      <c r="D115" s="13">
        <v>0</v>
      </c>
      <c r="E115" s="4">
        <v>21</v>
      </c>
      <c r="F115" s="4">
        <v>25</v>
      </c>
      <c r="G115" s="4" t="s">
        <v>162</v>
      </c>
      <c r="H115" s="4" t="s">
        <v>14</v>
      </c>
      <c r="I115" s="4">
        <v>2018</v>
      </c>
      <c r="J115" s="4">
        <v>1</v>
      </c>
      <c r="K115" s="4">
        <v>0</v>
      </c>
    </row>
    <row r="116" spans="1:11">
      <c r="A116" s="4" t="s">
        <v>204</v>
      </c>
      <c r="B116" s="4" t="s">
        <v>250</v>
      </c>
      <c r="C116" s="10" t="s">
        <v>225</v>
      </c>
      <c r="D116" s="13">
        <v>1</v>
      </c>
      <c r="E116" s="4">
        <v>22</v>
      </c>
      <c r="F116" s="4">
        <v>25</v>
      </c>
      <c r="G116" s="4" t="s">
        <v>162</v>
      </c>
      <c r="H116" s="4" t="s">
        <v>14</v>
      </c>
      <c r="I116" s="4">
        <v>2018</v>
      </c>
      <c r="J116" s="4">
        <v>1</v>
      </c>
      <c r="K116" s="4">
        <v>0</v>
      </c>
    </row>
    <row r="117" spans="1:11">
      <c r="A117" s="4" t="s">
        <v>204</v>
      </c>
      <c r="B117" s="4" t="s">
        <v>251</v>
      </c>
      <c r="C117" s="9" t="s">
        <v>227</v>
      </c>
      <c r="D117" s="13">
        <v>1</v>
      </c>
      <c r="E117" s="4">
        <v>23</v>
      </c>
      <c r="F117" s="4">
        <v>25</v>
      </c>
      <c r="G117" s="4" t="s">
        <v>162</v>
      </c>
      <c r="H117" s="4" t="s">
        <v>14</v>
      </c>
      <c r="I117" s="4">
        <v>2018</v>
      </c>
      <c r="J117" s="4">
        <v>1</v>
      </c>
      <c r="K117" s="4">
        <v>0</v>
      </c>
    </row>
    <row r="118" spans="1:11">
      <c r="A118" s="4" t="s">
        <v>204</v>
      </c>
      <c r="B118" s="4" t="s">
        <v>252</v>
      </c>
      <c r="C118" s="10" t="s">
        <v>228</v>
      </c>
      <c r="D118" s="13">
        <v>1</v>
      </c>
      <c r="E118" s="4">
        <v>24</v>
      </c>
      <c r="F118" s="4">
        <v>25</v>
      </c>
      <c r="G118" s="4" t="s">
        <v>162</v>
      </c>
      <c r="H118" s="4" t="s">
        <v>14</v>
      </c>
      <c r="I118" s="4">
        <v>2018</v>
      </c>
      <c r="J118" s="4">
        <v>1</v>
      </c>
      <c r="K118" s="4">
        <v>0</v>
      </c>
    </row>
    <row r="119" spans="1:11">
      <c r="A119" s="4" t="s">
        <v>204</v>
      </c>
      <c r="B119" s="4" t="s">
        <v>253</v>
      </c>
      <c r="C119" s="9" t="s">
        <v>229</v>
      </c>
      <c r="D119" s="13">
        <v>0</v>
      </c>
      <c r="E119" s="4">
        <v>25</v>
      </c>
      <c r="F119" s="4">
        <v>25</v>
      </c>
      <c r="G119" s="4" t="s">
        <v>162</v>
      </c>
      <c r="H119" s="4" t="s">
        <v>14</v>
      </c>
      <c r="I119" s="4">
        <v>2018</v>
      </c>
      <c r="J119" s="4">
        <v>1</v>
      </c>
      <c r="K119" s="4">
        <v>0</v>
      </c>
    </row>
    <row r="120" spans="1:11">
      <c r="A120" s="4" t="s">
        <v>254</v>
      </c>
      <c r="B120" s="4" t="s">
        <v>255</v>
      </c>
      <c r="C120" s="9" t="s">
        <v>256</v>
      </c>
      <c r="D120" s="13">
        <v>1</v>
      </c>
      <c r="E120" s="4">
        <v>1</v>
      </c>
      <c r="F120" s="4">
        <v>16</v>
      </c>
      <c r="G120" s="4" t="s">
        <v>162</v>
      </c>
      <c r="H120" s="4" t="s">
        <v>14</v>
      </c>
      <c r="I120" s="4">
        <v>2019</v>
      </c>
      <c r="J120" s="4">
        <v>1</v>
      </c>
      <c r="K120" s="4">
        <v>1</v>
      </c>
    </row>
    <row r="121" spans="1:11">
      <c r="A121" s="4" t="s">
        <v>254</v>
      </c>
      <c r="B121" s="4" t="s">
        <v>272</v>
      </c>
      <c r="C121" s="9" t="s">
        <v>257</v>
      </c>
      <c r="D121" s="13">
        <v>1</v>
      </c>
      <c r="E121" s="4">
        <v>2</v>
      </c>
      <c r="F121" s="4">
        <v>16</v>
      </c>
      <c r="G121" s="4" t="s">
        <v>162</v>
      </c>
      <c r="H121" s="4" t="s">
        <v>14</v>
      </c>
      <c r="I121" s="4">
        <v>2019</v>
      </c>
      <c r="J121" s="4">
        <v>1</v>
      </c>
      <c r="K121" s="4">
        <v>1</v>
      </c>
    </row>
    <row r="122" spans="1:11">
      <c r="A122" s="4" t="s">
        <v>254</v>
      </c>
      <c r="B122" s="4" t="s">
        <v>273</v>
      </c>
      <c r="C122" s="9" t="s">
        <v>258</v>
      </c>
      <c r="D122" s="13">
        <v>1</v>
      </c>
      <c r="E122" s="4">
        <v>3</v>
      </c>
      <c r="F122" s="4">
        <v>16</v>
      </c>
      <c r="G122" s="4" t="s">
        <v>162</v>
      </c>
      <c r="H122" s="4" t="s">
        <v>14</v>
      </c>
      <c r="I122" s="4">
        <v>2019</v>
      </c>
      <c r="J122" s="4">
        <v>1</v>
      </c>
      <c r="K122" s="4">
        <v>1</v>
      </c>
    </row>
    <row r="123" spans="1:11">
      <c r="A123" s="4" t="s">
        <v>254</v>
      </c>
      <c r="B123" s="4" t="s">
        <v>274</v>
      </c>
      <c r="C123" s="9" t="s">
        <v>259</v>
      </c>
      <c r="D123" s="13">
        <v>1</v>
      </c>
      <c r="E123" s="4">
        <v>4</v>
      </c>
      <c r="F123" s="4">
        <v>16</v>
      </c>
      <c r="G123" s="4" t="s">
        <v>162</v>
      </c>
      <c r="H123" s="4" t="s">
        <v>14</v>
      </c>
      <c r="I123" s="4">
        <v>2019</v>
      </c>
      <c r="J123" s="4">
        <v>1</v>
      </c>
      <c r="K123" s="4">
        <v>1</v>
      </c>
    </row>
    <row r="124" spans="1:11">
      <c r="A124" s="4" t="s">
        <v>254</v>
      </c>
      <c r="B124" s="4" t="s">
        <v>275</v>
      </c>
      <c r="C124" s="9" t="s">
        <v>260</v>
      </c>
      <c r="D124" s="13">
        <v>1</v>
      </c>
      <c r="E124" s="4">
        <v>5</v>
      </c>
      <c r="F124" s="4">
        <v>16</v>
      </c>
      <c r="G124" s="4" t="s">
        <v>162</v>
      </c>
      <c r="H124" s="4" t="s">
        <v>14</v>
      </c>
      <c r="I124" s="4">
        <v>2019</v>
      </c>
      <c r="J124" s="4">
        <v>1</v>
      </c>
      <c r="K124" s="4">
        <v>1</v>
      </c>
    </row>
    <row r="125" spans="1:11">
      <c r="A125" s="4" t="s">
        <v>254</v>
      </c>
      <c r="B125" s="4" t="s">
        <v>276</v>
      </c>
      <c r="C125" s="9" t="s">
        <v>261</v>
      </c>
      <c r="D125" s="13">
        <v>1</v>
      </c>
      <c r="E125" s="4">
        <v>6</v>
      </c>
      <c r="F125" s="4">
        <v>16</v>
      </c>
      <c r="G125" s="4" t="s">
        <v>162</v>
      </c>
      <c r="H125" s="4" t="s">
        <v>14</v>
      </c>
      <c r="I125" s="4">
        <v>2019</v>
      </c>
      <c r="J125" s="4">
        <v>1</v>
      </c>
      <c r="K125" s="4">
        <v>1</v>
      </c>
    </row>
    <row r="126" spans="1:11">
      <c r="A126" s="4" t="s">
        <v>254</v>
      </c>
      <c r="B126" s="4" t="s">
        <v>277</v>
      </c>
      <c r="C126" s="9" t="s">
        <v>262</v>
      </c>
      <c r="D126" s="13">
        <v>1</v>
      </c>
      <c r="E126" s="4">
        <v>7</v>
      </c>
      <c r="F126" s="4">
        <v>16</v>
      </c>
      <c r="G126" s="4" t="s">
        <v>162</v>
      </c>
      <c r="H126" s="4" t="s">
        <v>14</v>
      </c>
      <c r="I126" s="4">
        <v>2019</v>
      </c>
      <c r="J126" s="4">
        <v>1</v>
      </c>
      <c r="K126" s="4">
        <v>1</v>
      </c>
    </row>
    <row r="127" spans="1:11">
      <c r="A127" s="4" t="s">
        <v>254</v>
      </c>
      <c r="B127" s="4" t="s">
        <v>278</v>
      </c>
      <c r="C127" s="9" t="s">
        <v>263</v>
      </c>
      <c r="D127" s="13">
        <v>0</v>
      </c>
      <c r="E127" s="4">
        <v>8</v>
      </c>
      <c r="F127" s="4">
        <v>16</v>
      </c>
      <c r="G127" s="4" t="s">
        <v>162</v>
      </c>
      <c r="H127" s="4" t="s">
        <v>14</v>
      </c>
      <c r="I127" s="4">
        <v>2019</v>
      </c>
      <c r="J127" s="4">
        <v>1</v>
      </c>
      <c r="K127" s="4">
        <v>1</v>
      </c>
    </row>
    <row r="128" spans="1:11">
      <c r="A128" s="4" t="s">
        <v>254</v>
      </c>
      <c r="B128" s="4" t="s">
        <v>279</v>
      </c>
      <c r="C128" s="9" t="s">
        <v>264</v>
      </c>
      <c r="D128" s="13">
        <v>0</v>
      </c>
      <c r="E128" s="4">
        <v>9</v>
      </c>
      <c r="F128" s="4">
        <v>16</v>
      </c>
      <c r="G128" s="4" t="s">
        <v>162</v>
      </c>
      <c r="H128" s="4" t="s">
        <v>14</v>
      </c>
      <c r="I128" s="4">
        <v>2019</v>
      </c>
      <c r="J128" s="4">
        <v>1</v>
      </c>
      <c r="K128" s="4">
        <v>1</v>
      </c>
    </row>
    <row r="129" spans="1:11">
      <c r="A129" s="4" t="s">
        <v>254</v>
      </c>
      <c r="B129" s="4" t="s">
        <v>280</v>
      </c>
      <c r="C129" s="9" t="s">
        <v>265</v>
      </c>
      <c r="D129" s="13">
        <v>0</v>
      </c>
      <c r="E129" s="4">
        <v>10</v>
      </c>
      <c r="F129" s="4">
        <v>16</v>
      </c>
      <c r="G129" s="4" t="s">
        <v>162</v>
      </c>
      <c r="H129" s="4" t="s">
        <v>14</v>
      </c>
      <c r="I129" s="4">
        <v>2019</v>
      </c>
      <c r="J129" s="4">
        <v>1</v>
      </c>
      <c r="K129" s="4">
        <v>1</v>
      </c>
    </row>
    <row r="130" spans="1:11">
      <c r="A130" s="4" t="s">
        <v>254</v>
      </c>
      <c r="B130" s="4" t="s">
        <v>281</v>
      </c>
      <c r="C130" s="9" t="s">
        <v>266</v>
      </c>
      <c r="D130" s="13">
        <v>1</v>
      </c>
      <c r="E130" s="4">
        <v>11</v>
      </c>
      <c r="F130" s="4">
        <v>16</v>
      </c>
      <c r="G130" s="4" t="s">
        <v>162</v>
      </c>
      <c r="H130" s="4" t="s">
        <v>14</v>
      </c>
      <c r="I130" s="4">
        <v>2019</v>
      </c>
      <c r="J130" s="4">
        <v>1</v>
      </c>
      <c r="K130" s="4">
        <v>1</v>
      </c>
    </row>
    <row r="131" spans="1:11">
      <c r="A131" s="4" t="s">
        <v>254</v>
      </c>
      <c r="B131" s="4" t="s">
        <v>282</v>
      </c>
      <c r="C131" s="9" t="s">
        <v>267</v>
      </c>
      <c r="D131" s="13">
        <v>0</v>
      </c>
      <c r="E131" s="4">
        <v>12</v>
      </c>
      <c r="F131" s="4">
        <v>16</v>
      </c>
      <c r="G131" s="4" t="s">
        <v>162</v>
      </c>
      <c r="H131" s="4" t="s">
        <v>14</v>
      </c>
      <c r="I131" s="4">
        <v>2019</v>
      </c>
      <c r="J131" s="4">
        <v>1</v>
      </c>
      <c r="K131" s="4">
        <v>1</v>
      </c>
    </row>
    <row r="132" spans="1:11">
      <c r="A132" s="4" t="s">
        <v>254</v>
      </c>
      <c r="B132" s="4" t="s">
        <v>283</v>
      </c>
      <c r="C132" s="9" t="s">
        <v>268</v>
      </c>
      <c r="D132" s="13">
        <v>0</v>
      </c>
      <c r="E132" s="4">
        <v>13</v>
      </c>
      <c r="F132" s="4">
        <v>16</v>
      </c>
      <c r="G132" s="4" t="s">
        <v>162</v>
      </c>
      <c r="H132" s="4" t="s">
        <v>14</v>
      </c>
      <c r="I132" s="4">
        <v>2019</v>
      </c>
      <c r="J132" s="4">
        <v>1</v>
      </c>
      <c r="K132" s="4">
        <v>1</v>
      </c>
    </row>
    <row r="133" spans="1:11">
      <c r="A133" s="4" t="s">
        <v>254</v>
      </c>
      <c r="B133" s="4" t="s">
        <v>284</v>
      </c>
      <c r="C133" s="9" t="s">
        <v>269</v>
      </c>
      <c r="D133" s="13">
        <v>0</v>
      </c>
      <c r="E133" s="4">
        <v>14</v>
      </c>
      <c r="F133" s="4">
        <v>16</v>
      </c>
      <c r="G133" s="4" t="s">
        <v>162</v>
      </c>
      <c r="H133" s="4" t="s">
        <v>14</v>
      </c>
      <c r="I133" s="4">
        <v>2019</v>
      </c>
      <c r="J133" s="4">
        <v>1</v>
      </c>
      <c r="K133" s="4">
        <v>1</v>
      </c>
    </row>
    <row r="134" spans="1:11">
      <c r="A134" s="4" t="s">
        <v>254</v>
      </c>
      <c r="B134" s="4" t="s">
        <v>285</v>
      </c>
      <c r="C134" s="9" t="s">
        <v>270</v>
      </c>
      <c r="D134" s="13">
        <v>0</v>
      </c>
      <c r="E134" s="4">
        <v>15</v>
      </c>
      <c r="F134" s="4">
        <v>16</v>
      </c>
      <c r="G134" s="4" t="s">
        <v>162</v>
      </c>
      <c r="H134" s="4" t="s">
        <v>14</v>
      </c>
      <c r="I134" s="4">
        <v>2019</v>
      </c>
      <c r="J134" s="4">
        <v>1</v>
      </c>
      <c r="K134" s="4">
        <v>1</v>
      </c>
    </row>
    <row r="135" spans="1:11">
      <c r="A135" s="4" t="s">
        <v>254</v>
      </c>
      <c r="B135" s="4" t="s">
        <v>286</v>
      </c>
      <c r="C135" s="9" t="s">
        <v>271</v>
      </c>
      <c r="D135" s="13">
        <v>0</v>
      </c>
      <c r="E135" s="4">
        <v>16</v>
      </c>
      <c r="F135" s="4">
        <v>16</v>
      </c>
      <c r="G135" s="4" t="s">
        <v>162</v>
      </c>
      <c r="H135" s="4" t="s">
        <v>14</v>
      </c>
      <c r="I135" s="4">
        <v>2019</v>
      </c>
      <c r="J135" s="4">
        <v>1</v>
      </c>
      <c r="K135" s="4">
        <v>1</v>
      </c>
    </row>
    <row r="136" spans="1:11">
      <c r="A136" s="4" t="s">
        <v>287</v>
      </c>
      <c r="B136" s="4" t="s">
        <v>288</v>
      </c>
      <c r="C136" s="9" t="s">
        <v>293</v>
      </c>
      <c r="D136" s="13">
        <v>1</v>
      </c>
      <c r="E136" s="4">
        <v>1</v>
      </c>
      <c r="F136" s="4">
        <v>17</v>
      </c>
      <c r="G136" s="4" t="s">
        <v>162</v>
      </c>
      <c r="H136" s="4" t="s">
        <v>14</v>
      </c>
      <c r="I136" s="4">
        <v>2020</v>
      </c>
      <c r="J136" s="4">
        <v>1</v>
      </c>
      <c r="K136" s="4">
        <v>1</v>
      </c>
    </row>
    <row r="137" spans="1:11">
      <c r="A137" s="4" t="s">
        <v>287</v>
      </c>
      <c r="B137" s="4" t="s">
        <v>308</v>
      </c>
      <c r="C137" s="11" t="s">
        <v>294</v>
      </c>
      <c r="D137" s="13">
        <v>1</v>
      </c>
      <c r="E137" s="4">
        <v>2</v>
      </c>
      <c r="F137" s="4">
        <v>17</v>
      </c>
      <c r="G137" s="4" t="s">
        <v>162</v>
      </c>
      <c r="H137" s="4" t="s">
        <v>14</v>
      </c>
      <c r="I137" s="4">
        <v>2020</v>
      </c>
      <c r="J137" s="4">
        <v>1</v>
      </c>
      <c r="K137" s="4">
        <v>1</v>
      </c>
    </row>
    <row r="138" spans="1:11">
      <c r="A138" s="4" t="s">
        <v>287</v>
      </c>
      <c r="B138" s="4" t="s">
        <v>309</v>
      </c>
      <c r="C138" s="9" t="s">
        <v>295</v>
      </c>
      <c r="D138" s="13">
        <v>1</v>
      </c>
      <c r="E138" s="4">
        <v>3</v>
      </c>
      <c r="F138" s="4">
        <v>17</v>
      </c>
      <c r="G138" s="4" t="s">
        <v>162</v>
      </c>
      <c r="H138" s="4" t="s">
        <v>14</v>
      </c>
      <c r="I138" s="4">
        <v>2020</v>
      </c>
      <c r="J138" s="4">
        <v>1</v>
      </c>
      <c r="K138" s="4">
        <v>1</v>
      </c>
    </row>
    <row r="139" spans="1:11">
      <c r="A139" s="4" t="s">
        <v>287</v>
      </c>
      <c r="B139" s="4" t="s">
        <v>310</v>
      </c>
      <c r="C139" s="11" t="s">
        <v>296</v>
      </c>
      <c r="D139" s="13">
        <v>1</v>
      </c>
      <c r="E139" s="4">
        <v>4</v>
      </c>
      <c r="F139" s="4">
        <v>17</v>
      </c>
      <c r="G139" s="4" t="s">
        <v>162</v>
      </c>
      <c r="H139" s="4" t="s">
        <v>14</v>
      </c>
      <c r="I139" s="4">
        <v>2020</v>
      </c>
      <c r="J139" s="4">
        <v>1</v>
      </c>
      <c r="K139" s="4">
        <v>1</v>
      </c>
    </row>
    <row r="140" spans="1:11">
      <c r="A140" s="4" t="s">
        <v>287</v>
      </c>
      <c r="B140" s="4" t="s">
        <v>311</v>
      </c>
      <c r="C140" s="11" t="s">
        <v>297</v>
      </c>
      <c r="D140" s="13">
        <v>1</v>
      </c>
      <c r="E140" s="4">
        <v>5</v>
      </c>
      <c r="F140" s="4">
        <v>17</v>
      </c>
      <c r="G140" s="4" t="s">
        <v>162</v>
      </c>
      <c r="H140" s="4" t="s">
        <v>14</v>
      </c>
      <c r="I140" s="4">
        <v>2020</v>
      </c>
      <c r="J140" s="4">
        <v>1</v>
      </c>
      <c r="K140" s="4">
        <v>1</v>
      </c>
    </row>
    <row r="141" spans="1:11">
      <c r="A141" s="4" t="s">
        <v>287</v>
      </c>
      <c r="B141" s="4" t="s">
        <v>312</v>
      </c>
      <c r="C141" s="11" t="s">
        <v>298</v>
      </c>
      <c r="D141" s="13">
        <v>0</v>
      </c>
      <c r="E141" s="4">
        <v>6</v>
      </c>
      <c r="F141" s="4">
        <v>17</v>
      </c>
      <c r="G141" s="4" t="s">
        <v>162</v>
      </c>
      <c r="H141" s="4" t="s">
        <v>14</v>
      </c>
      <c r="I141" s="4">
        <v>2020</v>
      </c>
      <c r="J141" s="4">
        <v>1</v>
      </c>
      <c r="K141" s="4">
        <v>1</v>
      </c>
    </row>
    <row r="142" spans="1:11">
      <c r="A142" s="4" t="s">
        <v>287</v>
      </c>
      <c r="B142" s="4" t="s">
        <v>313</v>
      </c>
      <c r="C142" s="11" t="s">
        <v>299</v>
      </c>
      <c r="D142" s="13">
        <v>1</v>
      </c>
      <c r="E142" s="4">
        <v>7</v>
      </c>
      <c r="F142" s="4">
        <v>17</v>
      </c>
      <c r="G142" s="4" t="s">
        <v>162</v>
      </c>
      <c r="H142" s="4" t="s">
        <v>14</v>
      </c>
      <c r="I142" s="4">
        <v>2020</v>
      </c>
      <c r="J142" s="4">
        <v>1</v>
      </c>
      <c r="K142" s="4">
        <v>1</v>
      </c>
    </row>
    <row r="143" spans="1:11">
      <c r="A143" s="4" t="s">
        <v>287</v>
      </c>
      <c r="B143" s="4" t="s">
        <v>314</v>
      </c>
      <c r="C143" s="9" t="s">
        <v>300</v>
      </c>
      <c r="D143" s="13">
        <v>1</v>
      </c>
      <c r="E143" s="4">
        <v>8</v>
      </c>
      <c r="F143" s="4">
        <v>17</v>
      </c>
      <c r="G143" s="4" t="s">
        <v>162</v>
      </c>
      <c r="H143" s="4" t="s">
        <v>14</v>
      </c>
      <c r="I143" s="4">
        <v>2020</v>
      </c>
      <c r="J143" s="4">
        <v>1</v>
      </c>
      <c r="K143" s="4">
        <v>1</v>
      </c>
    </row>
    <row r="144" spans="1:11">
      <c r="A144" s="4" t="s">
        <v>287</v>
      </c>
      <c r="B144" s="4" t="s">
        <v>315</v>
      </c>
      <c r="C144" s="11" t="s">
        <v>301</v>
      </c>
      <c r="D144" s="13">
        <v>0</v>
      </c>
      <c r="E144" s="4">
        <v>9</v>
      </c>
      <c r="F144" s="4">
        <v>17</v>
      </c>
      <c r="G144" s="4" t="s">
        <v>162</v>
      </c>
      <c r="H144" s="4" t="s">
        <v>14</v>
      </c>
      <c r="I144" s="4">
        <v>2020</v>
      </c>
      <c r="J144" s="4">
        <v>1</v>
      </c>
      <c r="K144" s="4">
        <v>1</v>
      </c>
    </row>
    <row r="145" spans="1:11">
      <c r="A145" s="4" t="s">
        <v>287</v>
      </c>
      <c r="B145" s="4" t="s">
        <v>316</v>
      </c>
      <c r="C145" s="11" t="s">
        <v>302</v>
      </c>
      <c r="D145" s="13">
        <v>0</v>
      </c>
      <c r="E145" s="4">
        <v>10</v>
      </c>
      <c r="F145" s="4">
        <v>17</v>
      </c>
      <c r="G145" s="4" t="s">
        <v>162</v>
      </c>
      <c r="H145" s="4" t="s">
        <v>14</v>
      </c>
      <c r="I145" s="4">
        <v>2020</v>
      </c>
      <c r="J145" s="4">
        <v>1</v>
      </c>
      <c r="K145" s="4">
        <v>1</v>
      </c>
    </row>
    <row r="146" spans="1:11">
      <c r="A146" s="4" t="s">
        <v>287</v>
      </c>
      <c r="B146" s="4" t="s">
        <v>317</v>
      </c>
      <c r="C146" s="11" t="s">
        <v>226</v>
      </c>
      <c r="D146" s="13">
        <v>0</v>
      </c>
      <c r="E146" s="4">
        <v>11</v>
      </c>
      <c r="F146" s="4">
        <v>17</v>
      </c>
      <c r="G146" s="4" t="s">
        <v>162</v>
      </c>
      <c r="H146" s="4" t="s">
        <v>14</v>
      </c>
      <c r="I146" s="4">
        <v>2020</v>
      </c>
      <c r="J146" s="4">
        <v>1</v>
      </c>
      <c r="K146" s="4">
        <v>1</v>
      </c>
    </row>
    <row r="147" spans="1:11">
      <c r="A147" s="4" t="s">
        <v>287</v>
      </c>
      <c r="B147" s="4" t="s">
        <v>318</v>
      </c>
      <c r="C147" s="11" t="s">
        <v>303</v>
      </c>
      <c r="D147" s="13">
        <v>1</v>
      </c>
      <c r="E147" s="4">
        <v>12</v>
      </c>
      <c r="F147" s="4">
        <v>17</v>
      </c>
      <c r="G147" s="4" t="s">
        <v>162</v>
      </c>
      <c r="H147" s="4" t="s">
        <v>14</v>
      </c>
      <c r="I147" s="4">
        <v>2020</v>
      </c>
      <c r="J147" s="4">
        <v>1</v>
      </c>
      <c r="K147" s="4">
        <v>1</v>
      </c>
    </row>
    <row r="148" spans="1:11">
      <c r="A148" s="4" t="s">
        <v>287</v>
      </c>
      <c r="B148" s="4" t="s">
        <v>319</v>
      </c>
      <c r="C148" s="11" t="s">
        <v>304</v>
      </c>
      <c r="D148" s="13">
        <v>0</v>
      </c>
      <c r="E148" s="4">
        <v>13</v>
      </c>
      <c r="F148" s="4">
        <v>17</v>
      </c>
      <c r="G148" s="4" t="s">
        <v>162</v>
      </c>
      <c r="H148" s="4" t="s">
        <v>14</v>
      </c>
      <c r="I148" s="4">
        <v>2020</v>
      </c>
      <c r="J148" s="4">
        <v>1</v>
      </c>
      <c r="K148" s="4">
        <v>1</v>
      </c>
    </row>
    <row r="149" spans="1:11">
      <c r="A149" s="4" t="s">
        <v>287</v>
      </c>
      <c r="B149" s="4" t="s">
        <v>320</v>
      </c>
      <c r="C149" s="11" t="s">
        <v>229</v>
      </c>
      <c r="D149" s="13">
        <v>0</v>
      </c>
      <c r="E149" s="4">
        <v>14</v>
      </c>
      <c r="F149" s="4">
        <v>17</v>
      </c>
      <c r="G149" s="4" t="s">
        <v>162</v>
      </c>
      <c r="H149" s="4" t="s">
        <v>14</v>
      </c>
      <c r="I149" s="4">
        <v>2020</v>
      </c>
      <c r="J149" s="4">
        <v>1</v>
      </c>
      <c r="K149" s="4">
        <v>1</v>
      </c>
    </row>
    <row r="150" spans="1:11">
      <c r="A150" s="4" t="s">
        <v>287</v>
      </c>
      <c r="B150" s="4" t="s">
        <v>321</v>
      </c>
      <c r="C150" s="11" t="s">
        <v>305</v>
      </c>
      <c r="D150" s="13">
        <v>0</v>
      </c>
      <c r="E150" s="4">
        <v>15</v>
      </c>
      <c r="F150" s="4">
        <v>17</v>
      </c>
      <c r="G150" s="4" t="s">
        <v>162</v>
      </c>
      <c r="H150" s="4" t="s">
        <v>14</v>
      </c>
      <c r="I150" s="4">
        <v>2020</v>
      </c>
      <c r="J150" s="4">
        <v>1</v>
      </c>
      <c r="K150" s="4">
        <v>1</v>
      </c>
    </row>
    <row r="151" spans="1:11">
      <c r="A151" s="4" t="s">
        <v>287</v>
      </c>
      <c r="B151" s="4" t="s">
        <v>322</v>
      </c>
      <c r="C151" s="11" t="s">
        <v>306</v>
      </c>
      <c r="D151" s="13">
        <v>0</v>
      </c>
      <c r="E151" s="4">
        <v>16</v>
      </c>
      <c r="F151" s="4">
        <v>17</v>
      </c>
      <c r="G151" s="4" t="s">
        <v>162</v>
      </c>
      <c r="H151" s="4" t="s">
        <v>14</v>
      </c>
      <c r="I151" s="4">
        <v>2020</v>
      </c>
      <c r="J151" s="4">
        <v>1</v>
      </c>
      <c r="K151" s="4">
        <v>1</v>
      </c>
    </row>
    <row r="152" spans="1:11">
      <c r="A152" s="4" t="s">
        <v>287</v>
      </c>
      <c r="B152" s="4" t="s">
        <v>323</v>
      </c>
      <c r="C152" s="11" t="s">
        <v>307</v>
      </c>
      <c r="D152" s="13">
        <v>0</v>
      </c>
      <c r="E152" s="4">
        <v>17</v>
      </c>
      <c r="F152" s="4">
        <v>17</v>
      </c>
      <c r="G152" s="4" t="s">
        <v>162</v>
      </c>
      <c r="H152" s="4" t="s">
        <v>14</v>
      </c>
      <c r="I152" s="4">
        <v>2020</v>
      </c>
      <c r="J152" s="4">
        <v>1</v>
      </c>
      <c r="K152" s="4">
        <v>1</v>
      </c>
    </row>
    <row r="153" spans="1:11">
      <c r="A153" s="4" t="s">
        <v>326</v>
      </c>
      <c r="B153" s="4" t="s">
        <v>327</v>
      </c>
      <c r="C153" s="11" t="s">
        <v>328</v>
      </c>
      <c r="D153" s="13">
        <v>0</v>
      </c>
      <c r="E153" s="4">
        <v>1</v>
      </c>
      <c r="F153" s="4">
        <v>22</v>
      </c>
      <c r="G153" s="4" t="s">
        <v>162</v>
      </c>
      <c r="H153" s="4" t="s">
        <v>14</v>
      </c>
      <c r="I153" s="4">
        <v>2021</v>
      </c>
      <c r="J153" s="4">
        <v>1</v>
      </c>
      <c r="K153" s="4">
        <v>1</v>
      </c>
    </row>
    <row r="154" spans="1:11">
      <c r="A154" s="4" t="s">
        <v>326</v>
      </c>
      <c r="B154" s="4" t="s">
        <v>350</v>
      </c>
      <c r="C154" s="11" t="s">
        <v>329</v>
      </c>
      <c r="D154" s="13">
        <v>1</v>
      </c>
      <c r="E154" s="4">
        <v>2</v>
      </c>
      <c r="F154" s="4">
        <v>22</v>
      </c>
      <c r="G154" s="4" t="s">
        <v>162</v>
      </c>
      <c r="H154" s="4" t="s">
        <v>14</v>
      </c>
      <c r="I154" s="4">
        <v>2021</v>
      </c>
      <c r="J154" s="4">
        <v>1</v>
      </c>
      <c r="K154" s="4">
        <v>1</v>
      </c>
    </row>
    <row r="155" spans="1:11">
      <c r="A155" s="4" t="s">
        <v>326</v>
      </c>
      <c r="B155" s="4" t="s">
        <v>351</v>
      </c>
      <c r="C155" s="11" t="s">
        <v>330</v>
      </c>
      <c r="D155" s="13">
        <v>1</v>
      </c>
      <c r="E155" s="4">
        <v>3</v>
      </c>
      <c r="F155" s="4">
        <v>22</v>
      </c>
      <c r="G155" s="4" t="s">
        <v>162</v>
      </c>
      <c r="H155" s="4" t="s">
        <v>14</v>
      </c>
      <c r="I155" s="4">
        <v>2021</v>
      </c>
      <c r="J155" s="4">
        <v>1</v>
      </c>
      <c r="K155" s="4">
        <v>1</v>
      </c>
    </row>
    <row r="156" spans="1:11">
      <c r="A156" s="4" t="s">
        <v>326</v>
      </c>
      <c r="B156" s="4" t="s">
        <v>352</v>
      </c>
      <c r="C156" s="11" t="s">
        <v>331</v>
      </c>
      <c r="D156" s="13">
        <v>0</v>
      </c>
      <c r="E156" s="4">
        <v>4</v>
      </c>
      <c r="F156" s="4">
        <v>22</v>
      </c>
      <c r="G156" s="4" t="s">
        <v>162</v>
      </c>
      <c r="H156" s="4" t="s">
        <v>14</v>
      </c>
      <c r="I156" s="4">
        <v>2021</v>
      </c>
      <c r="J156" s="4">
        <v>1</v>
      </c>
      <c r="K156" s="4">
        <v>1</v>
      </c>
    </row>
    <row r="157" spans="1:11">
      <c r="A157" s="4" t="s">
        <v>326</v>
      </c>
      <c r="B157" s="4" t="s">
        <v>353</v>
      </c>
      <c r="C157" s="11" t="s">
        <v>332</v>
      </c>
      <c r="D157" s="13">
        <v>0</v>
      </c>
      <c r="E157" s="4">
        <v>5</v>
      </c>
      <c r="F157" s="4">
        <v>22</v>
      </c>
      <c r="G157" s="4" t="s">
        <v>162</v>
      </c>
      <c r="H157" s="4" t="s">
        <v>14</v>
      </c>
      <c r="I157" s="4">
        <v>2021</v>
      </c>
      <c r="J157" s="4">
        <v>1</v>
      </c>
      <c r="K157" s="4">
        <v>1</v>
      </c>
    </row>
    <row r="158" spans="1:11">
      <c r="A158" s="4" t="s">
        <v>326</v>
      </c>
      <c r="B158" s="4" t="s">
        <v>354</v>
      </c>
      <c r="C158" s="11" t="s">
        <v>333</v>
      </c>
      <c r="D158" s="13">
        <v>1</v>
      </c>
      <c r="E158" s="4">
        <v>6</v>
      </c>
      <c r="F158" s="4">
        <v>22</v>
      </c>
      <c r="G158" s="4" t="s">
        <v>162</v>
      </c>
      <c r="H158" s="4" t="s">
        <v>14</v>
      </c>
      <c r="I158" s="4">
        <v>2021</v>
      </c>
      <c r="J158" s="4">
        <v>1</v>
      </c>
      <c r="K158" s="4">
        <v>1</v>
      </c>
    </row>
    <row r="159" spans="1:11">
      <c r="A159" s="4" t="s">
        <v>326</v>
      </c>
      <c r="B159" s="4" t="s">
        <v>355</v>
      </c>
      <c r="C159" s="11" t="s">
        <v>334</v>
      </c>
      <c r="D159" s="13">
        <v>1</v>
      </c>
      <c r="E159" s="4">
        <v>7</v>
      </c>
      <c r="F159" s="4">
        <v>22</v>
      </c>
      <c r="G159" s="4" t="s">
        <v>162</v>
      </c>
      <c r="H159" s="4" t="s">
        <v>14</v>
      </c>
      <c r="I159" s="4">
        <v>2021</v>
      </c>
      <c r="J159" s="4">
        <v>1</v>
      </c>
      <c r="K159" s="4">
        <v>1</v>
      </c>
    </row>
    <row r="160" spans="1:11">
      <c r="A160" s="4" t="s">
        <v>326</v>
      </c>
      <c r="B160" s="4" t="s">
        <v>356</v>
      </c>
      <c r="C160" s="11" t="s">
        <v>335</v>
      </c>
      <c r="D160" s="13">
        <v>1</v>
      </c>
      <c r="E160" s="4">
        <v>8</v>
      </c>
      <c r="F160" s="4">
        <v>22</v>
      </c>
      <c r="G160" s="4" t="s">
        <v>162</v>
      </c>
      <c r="H160" s="4" t="s">
        <v>14</v>
      </c>
      <c r="I160" s="4">
        <v>2021</v>
      </c>
      <c r="J160" s="4">
        <v>1</v>
      </c>
      <c r="K160" s="4">
        <v>1</v>
      </c>
    </row>
    <row r="161" spans="1:11">
      <c r="A161" s="4" t="s">
        <v>326</v>
      </c>
      <c r="B161" s="4" t="s">
        <v>357</v>
      </c>
      <c r="C161" s="11" t="s">
        <v>336</v>
      </c>
      <c r="D161" s="13">
        <v>0</v>
      </c>
      <c r="E161" s="4">
        <v>9</v>
      </c>
      <c r="F161" s="4">
        <v>22</v>
      </c>
      <c r="G161" s="4" t="s">
        <v>162</v>
      </c>
      <c r="H161" s="4" t="s">
        <v>14</v>
      </c>
      <c r="I161" s="4">
        <v>2021</v>
      </c>
      <c r="J161" s="4">
        <v>1</v>
      </c>
      <c r="K161" s="4">
        <v>1</v>
      </c>
    </row>
    <row r="162" spans="1:11">
      <c r="A162" s="4" t="s">
        <v>326</v>
      </c>
      <c r="B162" s="4" t="s">
        <v>358</v>
      </c>
      <c r="C162" s="11" t="s">
        <v>337</v>
      </c>
      <c r="D162" s="13">
        <v>1</v>
      </c>
      <c r="E162" s="4">
        <v>10</v>
      </c>
      <c r="F162" s="4">
        <v>22</v>
      </c>
      <c r="G162" s="4" t="s">
        <v>162</v>
      </c>
      <c r="H162" s="4" t="s">
        <v>14</v>
      </c>
      <c r="I162" s="4">
        <v>2021</v>
      </c>
      <c r="J162" s="4">
        <v>1</v>
      </c>
      <c r="K162" s="4">
        <v>1</v>
      </c>
    </row>
    <row r="163" spans="1:11">
      <c r="A163" s="4" t="s">
        <v>326</v>
      </c>
      <c r="B163" s="4" t="s">
        <v>359</v>
      </c>
      <c r="C163" s="11" t="s">
        <v>338</v>
      </c>
      <c r="D163" s="13">
        <v>1</v>
      </c>
      <c r="E163" s="4">
        <v>11</v>
      </c>
      <c r="F163" s="4">
        <v>22</v>
      </c>
      <c r="G163" s="4" t="s">
        <v>162</v>
      </c>
      <c r="H163" s="4" t="s">
        <v>14</v>
      </c>
      <c r="I163" s="4">
        <v>2021</v>
      </c>
      <c r="J163" s="4">
        <v>1</v>
      </c>
      <c r="K163" s="4">
        <v>1</v>
      </c>
    </row>
    <row r="164" spans="1:11">
      <c r="A164" s="4" t="s">
        <v>326</v>
      </c>
      <c r="B164" s="4" t="s">
        <v>360</v>
      </c>
      <c r="C164" s="11" t="s">
        <v>339</v>
      </c>
      <c r="D164" s="13">
        <v>0</v>
      </c>
      <c r="E164" s="4">
        <v>12</v>
      </c>
      <c r="F164" s="4">
        <v>22</v>
      </c>
      <c r="G164" s="4" t="s">
        <v>162</v>
      </c>
      <c r="H164" s="4" t="s">
        <v>14</v>
      </c>
      <c r="I164" s="4">
        <v>2021</v>
      </c>
      <c r="J164" s="4">
        <v>1</v>
      </c>
      <c r="K164" s="4">
        <v>1</v>
      </c>
    </row>
    <row r="165" spans="1:11">
      <c r="A165" s="4" t="s">
        <v>326</v>
      </c>
      <c r="B165" s="4" t="s">
        <v>361</v>
      </c>
      <c r="C165" s="11" t="s">
        <v>340</v>
      </c>
      <c r="D165" s="13">
        <v>1</v>
      </c>
      <c r="E165" s="4">
        <v>13</v>
      </c>
      <c r="F165" s="4">
        <v>22</v>
      </c>
      <c r="G165" s="4" t="s">
        <v>162</v>
      </c>
      <c r="H165" s="4" t="s">
        <v>14</v>
      </c>
      <c r="I165" s="4">
        <v>2021</v>
      </c>
      <c r="J165" s="4">
        <v>1</v>
      </c>
      <c r="K165" s="4">
        <v>1</v>
      </c>
    </row>
    <row r="166" spans="1:11">
      <c r="A166" s="4" t="s">
        <v>326</v>
      </c>
      <c r="B166" s="4" t="s">
        <v>362</v>
      </c>
      <c r="C166" s="9" t="s">
        <v>341</v>
      </c>
      <c r="D166" s="13">
        <v>1</v>
      </c>
      <c r="E166" s="4">
        <v>14</v>
      </c>
      <c r="F166" s="4">
        <v>22</v>
      </c>
      <c r="G166" s="4" t="s">
        <v>162</v>
      </c>
      <c r="H166" s="4" t="s">
        <v>14</v>
      </c>
      <c r="I166" s="4">
        <v>2021</v>
      </c>
      <c r="J166" s="4">
        <v>1</v>
      </c>
      <c r="K166" s="4">
        <v>1</v>
      </c>
    </row>
    <row r="167" spans="1:11">
      <c r="A167" s="4" t="s">
        <v>326</v>
      </c>
      <c r="B167" s="4" t="s">
        <v>363</v>
      </c>
      <c r="C167" s="9" t="s">
        <v>342</v>
      </c>
      <c r="D167" s="13">
        <v>0</v>
      </c>
      <c r="E167" s="4">
        <v>15</v>
      </c>
      <c r="F167" s="4">
        <v>22</v>
      </c>
      <c r="G167" s="4" t="s">
        <v>162</v>
      </c>
      <c r="H167" s="4" t="s">
        <v>14</v>
      </c>
      <c r="I167" s="4">
        <v>2021</v>
      </c>
      <c r="J167" s="4">
        <v>1</v>
      </c>
      <c r="K167" s="4">
        <v>1</v>
      </c>
    </row>
    <row r="168" spans="1:11">
      <c r="A168" s="4" t="s">
        <v>326</v>
      </c>
      <c r="B168" s="4" t="s">
        <v>364</v>
      </c>
      <c r="C168" s="9" t="s">
        <v>343</v>
      </c>
      <c r="D168" s="13">
        <v>1</v>
      </c>
      <c r="E168" s="4">
        <v>16</v>
      </c>
      <c r="F168" s="4">
        <v>22</v>
      </c>
      <c r="G168" s="4" t="s">
        <v>162</v>
      </c>
      <c r="H168" s="4" t="s">
        <v>14</v>
      </c>
      <c r="I168" s="4">
        <v>2021</v>
      </c>
      <c r="J168" s="4">
        <v>1</v>
      </c>
      <c r="K168" s="4">
        <v>1</v>
      </c>
    </row>
    <row r="169" spans="1:11">
      <c r="A169" s="4" t="s">
        <v>326</v>
      </c>
      <c r="B169" s="4" t="s">
        <v>365</v>
      </c>
      <c r="C169" s="9" t="s">
        <v>344</v>
      </c>
      <c r="D169" s="13">
        <v>1</v>
      </c>
      <c r="E169" s="4">
        <v>17</v>
      </c>
      <c r="F169" s="4">
        <v>22</v>
      </c>
      <c r="G169" s="4" t="s">
        <v>162</v>
      </c>
      <c r="H169" s="4" t="s">
        <v>14</v>
      </c>
      <c r="I169" s="4">
        <v>2021</v>
      </c>
      <c r="J169" s="4">
        <v>1</v>
      </c>
      <c r="K169" s="4">
        <v>1</v>
      </c>
    </row>
    <row r="170" spans="1:11">
      <c r="A170" s="4" t="s">
        <v>326</v>
      </c>
      <c r="B170" s="4" t="s">
        <v>366</v>
      </c>
      <c r="C170" s="9" t="s">
        <v>345</v>
      </c>
      <c r="D170" s="13">
        <v>1</v>
      </c>
      <c r="E170" s="4">
        <v>18</v>
      </c>
      <c r="F170" s="4">
        <v>22</v>
      </c>
      <c r="G170" s="4" t="s">
        <v>162</v>
      </c>
      <c r="H170" s="4" t="s">
        <v>14</v>
      </c>
      <c r="I170" s="4">
        <v>2021</v>
      </c>
      <c r="J170" s="4">
        <v>1</v>
      </c>
      <c r="K170" s="4">
        <v>1</v>
      </c>
    </row>
    <row r="171" spans="1:11">
      <c r="A171" s="4" t="s">
        <v>326</v>
      </c>
      <c r="B171" s="4" t="s">
        <v>367</v>
      </c>
      <c r="C171" s="9" t="s">
        <v>346</v>
      </c>
      <c r="D171" s="13">
        <v>0</v>
      </c>
      <c r="E171" s="4">
        <v>19</v>
      </c>
      <c r="F171" s="4">
        <v>22</v>
      </c>
      <c r="G171" s="4" t="s">
        <v>162</v>
      </c>
      <c r="H171" s="4" t="s">
        <v>14</v>
      </c>
      <c r="I171" s="4">
        <v>2021</v>
      </c>
      <c r="J171" s="4">
        <v>1</v>
      </c>
      <c r="K171" s="4">
        <v>1</v>
      </c>
    </row>
    <row r="172" spans="1:11">
      <c r="A172" s="4" t="s">
        <v>326</v>
      </c>
      <c r="B172" s="4" t="s">
        <v>368</v>
      </c>
      <c r="C172" s="9" t="s">
        <v>347</v>
      </c>
      <c r="D172" s="13">
        <v>0</v>
      </c>
      <c r="E172" s="4">
        <v>20</v>
      </c>
      <c r="F172" s="4">
        <v>22</v>
      </c>
      <c r="G172" s="4" t="s">
        <v>162</v>
      </c>
      <c r="H172" s="4" t="s">
        <v>14</v>
      </c>
      <c r="I172" s="4">
        <v>2021</v>
      </c>
      <c r="J172" s="4">
        <v>1</v>
      </c>
      <c r="K172" s="4">
        <v>1</v>
      </c>
    </row>
    <row r="173" spans="1:11">
      <c r="A173" s="4" t="s">
        <v>326</v>
      </c>
      <c r="B173" s="4" t="s">
        <v>369</v>
      </c>
      <c r="C173" s="9" t="s">
        <v>348</v>
      </c>
      <c r="D173" s="13">
        <v>0</v>
      </c>
      <c r="E173" s="4">
        <v>21</v>
      </c>
      <c r="F173" s="4">
        <v>22</v>
      </c>
      <c r="G173" s="4" t="s">
        <v>162</v>
      </c>
      <c r="H173" s="4" t="s">
        <v>14</v>
      </c>
      <c r="I173" s="4">
        <v>2021</v>
      </c>
      <c r="J173" s="4">
        <v>1</v>
      </c>
      <c r="K173" s="4">
        <v>1</v>
      </c>
    </row>
    <row r="174" spans="1:11">
      <c r="A174" s="4" t="s">
        <v>326</v>
      </c>
      <c r="B174" s="4" t="s">
        <v>370</v>
      </c>
      <c r="C174" s="9" t="s">
        <v>349</v>
      </c>
      <c r="D174" s="13">
        <v>0</v>
      </c>
      <c r="E174" s="4">
        <v>22</v>
      </c>
      <c r="F174" s="4">
        <v>22</v>
      </c>
      <c r="G174" s="4" t="s">
        <v>162</v>
      </c>
      <c r="H174" s="4" t="s">
        <v>14</v>
      </c>
      <c r="I174" s="4">
        <v>2021</v>
      </c>
      <c r="J174" s="4">
        <v>1</v>
      </c>
      <c r="K174" s="4">
        <v>1</v>
      </c>
    </row>
    <row r="175" spans="1:11">
      <c r="A175" s="4" t="s">
        <v>371</v>
      </c>
      <c r="B175" s="4" t="s">
        <v>372</v>
      </c>
      <c r="C175" s="9" t="s">
        <v>373</v>
      </c>
      <c r="D175" s="13">
        <v>0</v>
      </c>
      <c r="E175" s="4">
        <v>1</v>
      </c>
      <c r="F175" s="4">
        <v>29</v>
      </c>
      <c r="G175" s="4" t="s">
        <v>162</v>
      </c>
      <c r="H175" s="4" t="s">
        <v>14</v>
      </c>
      <c r="I175" s="4">
        <v>2022</v>
      </c>
      <c r="J175" s="4">
        <v>1</v>
      </c>
      <c r="K175" s="4">
        <v>1</v>
      </c>
    </row>
    <row r="176" spans="1:11">
      <c r="A176" s="4" t="s">
        <v>371</v>
      </c>
      <c r="B176" s="4" t="s">
        <v>399</v>
      </c>
      <c r="C176" s="9" t="s">
        <v>374</v>
      </c>
      <c r="D176" s="13">
        <v>0</v>
      </c>
      <c r="E176" s="4">
        <v>2</v>
      </c>
      <c r="F176" s="4">
        <v>29</v>
      </c>
      <c r="G176" s="4" t="s">
        <v>162</v>
      </c>
      <c r="H176" s="4" t="s">
        <v>14</v>
      </c>
      <c r="I176" s="4">
        <v>2022</v>
      </c>
      <c r="J176" s="4">
        <v>1</v>
      </c>
      <c r="K176" s="4">
        <v>1</v>
      </c>
    </row>
    <row r="177" spans="1:11">
      <c r="A177" s="4" t="s">
        <v>371</v>
      </c>
      <c r="B177" s="4" t="s">
        <v>400</v>
      </c>
      <c r="C177" s="9" t="s">
        <v>375</v>
      </c>
      <c r="D177" s="13">
        <v>1</v>
      </c>
      <c r="E177" s="4">
        <v>3</v>
      </c>
      <c r="F177" s="4">
        <v>29</v>
      </c>
      <c r="G177" s="4" t="s">
        <v>162</v>
      </c>
      <c r="H177" s="4" t="s">
        <v>14</v>
      </c>
      <c r="I177" s="4">
        <v>2022</v>
      </c>
      <c r="J177" s="4">
        <v>1</v>
      </c>
      <c r="K177" s="4">
        <v>1</v>
      </c>
    </row>
    <row r="178" spans="1:11">
      <c r="A178" s="4" t="s">
        <v>371</v>
      </c>
      <c r="B178" s="4" t="s">
        <v>401</v>
      </c>
      <c r="C178" s="9" t="s">
        <v>376</v>
      </c>
      <c r="D178" s="13">
        <v>0</v>
      </c>
      <c r="E178" s="4">
        <v>4</v>
      </c>
      <c r="F178" s="4">
        <v>29</v>
      </c>
      <c r="G178" s="4" t="s">
        <v>162</v>
      </c>
      <c r="H178" s="4" t="s">
        <v>14</v>
      </c>
      <c r="I178" s="4">
        <v>2022</v>
      </c>
      <c r="J178" s="4">
        <v>1</v>
      </c>
      <c r="K178" s="4">
        <v>1</v>
      </c>
    </row>
    <row r="179" spans="1:11">
      <c r="A179" s="4" t="s">
        <v>371</v>
      </c>
      <c r="B179" s="4" t="s">
        <v>402</v>
      </c>
      <c r="C179" s="9" t="s">
        <v>377</v>
      </c>
      <c r="D179" s="13">
        <v>0</v>
      </c>
      <c r="E179" s="4">
        <v>5</v>
      </c>
      <c r="F179" s="4">
        <v>29</v>
      </c>
      <c r="G179" s="4" t="s">
        <v>162</v>
      </c>
      <c r="H179" s="4" t="s">
        <v>14</v>
      </c>
      <c r="I179" s="4">
        <v>2022</v>
      </c>
      <c r="J179" s="4">
        <v>1</v>
      </c>
      <c r="K179" s="4">
        <v>1</v>
      </c>
    </row>
    <row r="180" spans="1:11">
      <c r="A180" s="4" t="s">
        <v>371</v>
      </c>
      <c r="B180" s="4" t="s">
        <v>403</v>
      </c>
      <c r="C180" s="9" t="s">
        <v>378</v>
      </c>
      <c r="D180" s="13">
        <v>1</v>
      </c>
      <c r="E180" s="4">
        <v>6</v>
      </c>
      <c r="F180" s="4">
        <v>29</v>
      </c>
      <c r="G180" s="4" t="s">
        <v>162</v>
      </c>
      <c r="H180" s="4" t="s">
        <v>14</v>
      </c>
      <c r="I180" s="4">
        <v>2022</v>
      </c>
      <c r="J180" s="4">
        <v>1</v>
      </c>
      <c r="K180" s="4">
        <v>1</v>
      </c>
    </row>
    <row r="181" spans="1:11">
      <c r="A181" s="4" t="s">
        <v>371</v>
      </c>
      <c r="B181" s="4" t="s">
        <v>404</v>
      </c>
      <c r="C181" s="9" t="s">
        <v>379</v>
      </c>
      <c r="D181" s="13">
        <v>0</v>
      </c>
      <c r="E181" s="4">
        <v>7</v>
      </c>
      <c r="F181" s="4">
        <v>29</v>
      </c>
      <c r="G181" s="4" t="s">
        <v>162</v>
      </c>
      <c r="H181" s="4" t="s">
        <v>14</v>
      </c>
      <c r="I181" s="4">
        <v>2022</v>
      </c>
      <c r="J181" s="4">
        <v>1</v>
      </c>
      <c r="K181" s="4">
        <v>1</v>
      </c>
    </row>
    <row r="182" spans="1:11">
      <c r="A182" s="4" t="s">
        <v>371</v>
      </c>
      <c r="B182" s="4" t="s">
        <v>405</v>
      </c>
      <c r="C182" s="9" t="s">
        <v>380</v>
      </c>
      <c r="D182" s="13">
        <v>0</v>
      </c>
      <c r="E182" s="4">
        <v>8</v>
      </c>
      <c r="F182" s="4">
        <v>29</v>
      </c>
      <c r="G182" s="4" t="s">
        <v>162</v>
      </c>
      <c r="H182" s="4" t="s">
        <v>14</v>
      </c>
      <c r="I182" s="4">
        <v>2022</v>
      </c>
      <c r="J182" s="4">
        <v>1</v>
      </c>
      <c r="K182" s="4">
        <v>1</v>
      </c>
    </row>
    <row r="183" spans="1:11">
      <c r="A183" s="4" t="s">
        <v>371</v>
      </c>
      <c r="B183" s="4" t="s">
        <v>406</v>
      </c>
      <c r="C183" s="9" t="s">
        <v>381</v>
      </c>
      <c r="D183" s="13">
        <v>1</v>
      </c>
      <c r="E183" s="4">
        <v>9</v>
      </c>
      <c r="F183" s="4">
        <v>29</v>
      </c>
      <c r="G183" s="4" t="s">
        <v>162</v>
      </c>
      <c r="H183" s="4" t="s">
        <v>14</v>
      </c>
      <c r="I183" s="4">
        <v>2022</v>
      </c>
      <c r="J183" s="4">
        <v>1</v>
      </c>
      <c r="K183" s="4">
        <v>1</v>
      </c>
    </row>
    <row r="184" spans="1:11">
      <c r="A184" s="4" t="s">
        <v>371</v>
      </c>
      <c r="B184" s="4" t="s">
        <v>407</v>
      </c>
      <c r="C184" s="9" t="s">
        <v>335</v>
      </c>
      <c r="D184" s="13">
        <v>0</v>
      </c>
      <c r="E184" s="4">
        <v>10</v>
      </c>
      <c r="F184" s="4">
        <v>29</v>
      </c>
      <c r="G184" s="4" t="s">
        <v>162</v>
      </c>
      <c r="H184" s="4" t="s">
        <v>14</v>
      </c>
      <c r="I184" s="4">
        <v>2022</v>
      </c>
      <c r="J184" s="4">
        <v>1</v>
      </c>
      <c r="K184" s="4">
        <v>1</v>
      </c>
    </row>
    <row r="185" spans="1:11">
      <c r="A185" s="4" t="s">
        <v>371</v>
      </c>
      <c r="B185" s="4" t="s">
        <v>408</v>
      </c>
      <c r="C185" s="9" t="s">
        <v>336</v>
      </c>
      <c r="D185" s="13">
        <v>0</v>
      </c>
      <c r="E185" s="4">
        <v>11</v>
      </c>
      <c r="F185" s="4">
        <v>29</v>
      </c>
      <c r="G185" s="4" t="s">
        <v>162</v>
      </c>
      <c r="H185" s="4" t="s">
        <v>14</v>
      </c>
      <c r="I185" s="4">
        <v>2022</v>
      </c>
      <c r="J185" s="4">
        <v>1</v>
      </c>
      <c r="K185" s="4">
        <v>1</v>
      </c>
    </row>
    <row r="186" spans="1:11">
      <c r="A186" s="4" t="s">
        <v>371</v>
      </c>
      <c r="B186" s="4" t="s">
        <v>409</v>
      </c>
      <c r="C186" s="9" t="s">
        <v>382</v>
      </c>
      <c r="D186" s="13">
        <v>1</v>
      </c>
      <c r="E186" s="4">
        <v>12</v>
      </c>
      <c r="F186" s="4">
        <v>29</v>
      </c>
      <c r="G186" s="4" t="s">
        <v>162</v>
      </c>
      <c r="H186" s="4" t="s">
        <v>14</v>
      </c>
      <c r="I186" s="4">
        <v>2022</v>
      </c>
      <c r="J186" s="4">
        <v>1</v>
      </c>
      <c r="K186" s="4">
        <v>1</v>
      </c>
    </row>
    <row r="187" spans="1:11">
      <c r="A187" s="4" t="s">
        <v>371</v>
      </c>
      <c r="B187" s="4" t="s">
        <v>410</v>
      </c>
      <c r="C187" s="9" t="s">
        <v>337</v>
      </c>
      <c r="D187" s="13">
        <v>1</v>
      </c>
      <c r="E187" s="4">
        <v>13</v>
      </c>
      <c r="F187" s="4">
        <v>29</v>
      </c>
      <c r="G187" s="4" t="s">
        <v>162</v>
      </c>
      <c r="H187" s="4" t="s">
        <v>14</v>
      </c>
      <c r="I187" s="4">
        <v>2022</v>
      </c>
      <c r="J187" s="4">
        <v>1</v>
      </c>
      <c r="K187" s="4">
        <v>1</v>
      </c>
    </row>
    <row r="188" spans="1:11">
      <c r="A188" s="4" t="s">
        <v>371</v>
      </c>
      <c r="B188" s="4" t="s">
        <v>411</v>
      </c>
      <c r="C188" s="9" t="s">
        <v>383</v>
      </c>
      <c r="D188" s="13">
        <v>1</v>
      </c>
      <c r="E188" s="4">
        <v>14</v>
      </c>
      <c r="F188" s="4">
        <v>29</v>
      </c>
      <c r="G188" s="4" t="s">
        <v>162</v>
      </c>
      <c r="H188" s="4" t="s">
        <v>14</v>
      </c>
      <c r="I188" s="4">
        <v>2022</v>
      </c>
      <c r="J188" s="4">
        <v>1</v>
      </c>
      <c r="K188" s="4">
        <v>1</v>
      </c>
    </row>
    <row r="189" spans="1:11">
      <c r="A189" s="4" t="s">
        <v>371</v>
      </c>
      <c r="B189" s="4" t="s">
        <v>412</v>
      </c>
      <c r="C189" s="9" t="s">
        <v>384</v>
      </c>
      <c r="D189" s="13">
        <v>1</v>
      </c>
      <c r="E189" s="4">
        <v>15</v>
      </c>
      <c r="F189" s="4">
        <v>29</v>
      </c>
      <c r="G189" s="4" t="s">
        <v>162</v>
      </c>
      <c r="H189" s="4" t="s">
        <v>14</v>
      </c>
      <c r="I189" s="4">
        <v>2022</v>
      </c>
      <c r="J189" s="4">
        <v>1</v>
      </c>
      <c r="K189" s="4">
        <v>1</v>
      </c>
    </row>
    <row r="190" spans="1:11">
      <c r="A190" s="4" t="s">
        <v>371</v>
      </c>
      <c r="B190" s="4" t="s">
        <v>413</v>
      </c>
      <c r="C190" s="9" t="s">
        <v>385</v>
      </c>
      <c r="D190" s="13">
        <v>0</v>
      </c>
      <c r="E190" s="4">
        <v>16</v>
      </c>
      <c r="F190" s="4">
        <v>29</v>
      </c>
      <c r="G190" s="4" t="s">
        <v>162</v>
      </c>
      <c r="H190" s="4" t="s">
        <v>14</v>
      </c>
      <c r="I190" s="4">
        <v>2022</v>
      </c>
      <c r="J190" s="4">
        <v>1</v>
      </c>
      <c r="K190" s="4">
        <v>1</v>
      </c>
    </row>
    <row r="191" spans="1:11">
      <c r="A191" s="4" t="s">
        <v>371</v>
      </c>
      <c r="B191" s="4" t="s">
        <v>414</v>
      </c>
      <c r="C191" s="9" t="s">
        <v>386</v>
      </c>
      <c r="D191" s="13">
        <v>1</v>
      </c>
      <c r="E191" s="4">
        <v>17</v>
      </c>
      <c r="F191" s="4">
        <v>29</v>
      </c>
      <c r="G191" s="4" t="s">
        <v>162</v>
      </c>
      <c r="H191" s="4" t="s">
        <v>14</v>
      </c>
      <c r="I191" s="4">
        <v>2022</v>
      </c>
      <c r="J191" s="4">
        <v>1</v>
      </c>
      <c r="K191" s="4">
        <v>1</v>
      </c>
    </row>
    <row r="192" spans="1:11">
      <c r="A192" s="4" t="s">
        <v>371</v>
      </c>
      <c r="B192" s="4" t="s">
        <v>415</v>
      </c>
      <c r="C192" s="9" t="s">
        <v>387</v>
      </c>
      <c r="D192" s="13">
        <v>1</v>
      </c>
      <c r="E192" s="4">
        <v>18</v>
      </c>
      <c r="F192" s="4">
        <v>29</v>
      </c>
      <c r="G192" s="4" t="s">
        <v>162</v>
      </c>
      <c r="H192" s="4" t="s">
        <v>14</v>
      </c>
      <c r="I192" s="4">
        <v>2022</v>
      </c>
      <c r="J192" s="4">
        <v>1</v>
      </c>
      <c r="K192" s="4">
        <v>1</v>
      </c>
    </row>
    <row r="193" spans="1:12">
      <c r="A193" s="4" t="s">
        <v>371</v>
      </c>
      <c r="B193" s="4" t="s">
        <v>416</v>
      </c>
      <c r="C193" s="9" t="s">
        <v>388</v>
      </c>
      <c r="D193" s="13">
        <v>1</v>
      </c>
      <c r="E193" s="4">
        <v>19</v>
      </c>
      <c r="F193" s="4">
        <v>29</v>
      </c>
      <c r="G193" s="4" t="s">
        <v>162</v>
      </c>
      <c r="H193" s="4" t="s">
        <v>14</v>
      </c>
      <c r="I193" s="4">
        <v>2022</v>
      </c>
      <c r="J193" s="4">
        <v>1</v>
      </c>
      <c r="K193" s="4">
        <v>1</v>
      </c>
    </row>
    <row r="194" spans="1:12">
      <c r="A194" s="4" t="s">
        <v>371</v>
      </c>
      <c r="B194" s="4" t="s">
        <v>417</v>
      </c>
      <c r="C194" s="9" t="s">
        <v>389</v>
      </c>
      <c r="D194" s="13">
        <v>1</v>
      </c>
      <c r="E194" s="4">
        <v>20</v>
      </c>
      <c r="F194" s="4">
        <v>29</v>
      </c>
      <c r="G194" s="4" t="s">
        <v>162</v>
      </c>
      <c r="H194" s="4" t="s">
        <v>14</v>
      </c>
      <c r="I194" s="4">
        <v>2022</v>
      </c>
      <c r="J194" s="4">
        <v>1</v>
      </c>
      <c r="K194" s="4">
        <v>1</v>
      </c>
    </row>
    <row r="195" spans="1:12">
      <c r="A195" s="4" t="s">
        <v>371</v>
      </c>
      <c r="B195" s="4" t="s">
        <v>418</v>
      </c>
      <c r="C195" s="9" t="s">
        <v>390</v>
      </c>
      <c r="D195" s="13">
        <v>0</v>
      </c>
      <c r="E195" s="4">
        <v>21</v>
      </c>
      <c r="F195" s="4">
        <v>29</v>
      </c>
      <c r="G195" s="4" t="s">
        <v>162</v>
      </c>
      <c r="H195" s="4" t="s">
        <v>14</v>
      </c>
      <c r="I195" s="4">
        <v>2022</v>
      </c>
      <c r="J195" s="4">
        <v>1</v>
      </c>
      <c r="K195" s="4">
        <v>1</v>
      </c>
    </row>
    <row r="196" spans="1:12">
      <c r="A196" s="4" t="s">
        <v>371</v>
      </c>
      <c r="B196" s="4" t="s">
        <v>419</v>
      </c>
      <c r="C196" s="9" t="s">
        <v>391</v>
      </c>
      <c r="D196" s="13">
        <v>1</v>
      </c>
      <c r="E196" s="4">
        <v>22</v>
      </c>
      <c r="F196" s="4">
        <v>29</v>
      </c>
      <c r="G196" s="4" t="s">
        <v>162</v>
      </c>
      <c r="H196" s="4" t="s">
        <v>14</v>
      </c>
      <c r="I196" s="4">
        <v>2022</v>
      </c>
      <c r="J196" s="4">
        <v>1</v>
      </c>
      <c r="K196" s="4">
        <v>1</v>
      </c>
    </row>
    <row r="197" spans="1:12">
      <c r="A197" s="4" t="s">
        <v>371</v>
      </c>
      <c r="B197" s="4" t="s">
        <v>420</v>
      </c>
      <c r="C197" s="9" t="s">
        <v>392</v>
      </c>
      <c r="D197" s="13">
        <v>1</v>
      </c>
      <c r="E197" s="4">
        <v>23</v>
      </c>
      <c r="F197" s="4">
        <v>29</v>
      </c>
      <c r="G197" s="4" t="s">
        <v>162</v>
      </c>
      <c r="H197" s="4" t="s">
        <v>14</v>
      </c>
      <c r="I197" s="4">
        <v>2022</v>
      </c>
      <c r="J197" s="4">
        <v>1</v>
      </c>
      <c r="K197" s="4">
        <v>1</v>
      </c>
    </row>
    <row r="198" spans="1:12">
      <c r="A198" s="4" t="s">
        <v>371</v>
      </c>
      <c r="B198" s="4" t="s">
        <v>421</v>
      </c>
      <c r="C198" s="9" t="s">
        <v>393</v>
      </c>
      <c r="D198" s="13">
        <v>1</v>
      </c>
      <c r="E198" s="4">
        <v>24</v>
      </c>
      <c r="F198" s="4">
        <v>29</v>
      </c>
      <c r="G198" s="4" t="s">
        <v>162</v>
      </c>
      <c r="H198" s="4" t="s">
        <v>14</v>
      </c>
      <c r="I198" s="4">
        <v>2022</v>
      </c>
      <c r="J198" s="4">
        <v>1</v>
      </c>
      <c r="K198" s="4">
        <v>1</v>
      </c>
    </row>
    <row r="199" spans="1:12">
      <c r="A199" s="4" t="s">
        <v>371</v>
      </c>
      <c r="B199" s="4" t="s">
        <v>422</v>
      </c>
      <c r="C199" s="9" t="s">
        <v>394</v>
      </c>
      <c r="D199" s="13">
        <v>0</v>
      </c>
      <c r="E199" s="4">
        <v>25</v>
      </c>
      <c r="F199" s="4">
        <v>29</v>
      </c>
      <c r="G199" s="4" t="s">
        <v>162</v>
      </c>
      <c r="H199" s="4" t="s">
        <v>14</v>
      </c>
      <c r="I199" s="4">
        <v>2022</v>
      </c>
      <c r="J199" s="4">
        <v>1</v>
      </c>
      <c r="K199" s="4">
        <v>1</v>
      </c>
    </row>
    <row r="200" spans="1:12">
      <c r="A200" s="4" t="s">
        <v>371</v>
      </c>
      <c r="B200" s="4" t="s">
        <v>423</v>
      </c>
      <c r="C200" s="9" t="s">
        <v>395</v>
      </c>
      <c r="D200" s="13">
        <v>1</v>
      </c>
      <c r="E200" s="4">
        <v>26</v>
      </c>
      <c r="F200" s="4">
        <v>29</v>
      </c>
      <c r="G200" s="4" t="s">
        <v>162</v>
      </c>
      <c r="H200" s="4" t="s">
        <v>14</v>
      </c>
      <c r="I200" s="4">
        <v>2022</v>
      </c>
      <c r="J200" s="4">
        <v>1</v>
      </c>
      <c r="K200" s="4">
        <v>1</v>
      </c>
    </row>
    <row r="201" spans="1:12">
      <c r="A201" s="4" t="s">
        <v>371</v>
      </c>
      <c r="B201" s="4" t="s">
        <v>424</v>
      </c>
      <c r="C201" s="9" t="s">
        <v>396</v>
      </c>
      <c r="D201" s="13">
        <v>0</v>
      </c>
      <c r="E201" s="4">
        <v>27</v>
      </c>
      <c r="F201" s="4">
        <v>29</v>
      </c>
      <c r="G201" s="4" t="s">
        <v>162</v>
      </c>
      <c r="H201" s="4" t="s">
        <v>14</v>
      </c>
      <c r="I201" s="4">
        <v>2022</v>
      </c>
      <c r="J201" s="4">
        <v>1</v>
      </c>
      <c r="K201" s="4">
        <v>1</v>
      </c>
    </row>
    <row r="202" spans="1:12">
      <c r="A202" s="4" t="s">
        <v>371</v>
      </c>
      <c r="B202" s="4" t="s">
        <v>425</v>
      </c>
      <c r="C202" s="9" t="s">
        <v>397</v>
      </c>
      <c r="D202" s="13">
        <v>0</v>
      </c>
      <c r="E202" s="4">
        <v>28</v>
      </c>
      <c r="F202" s="4">
        <v>29</v>
      </c>
      <c r="G202" s="4" t="s">
        <v>162</v>
      </c>
      <c r="H202" s="4" t="s">
        <v>14</v>
      </c>
      <c r="I202" s="4">
        <v>2022</v>
      </c>
      <c r="J202" s="4">
        <v>1</v>
      </c>
      <c r="K202" s="4">
        <v>1</v>
      </c>
    </row>
    <row r="203" spans="1:12">
      <c r="A203" s="4" t="s">
        <v>371</v>
      </c>
      <c r="B203" s="4" t="s">
        <v>426</v>
      </c>
      <c r="C203" s="9" t="s">
        <v>398</v>
      </c>
      <c r="D203" s="13">
        <v>0</v>
      </c>
      <c r="E203" s="4">
        <v>29</v>
      </c>
      <c r="F203" s="4">
        <v>29</v>
      </c>
      <c r="G203" s="4" t="s">
        <v>162</v>
      </c>
      <c r="H203" s="4" t="s">
        <v>14</v>
      </c>
      <c r="I203" s="4">
        <v>2022</v>
      </c>
      <c r="J203" s="4">
        <v>1</v>
      </c>
      <c r="K203" s="4">
        <v>1</v>
      </c>
    </row>
    <row r="204" spans="1:12">
      <c r="A204" s="4" t="s">
        <v>434</v>
      </c>
      <c r="B204" s="4" t="s">
        <v>435</v>
      </c>
      <c r="C204" s="9" t="s">
        <v>436</v>
      </c>
      <c r="D204" s="13">
        <v>0</v>
      </c>
      <c r="E204" s="4">
        <v>1</v>
      </c>
      <c r="F204" s="4">
        <v>38</v>
      </c>
      <c r="G204" s="4" t="s">
        <v>162</v>
      </c>
      <c r="H204" s="4" t="s">
        <v>14</v>
      </c>
      <c r="I204" s="4">
        <v>2023</v>
      </c>
      <c r="J204" s="4">
        <v>1</v>
      </c>
      <c r="K204" s="4">
        <v>1</v>
      </c>
      <c r="L204" s="4"/>
    </row>
    <row r="205" spans="1:12">
      <c r="A205" s="4" t="s">
        <v>434</v>
      </c>
      <c r="B205" s="4" t="s">
        <v>437</v>
      </c>
      <c r="C205" s="9" t="s">
        <v>438</v>
      </c>
      <c r="D205" s="13">
        <v>0</v>
      </c>
      <c r="E205" s="4">
        <v>2</v>
      </c>
      <c r="F205" s="4">
        <v>38</v>
      </c>
      <c r="G205" s="4" t="s">
        <v>162</v>
      </c>
      <c r="H205" s="4" t="s">
        <v>14</v>
      </c>
      <c r="I205" s="4">
        <v>2023</v>
      </c>
      <c r="J205" s="4">
        <v>1</v>
      </c>
      <c r="K205" s="4">
        <v>1</v>
      </c>
      <c r="L205" s="4"/>
    </row>
    <row r="206" spans="1:12">
      <c r="A206" s="4" t="s">
        <v>434</v>
      </c>
      <c r="B206" s="4" t="s">
        <v>439</v>
      </c>
      <c r="C206" s="9" t="s">
        <v>440</v>
      </c>
      <c r="D206" s="13">
        <v>0</v>
      </c>
      <c r="E206" s="4">
        <v>3</v>
      </c>
      <c r="F206" s="4">
        <v>38</v>
      </c>
      <c r="G206" s="4" t="s">
        <v>162</v>
      </c>
      <c r="H206" s="4" t="s">
        <v>14</v>
      </c>
      <c r="I206" s="4">
        <v>2023</v>
      </c>
      <c r="J206" s="4">
        <v>1</v>
      </c>
      <c r="K206" s="4">
        <v>1</v>
      </c>
      <c r="L206" s="4"/>
    </row>
    <row r="207" spans="1:12">
      <c r="A207" s="4" t="s">
        <v>434</v>
      </c>
      <c r="B207" s="4" t="s">
        <v>441</v>
      </c>
      <c r="C207" s="9" t="s">
        <v>442</v>
      </c>
      <c r="D207" s="13">
        <v>0</v>
      </c>
      <c r="E207" s="4">
        <v>4</v>
      </c>
      <c r="F207" s="4">
        <v>38</v>
      </c>
      <c r="G207" s="4" t="s">
        <v>162</v>
      </c>
      <c r="H207" s="4" t="s">
        <v>14</v>
      </c>
      <c r="I207" s="4">
        <v>2023</v>
      </c>
      <c r="J207" s="4">
        <v>1</v>
      </c>
      <c r="K207" s="4">
        <v>1</v>
      </c>
      <c r="L207" s="4"/>
    </row>
    <row r="208" spans="1:12">
      <c r="A208" s="4" t="s">
        <v>434</v>
      </c>
      <c r="B208" s="4" t="s">
        <v>443</v>
      </c>
      <c r="C208" s="9" t="s">
        <v>444</v>
      </c>
      <c r="D208" s="13">
        <v>0</v>
      </c>
      <c r="E208" s="4">
        <v>5</v>
      </c>
      <c r="F208" s="4">
        <v>38</v>
      </c>
      <c r="G208" s="4" t="s">
        <v>162</v>
      </c>
      <c r="H208" s="4" t="s">
        <v>14</v>
      </c>
      <c r="I208" s="4">
        <v>2023</v>
      </c>
      <c r="J208" s="4">
        <v>1</v>
      </c>
      <c r="K208" s="4">
        <v>1</v>
      </c>
      <c r="L208" s="4"/>
    </row>
    <row r="209" spans="1:12">
      <c r="A209" s="4" t="s">
        <v>434</v>
      </c>
      <c r="B209" s="4" t="s">
        <v>445</v>
      </c>
      <c r="C209" s="9" t="s">
        <v>446</v>
      </c>
      <c r="D209" s="13">
        <v>1</v>
      </c>
      <c r="E209" s="4">
        <v>6</v>
      </c>
      <c r="F209" s="4">
        <v>38</v>
      </c>
      <c r="G209" s="4" t="s">
        <v>162</v>
      </c>
      <c r="H209" s="4" t="s">
        <v>14</v>
      </c>
      <c r="I209" s="4">
        <v>2023</v>
      </c>
      <c r="J209" s="4">
        <v>1</v>
      </c>
      <c r="K209" s="4">
        <v>1</v>
      </c>
      <c r="L209" s="4"/>
    </row>
    <row r="210" spans="1:12">
      <c r="A210" s="4" t="s">
        <v>434</v>
      </c>
      <c r="B210" s="4" t="s">
        <v>447</v>
      </c>
      <c r="C210" s="9" t="s">
        <v>448</v>
      </c>
      <c r="D210" s="13">
        <v>0</v>
      </c>
      <c r="E210" s="4">
        <v>7</v>
      </c>
      <c r="F210" s="4">
        <v>38</v>
      </c>
      <c r="G210" s="4" t="s">
        <v>162</v>
      </c>
      <c r="H210" s="4" t="s">
        <v>14</v>
      </c>
      <c r="I210" s="4">
        <v>2023</v>
      </c>
      <c r="J210" s="4">
        <v>1</v>
      </c>
      <c r="K210" s="4">
        <v>1</v>
      </c>
      <c r="L210" s="4"/>
    </row>
    <row r="211" spans="1:12">
      <c r="A211" s="4" t="s">
        <v>434</v>
      </c>
      <c r="B211" s="4" t="s">
        <v>449</v>
      </c>
      <c r="C211" s="9" t="s">
        <v>450</v>
      </c>
      <c r="D211" s="13">
        <v>0</v>
      </c>
      <c r="E211" s="4">
        <v>8</v>
      </c>
      <c r="F211" s="4">
        <v>38</v>
      </c>
      <c r="G211" s="4" t="s">
        <v>162</v>
      </c>
      <c r="H211" s="4" t="s">
        <v>14</v>
      </c>
      <c r="I211" s="4">
        <v>2023</v>
      </c>
      <c r="J211" s="4">
        <v>1</v>
      </c>
      <c r="K211" s="4">
        <v>1</v>
      </c>
      <c r="L211" s="4"/>
    </row>
    <row r="212" spans="1:12">
      <c r="A212" s="4" t="s">
        <v>434</v>
      </c>
      <c r="B212" s="4" t="s">
        <v>451</v>
      </c>
      <c r="C212" s="9" t="s">
        <v>452</v>
      </c>
      <c r="D212" s="13">
        <v>0</v>
      </c>
      <c r="E212" s="4">
        <v>9</v>
      </c>
      <c r="F212" s="4">
        <v>38</v>
      </c>
      <c r="G212" s="4" t="s">
        <v>162</v>
      </c>
      <c r="H212" s="4" t="s">
        <v>14</v>
      </c>
      <c r="I212" s="4">
        <v>2023</v>
      </c>
      <c r="J212" s="4">
        <v>1</v>
      </c>
      <c r="K212" s="4">
        <v>1</v>
      </c>
      <c r="L212" s="4"/>
    </row>
    <row r="213" spans="1:12">
      <c r="A213" s="4" t="s">
        <v>434</v>
      </c>
      <c r="B213" s="4" t="s">
        <v>453</v>
      </c>
      <c r="C213" s="9" t="s">
        <v>454</v>
      </c>
      <c r="D213" s="13">
        <v>0</v>
      </c>
      <c r="E213" s="4">
        <v>10</v>
      </c>
      <c r="F213" s="4">
        <v>38</v>
      </c>
      <c r="G213" s="4" t="s">
        <v>162</v>
      </c>
      <c r="H213" s="4" t="s">
        <v>14</v>
      </c>
      <c r="I213" s="4">
        <v>2023</v>
      </c>
      <c r="J213" s="4">
        <v>1</v>
      </c>
      <c r="K213" s="4">
        <v>1</v>
      </c>
      <c r="L213" s="4"/>
    </row>
    <row r="214" spans="1:12">
      <c r="A214" s="4" t="s">
        <v>434</v>
      </c>
      <c r="B214" s="4" t="s">
        <v>455</v>
      </c>
      <c r="C214" s="9" t="s">
        <v>456</v>
      </c>
      <c r="D214" s="13">
        <v>0</v>
      </c>
      <c r="E214" s="4">
        <v>11</v>
      </c>
      <c r="F214" s="4">
        <v>38</v>
      </c>
      <c r="G214" s="4" t="s">
        <v>162</v>
      </c>
      <c r="H214" s="4" t="s">
        <v>14</v>
      </c>
      <c r="I214" s="4">
        <v>2023</v>
      </c>
      <c r="J214" s="4">
        <v>1</v>
      </c>
      <c r="K214" s="4">
        <v>1</v>
      </c>
      <c r="L214" s="4"/>
    </row>
    <row r="215" spans="1:12">
      <c r="A215" s="4" t="s">
        <v>434</v>
      </c>
      <c r="B215" s="4" t="s">
        <v>457</v>
      </c>
      <c r="C215" s="14" t="s">
        <v>458</v>
      </c>
      <c r="D215" s="13">
        <v>0</v>
      </c>
      <c r="E215" s="4">
        <v>12</v>
      </c>
      <c r="F215" s="4">
        <v>38</v>
      </c>
      <c r="G215" s="4" t="s">
        <v>162</v>
      </c>
      <c r="H215" s="4" t="s">
        <v>14</v>
      </c>
      <c r="I215" s="4">
        <v>2023</v>
      </c>
      <c r="J215" s="4">
        <v>1</v>
      </c>
      <c r="K215" s="4">
        <v>1</v>
      </c>
      <c r="L215" s="4"/>
    </row>
    <row r="216" spans="1:12">
      <c r="A216" s="4" t="s">
        <v>434</v>
      </c>
      <c r="B216" s="4" t="s">
        <v>459</v>
      </c>
      <c r="C216" s="9" t="s">
        <v>460</v>
      </c>
      <c r="D216" s="13">
        <v>1</v>
      </c>
      <c r="E216" s="4">
        <v>13</v>
      </c>
      <c r="F216" s="4">
        <v>38</v>
      </c>
      <c r="G216" s="4" t="s">
        <v>162</v>
      </c>
      <c r="H216" s="4" t="s">
        <v>14</v>
      </c>
      <c r="I216" s="4">
        <v>2023</v>
      </c>
      <c r="J216" s="4">
        <v>1</v>
      </c>
      <c r="K216" s="4">
        <v>1</v>
      </c>
      <c r="L216" s="4"/>
    </row>
    <row r="217" spans="1:12">
      <c r="A217" s="4" t="s">
        <v>434</v>
      </c>
      <c r="B217" s="4" t="s">
        <v>461</v>
      </c>
      <c r="C217" s="9" t="s">
        <v>462</v>
      </c>
      <c r="D217" s="13">
        <v>0</v>
      </c>
      <c r="E217" s="4">
        <v>14</v>
      </c>
      <c r="F217" s="4">
        <v>38</v>
      </c>
      <c r="G217" s="4" t="s">
        <v>162</v>
      </c>
      <c r="H217" s="4" t="s">
        <v>14</v>
      </c>
      <c r="I217" s="4">
        <v>2023</v>
      </c>
      <c r="J217" s="4">
        <v>1</v>
      </c>
      <c r="K217" s="4">
        <v>1</v>
      </c>
      <c r="L217" s="4"/>
    </row>
    <row r="218" spans="1:12">
      <c r="A218" s="4" t="s">
        <v>434</v>
      </c>
      <c r="B218" s="4" t="s">
        <v>463</v>
      </c>
      <c r="C218" s="9" t="s">
        <v>464</v>
      </c>
      <c r="D218" s="13">
        <v>0</v>
      </c>
      <c r="E218" s="4">
        <v>15</v>
      </c>
      <c r="F218" s="4">
        <v>38</v>
      </c>
      <c r="G218" s="4" t="s">
        <v>162</v>
      </c>
      <c r="H218" s="4" t="s">
        <v>14</v>
      </c>
      <c r="I218" s="4">
        <v>2023</v>
      </c>
      <c r="J218" s="4">
        <v>1</v>
      </c>
      <c r="K218" s="4">
        <v>1</v>
      </c>
      <c r="L218" s="4"/>
    </row>
    <row r="219" spans="1:12">
      <c r="A219" s="4" t="s">
        <v>434</v>
      </c>
      <c r="B219" s="4" t="s">
        <v>465</v>
      </c>
      <c r="C219" s="9" t="s">
        <v>466</v>
      </c>
      <c r="D219" s="13">
        <v>0</v>
      </c>
      <c r="E219" s="4">
        <v>16</v>
      </c>
      <c r="F219" s="4">
        <v>38</v>
      </c>
      <c r="G219" s="4" t="s">
        <v>162</v>
      </c>
      <c r="H219" s="4" t="s">
        <v>14</v>
      </c>
      <c r="I219" s="4">
        <v>2023</v>
      </c>
      <c r="J219" s="4">
        <v>1</v>
      </c>
      <c r="K219" s="4">
        <v>1</v>
      </c>
      <c r="L219" s="4"/>
    </row>
    <row r="220" spans="1:12">
      <c r="A220" s="4" t="s">
        <v>434</v>
      </c>
      <c r="B220" s="4" t="s">
        <v>467</v>
      </c>
      <c r="C220" s="9" t="s">
        <v>468</v>
      </c>
      <c r="D220" s="13">
        <v>1</v>
      </c>
      <c r="E220" s="4">
        <v>17</v>
      </c>
      <c r="F220" s="4">
        <v>38</v>
      </c>
      <c r="G220" s="4" t="s">
        <v>162</v>
      </c>
      <c r="H220" s="4" t="s">
        <v>14</v>
      </c>
      <c r="I220" s="4">
        <v>2023</v>
      </c>
      <c r="J220" s="4">
        <v>1</v>
      </c>
      <c r="K220" s="4">
        <v>1</v>
      </c>
      <c r="L220" s="4"/>
    </row>
    <row r="221" spans="1:12">
      <c r="A221" s="4" t="s">
        <v>434</v>
      </c>
      <c r="B221" s="4" t="s">
        <v>469</v>
      </c>
      <c r="C221" s="9" t="s">
        <v>470</v>
      </c>
      <c r="D221" s="13">
        <v>0</v>
      </c>
      <c r="E221" s="4">
        <v>18</v>
      </c>
      <c r="F221" s="4">
        <v>38</v>
      </c>
      <c r="G221" s="4" t="s">
        <v>162</v>
      </c>
      <c r="H221" s="4" t="s">
        <v>14</v>
      </c>
      <c r="I221" s="4">
        <v>2023</v>
      </c>
      <c r="J221" s="4">
        <v>1</v>
      </c>
      <c r="K221" s="4">
        <v>1</v>
      </c>
      <c r="L221" s="4"/>
    </row>
    <row r="222" spans="1:12">
      <c r="A222" s="4" t="s">
        <v>434</v>
      </c>
      <c r="B222" s="4" t="s">
        <v>471</v>
      </c>
      <c r="C222" s="9" t="s">
        <v>472</v>
      </c>
      <c r="D222" s="13">
        <v>1</v>
      </c>
      <c r="E222" s="4">
        <v>19</v>
      </c>
      <c r="F222" s="4">
        <v>38</v>
      </c>
      <c r="G222" s="4" t="s">
        <v>162</v>
      </c>
      <c r="H222" s="4" t="s">
        <v>14</v>
      </c>
      <c r="I222" s="4">
        <v>2023</v>
      </c>
      <c r="J222" s="4">
        <v>1</v>
      </c>
      <c r="K222" s="4">
        <v>1</v>
      </c>
      <c r="L222" s="4"/>
    </row>
    <row r="223" spans="1:12">
      <c r="A223" s="4" t="s">
        <v>434</v>
      </c>
      <c r="B223" s="4" t="s">
        <v>473</v>
      </c>
      <c r="C223" s="9" t="s">
        <v>474</v>
      </c>
      <c r="D223" s="13">
        <v>0</v>
      </c>
      <c r="E223" s="4">
        <v>20</v>
      </c>
      <c r="F223" s="4">
        <v>38</v>
      </c>
      <c r="G223" s="4" t="s">
        <v>162</v>
      </c>
      <c r="H223" s="4" t="s">
        <v>14</v>
      </c>
      <c r="I223" s="4">
        <v>2023</v>
      </c>
      <c r="J223" s="4">
        <v>1</v>
      </c>
      <c r="K223" s="4">
        <v>1</v>
      </c>
      <c r="L223" s="4"/>
    </row>
    <row r="224" spans="1:12">
      <c r="A224" s="4" t="s">
        <v>434</v>
      </c>
      <c r="B224" s="4" t="s">
        <v>475</v>
      </c>
      <c r="C224" s="14" t="s">
        <v>476</v>
      </c>
      <c r="D224" s="13">
        <v>0</v>
      </c>
      <c r="E224" s="4">
        <v>21</v>
      </c>
      <c r="F224" s="4">
        <v>38</v>
      </c>
      <c r="G224" s="4" t="s">
        <v>162</v>
      </c>
      <c r="H224" s="4" t="s">
        <v>14</v>
      </c>
      <c r="I224" s="4">
        <v>2023</v>
      </c>
      <c r="J224" s="4">
        <v>1</v>
      </c>
      <c r="K224" s="4">
        <v>1</v>
      </c>
      <c r="L224" s="4"/>
    </row>
    <row r="225" spans="1:12">
      <c r="A225" s="4" t="s">
        <v>434</v>
      </c>
      <c r="B225" s="4" t="s">
        <v>477</v>
      </c>
      <c r="C225" s="14" t="s">
        <v>478</v>
      </c>
      <c r="D225" s="13">
        <v>0</v>
      </c>
      <c r="E225" s="4">
        <v>22</v>
      </c>
      <c r="F225" s="4">
        <v>38</v>
      </c>
      <c r="G225" s="4" t="s">
        <v>162</v>
      </c>
      <c r="H225" s="4" t="s">
        <v>14</v>
      </c>
      <c r="I225" s="4">
        <v>2023</v>
      </c>
      <c r="J225" s="4">
        <v>1</v>
      </c>
      <c r="K225" s="4">
        <v>1</v>
      </c>
      <c r="L225" s="4"/>
    </row>
    <row r="226" spans="1:12">
      <c r="A226" s="4" t="s">
        <v>434</v>
      </c>
      <c r="B226" s="4" t="s">
        <v>479</v>
      </c>
      <c r="C226" s="14" t="s">
        <v>480</v>
      </c>
      <c r="D226" s="13">
        <v>0</v>
      </c>
      <c r="E226" s="4">
        <v>23</v>
      </c>
      <c r="F226" s="4">
        <v>38</v>
      </c>
      <c r="G226" s="4" t="s">
        <v>162</v>
      </c>
      <c r="H226" s="4" t="s">
        <v>14</v>
      </c>
      <c r="I226" s="4">
        <v>2023</v>
      </c>
      <c r="J226" s="4">
        <v>1</v>
      </c>
      <c r="K226" s="4">
        <v>1</v>
      </c>
      <c r="L226" s="4"/>
    </row>
    <row r="227" spans="1:12">
      <c r="A227" s="4" t="s">
        <v>434</v>
      </c>
      <c r="B227" s="4" t="s">
        <v>481</v>
      </c>
      <c r="C227" s="14" t="s">
        <v>482</v>
      </c>
      <c r="D227" s="13">
        <v>1</v>
      </c>
      <c r="E227" s="4">
        <v>24</v>
      </c>
      <c r="F227" s="4">
        <v>38</v>
      </c>
      <c r="G227" s="4" t="s">
        <v>162</v>
      </c>
      <c r="H227" s="4" t="s">
        <v>14</v>
      </c>
      <c r="I227" s="4">
        <v>2023</v>
      </c>
      <c r="J227" s="4">
        <v>1</v>
      </c>
      <c r="K227" s="4">
        <v>1</v>
      </c>
      <c r="L227" s="4"/>
    </row>
    <row r="228" spans="1:12">
      <c r="A228" s="4" t="s">
        <v>434</v>
      </c>
      <c r="B228" s="4" t="s">
        <v>483</v>
      </c>
      <c r="C228" s="14" t="s">
        <v>484</v>
      </c>
      <c r="D228" s="13">
        <v>1</v>
      </c>
      <c r="E228" s="4">
        <v>25</v>
      </c>
      <c r="F228" s="4">
        <v>38</v>
      </c>
      <c r="G228" s="4" t="s">
        <v>162</v>
      </c>
      <c r="H228" s="4" t="s">
        <v>14</v>
      </c>
      <c r="I228" s="4">
        <v>2023</v>
      </c>
      <c r="J228" s="4">
        <v>1</v>
      </c>
      <c r="K228" s="4">
        <v>1</v>
      </c>
      <c r="L228" s="4"/>
    </row>
    <row r="229" spans="1:12">
      <c r="A229" s="4" t="s">
        <v>434</v>
      </c>
      <c r="B229" s="4" t="s">
        <v>485</v>
      </c>
      <c r="C229" s="14" t="s">
        <v>486</v>
      </c>
      <c r="D229" s="13">
        <v>1</v>
      </c>
      <c r="E229" s="4">
        <v>26</v>
      </c>
      <c r="F229" s="4">
        <v>38</v>
      </c>
      <c r="G229" s="4" t="s">
        <v>162</v>
      </c>
      <c r="H229" s="4" t="s">
        <v>14</v>
      </c>
      <c r="I229" s="4">
        <v>2023</v>
      </c>
      <c r="J229" s="4">
        <v>1</v>
      </c>
      <c r="K229" s="4">
        <v>1</v>
      </c>
      <c r="L229" s="4"/>
    </row>
    <row r="230" spans="1:12">
      <c r="A230" s="4" t="s">
        <v>434</v>
      </c>
      <c r="B230" s="4" t="s">
        <v>487</v>
      </c>
      <c r="C230" s="14" t="s">
        <v>488</v>
      </c>
      <c r="D230" s="13">
        <v>1</v>
      </c>
      <c r="E230" s="4">
        <v>27</v>
      </c>
      <c r="F230" s="4">
        <v>38</v>
      </c>
      <c r="G230" s="4" t="s">
        <v>162</v>
      </c>
      <c r="H230" s="4" t="s">
        <v>14</v>
      </c>
      <c r="I230" s="4">
        <v>2023</v>
      </c>
      <c r="J230" s="4">
        <v>1</v>
      </c>
      <c r="K230" s="4">
        <v>1</v>
      </c>
      <c r="L230" s="4"/>
    </row>
    <row r="231" spans="1:12">
      <c r="A231" s="4" t="s">
        <v>434</v>
      </c>
      <c r="B231" s="4" t="s">
        <v>489</v>
      </c>
      <c r="C231" s="14" t="s">
        <v>490</v>
      </c>
      <c r="D231" s="13">
        <v>1</v>
      </c>
      <c r="E231" s="4">
        <v>28</v>
      </c>
      <c r="F231" s="4">
        <v>38</v>
      </c>
      <c r="G231" s="4" t="s">
        <v>162</v>
      </c>
      <c r="H231" s="4" t="s">
        <v>14</v>
      </c>
      <c r="I231" s="4">
        <v>2023</v>
      </c>
      <c r="J231" s="4">
        <v>1</v>
      </c>
      <c r="K231" s="4">
        <v>1</v>
      </c>
      <c r="L231" s="4"/>
    </row>
    <row r="232" spans="1:12">
      <c r="A232" s="4" t="s">
        <v>434</v>
      </c>
      <c r="B232" s="4" t="s">
        <v>491</v>
      </c>
      <c r="C232" s="14" t="s">
        <v>492</v>
      </c>
      <c r="D232" s="13">
        <v>1</v>
      </c>
      <c r="E232" s="4">
        <v>29</v>
      </c>
      <c r="F232" s="4">
        <v>38</v>
      </c>
      <c r="G232" s="4" t="s">
        <v>162</v>
      </c>
      <c r="H232" s="4" t="s">
        <v>14</v>
      </c>
      <c r="I232" s="4">
        <v>2023</v>
      </c>
      <c r="J232" s="4">
        <v>1</v>
      </c>
      <c r="K232" s="4">
        <v>1</v>
      </c>
      <c r="L232" s="4"/>
    </row>
    <row r="233" spans="1:12">
      <c r="A233" s="4" t="s">
        <v>434</v>
      </c>
      <c r="B233" s="4" t="s">
        <v>493</v>
      </c>
      <c r="C233" s="14" t="s">
        <v>494</v>
      </c>
      <c r="D233" s="13">
        <v>1</v>
      </c>
      <c r="E233" s="4">
        <v>30</v>
      </c>
      <c r="F233" s="4">
        <v>38</v>
      </c>
      <c r="G233" s="4" t="s">
        <v>162</v>
      </c>
      <c r="H233" s="4" t="s">
        <v>14</v>
      </c>
      <c r="I233" s="4">
        <v>2023</v>
      </c>
      <c r="J233" s="4">
        <v>1</v>
      </c>
      <c r="K233" s="4">
        <v>1</v>
      </c>
      <c r="L233" s="4"/>
    </row>
    <row r="234" spans="1:12">
      <c r="A234" s="4" t="s">
        <v>434</v>
      </c>
      <c r="B234" s="4" t="s">
        <v>495</v>
      </c>
      <c r="C234" s="14" t="s">
        <v>496</v>
      </c>
      <c r="D234" s="13">
        <v>0</v>
      </c>
      <c r="E234" s="4">
        <v>31</v>
      </c>
      <c r="F234" s="4">
        <v>38</v>
      </c>
      <c r="G234" s="4" t="s">
        <v>162</v>
      </c>
      <c r="H234" s="4" t="s">
        <v>14</v>
      </c>
      <c r="I234" s="4">
        <v>2023</v>
      </c>
      <c r="J234" s="4">
        <v>1</v>
      </c>
      <c r="K234" s="4">
        <v>1</v>
      </c>
      <c r="L234" s="4"/>
    </row>
    <row r="235" spans="1:12">
      <c r="A235" s="4" t="s">
        <v>434</v>
      </c>
      <c r="B235" s="4" t="s">
        <v>497</v>
      </c>
      <c r="C235" s="14" t="s">
        <v>498</v>
      </c>
      <c r="D235" s="13">
        <v>0</v>
      </c>
      <c r="E235" s="4">
        <v>32</v>
      </c>
      <c r="F235" s="4">
        <v>38</v>
      </c>
      <c r="G235" s="4" t="s">
        <v>162</v>
      </c>
      <c r="H235" s="4" t="s">
        <v>14</v>
      </c>
      <c r="I235" s="4">
        <v>2023</v>
      </c>
      <c r="J235" s="4">
        <v>1</v>
      </c>
      <c r="K235" s="4">
        <v>1</v>
      </c>
      <c r="L235" s="4"/>
    </row>
    <row r="236" spans="1:12">
      <c r="A236" s="4" t="s">
        <v>434</v>
      </c>
      <c r="B236" s="4" t="s">
        <v>499</v>
      </c>
      <c r="C236" s="9" t="s">
        <v>500</v>
      </c>
      <c r="D236" s="13">
        <v>1</v>
      </c>
      <c r="E236" s="4">
        <v>33</v>
      </c>
      <c r="F236" s="4">
        <v>38</v>
      </c>
      <c r="G236" s="4" t="s">
        <v>162</v>
      </c>
      <c r="H236" s="4" t="s">
        <v>14</v>
      </c>
      <c r="I236" s="4">
        <v>2023</v>
      </c>
      <c r="J236" s="4">
        <v>1</v>
      </c>
      <c r="K236" s="4">
        <v>1</v>
      </c>
      <c r="L236" s="4"/>
    </row>
    <row r="237" spans="1:12">
      <c r="A237" s="4" t="s">
        <v>434</v>
      </c>
      <c r="B237" s="4" t="s">
        <v>501</v>
      </c>
      <c r="C237" s="14" t="s">
        <v>502</v>
      </c>
      <c r="D237" s="13">
        <v>1</v>
      </c>
      <c r="E237" s="4">
        <v>34</v>
      </c>
      <c r="F237" s="4">
        <v>38</v>
      </c>
      <c r="G237" s="4" t="s">
        <v>162</v>
      </c>
      <c r="H237" s="4" t="s">
        <v>14</v>
      </c>
      <c r="I237" s="4">
        <v>2023</v>
      </c>
      <c r="J237" s="4">
        <v>1</v>
      </c>
      <c r="K237" s="4">
        <v>1</v>
      </c>
      <c r="L237" s="4"/>
    </row>
    <row r="238" spans="1:12">
      <c r="A238" s="4" t="s">
        <v>434</v>
      </c>
      <c r="B238" s="4" t="s">
        <v>503</v>
      </c>
      <c r="C238" s="14" t="s">
        <v>504</v>
      </c>
      <c r="D238" s="13">
        <v>0</v>
      </c>
      <c r="E238" s="4">
        <v>35</v>
      </c>
      <c r="F238" s="4">
        <v>38</v>
      </c>
      <c r="G238" s="4" t="s">
        <v>162</v>
      </c>
      <c r="H238" s="4" t="s">
        <v>14</v>
      </c>
      <c r="I238" s="4">
        <v>2023</v>
      </c>
      <c r="J238" s="4">
        <v>1</v>
      </c>
      <c r="K238" s="4">
        <v>1</v>
      </c>
      <c r="L238" s="4"/>
    </row>
    <row r="239" spans="1:12">
      <c r="A239" s="4" t="s">
        <v>434</v>
      </c>
      <c r="B239" s="4" t="s">
        <v>505</v>
      </c>
      <c r="C239" s="14" t="s">
        <v>506</v>
      </c>
      <c r="D239" s="13">
        <v>0</v>
      </c>
      <c r="E239" s="4">
        <v>36</v>
      </c>
      <c r="F239" s="4">
        <v>38</v>
      </c>
      <c r="G239" s="4" t="s">
        <v>162</v>
      </c>
      <c r="H239" s="4" t="s">
        <v>14</v>
      </c>
      <c r="I239" s="4">
        <v>2023</v>
      </c>
      <c r="J239" s="4">
        <v>1</v>
      </c>
      <c r="K239" s="4">
        <v>1</v>
      </c>
      <c r="L239" s="4"/>
    </row>
    <row r="240" spans="1:12">
      <c r="A240" s="4" t="s">
        <v>434</v>
      </c>
      <c r="B240" s="4" t="s">
        <v>507</v>
      </c>
      <c r="C240" s="14" t="s">
        <v>508</v>
      </c>
      <c r="D240" s="13">
        <v>0</v>
      </c>
      <c r="E240" s="4">
        <v>37</v>
      </c>
      <c r="F240" s="4">
        <v>38</v>
      </c>
      <c r="G240" s="4" t="s">
        <v>162</v>
      </c>
      <c r="H240" s="4" t="s">
        <v>14</v>
      </c>
      <c r="I240" s="4">
        <v>2023</v>
      </c>
      <c r="J240" s="4">
        <v>1</v>
      </c>
      <c r="K240" s="4">
        <v>1</v>
      </c>
      <c r="L240" s="4"/>
    </row>
    <row r="241" spans="1:12">
      <c r="A241" s="4" t="s">
        <v>434</v>
      </c>
      <c r="B241" s="4" t="s">
        <v>509</v>
      </c>
      <c r="C241" s="14" t="s">
        <v>510</v>
      </c>
      <c r="D241" s="13">
        <v>0</v>
      </c>
      <c r="E241" s="4">
        <v>38</v>
      </c>
      <c r="F241" s="4">
        <v>38</v>
      </c>
      <c r="G241" s="4" t="s">
        <v>162</v>
      </c>
      <c r="H241" s="4" t="s">
        <v>14</v>
      </c>
      <c r="I241" s="4">
        <v>2023</v>
      </c>
      <c r="J241" s="4">
        <v>1</v>
      </c>
      <c r="K241" s="4">
        <v>1</v>
      </c>
      <c r="L241" s="4"/>
    </row>
    <row r="242" spans="1:12">
      <c r="A242" s="4" t="s">
        <v>511</v>
      </c>
      <c r="B242" s="4" t="s">
        <v>512</v>
      </c>
      <c r="C242" s="14" t="s">
        <v>513</v>
      </c>
      <c r="D242" s="13">
        <v>1</v>
      </c>
      <c r="E242" s="4">
        <v>1</v>
      </c>
      <c r="F242" s="4">
        <v>42</v>
      </c>
      <c r="G242" s="4" t="s">
        <v>162</v>
      </c>
      <c r="H242" s="4" t="s">
        <v>14</v>
      </c>
      <c r="I242" s="4">
        <v>2024</v>
      </c>
      <c r="J242" s="4">
        <v>1</v>
      </c>
      <c r="K242" s="4">
        <v>1</v>
      </c>
      <c r="L242" s="4"/>
    </row>
    <row r="243" spans="1:12">
      <c r="A243" s="4" t="s">
        <v>511</v>
      </c>
      <c r="B243" s="4" t="s">
        <v>514</v>
      </c>
      <c r="C243" s="14" t="s">
        <v>515</v>
      </c>
      <c r="D243" s="13">
        <v>0</v>
      </c>
      <c r="E243" s="4">
        <v>2</v>
      </c>
      <c r="F243" s="4">
        <v>42</v>
      </c>
      <c r="G243" s="4" t="s">
        <v>162</v>
      </c>
      <c r="H243" s="4" t="s">
        <v>14</v>
      </c>
      <c r="I243" s="4">
        <v>2024</v>
      </c>
      <c r="J243" s="4">
        <v>1</v>
      </c>
      <c r="K243" s="4">
        <v>1</v>
      </c>
      <c r="L243" s="4"/>
    </row>
    <row r="244" spans="1:12">
      <c r="A244" s="4" t="s">
        <v>511</v>
      </c>
      <c r="B244" s="4" t="s">
        <v>516</v>
      </c>
      <c r="C244" s="14" t="s">
        <v>517</v>
      </c>
      <c r="D244" s="13">
        <v>1</v>
      </c>
      <c r="E244" s="4">
        <v>3</v>
      </c>
      <c r="F244" s="4">
        <v>42</v>
      </c>
      <c r="G244" s="4" t="s">
        <v>162</v>
      </c>
      <c r="H244" s="4" t="s">
        <v>14</v>
      </c>
      <c r="I244" s="4">
        <v>2024</v>
      </c>
      <c r="J244" s="4">
        <v>1</v>
      </c>
      <c r="K244" s="4">
        <v>1</v>
      </c>
      <c r="L244" s="4"/>
    </row>
    <row r="245" spans="1:12">
      <c r="A245" s="4" t="s">
        <v>511</v>
      </c>
      <c r="B245" s="4" t="s">
        <v>518</v>
      </c>
      <c r="C245" s="14" t="s">
        <v>519</v>
      </c>
      <c r="D245" s="13">
        <v>0</v>
      </c>
      <c r="E245" s="4">
        <v>4</v>
      </c>
      <c r="F245" s="4">
        <v>42</v>
      </c>
      <c r="G245" s="4" t="s">
        <v>162</v>
      </c>
      <c r="H245" s="4" t="s">
        <v>14</v>
      </c>
      <c r="I245" s="4">
        <v>2024</v>
      </c>
      <c r="J245" s="4">
        <v>1</v>
      </c>
      <c r="K245" s="4">
        <v>1</v>
      </c>
      <c r="L245" s="4"/>
    </row>
    <row r="246" spans="1:12">
      <c r="A246" s="4" t="s">
        <v>511</v>
      </c>
      <c r="B246" s="4" t="s">
        <v>520</v>
      </c>
      <c r="C246" s="14" t="s">
        <v>521</v>
      </c>
      <c r="D246" s="13">
        <v>0</v>
      </c>
      <c r="E246" s="4">
        <v>5</v>
      </c>
      <c r="F246" s="4">
        <v>42</v>
      </c>
      <c r="G246" s="4" t="s">
        <v>162</v>
      </c>
      <c r="H246" s="4" t="s">
        <v>14</v>
      </c>
      <c r="I246" s="4">
        <v>2024</v>
      </c>
      <c r="J246" s="4">
        <v>1</v>
      </c>
      <c r="K246" s="4">
        <v>1</v>
      </c>
      <c r="L246" s="4"/>
    </row>
    <row r="247" spans="1:12">
      <c r="A247" s="4" t="s">
        <v>511</v>
      </c>
      <c r="B247" s="4" t="s">
        <v>522</v>
      </c>
      <c r="C247" s="14" t="s">
        <v>523</v>
      </c>
      <c r="D247" s="13">
        <v>0</v>
      </c>
      <c r="E247" s="4">
        <v>6</v>
      </c>
      <c r="F247" s="4">
        <v>42</v>
      </c>
      <c r="G247" s="4" t="s">
        <v>162</v>
      </c>
      <c r="H247" s="4" t="s">
        <v>14</v>
      </c>
      <c r="I247" s="4">
        <v>2024</v>
      </c>
      <c r="J247" s="4">
        <v>1</v>
      </c>
      <c r="K247" s="4">
        <v>1</v>
      </c>
      <c r="L247" s="4"/>
    </row>
    <row r="248" spans="1:12">
      <c r="A248" s="4" t="s">
        <v>511</v>
      </c>
      <c r="B248" s="4" t="s">
        <v>524</v>
      </c>
      <c r="C248" s="14" t="s">
        <v>525</v>
      </c>
      <c r="D248" s="13">
        <v>0</v>
      </c>
      <c r="E248" s="4">
        <v>7</v>
      </c>
      <c r="F248" s="4">
        <v>42</v>
      </c>
      <c r="G248" s="4" t="s">
        <v>162</v>
      </c>
      <c r="H248" s="4" t="s">
        <v>14</v>
      </c>
      <c r="I248" s="4">
        <v>2024</v>
      </c>
      <c r="J248" s="4">
        <v>1</v>
      </c>
      <c r="K248" s="4">
        <v>1</v>
      </c>
      <c r="L248" s="4"/>
    </row>
    <row r="249" spans="1:12">
      <c r="A249" s="4" t="s">
        <v>511</v>
      </c>
      <c r="B249" s="4" t="s">
        <v>526</v>
      </c>
      <c r="C249" s="14" t="s">
        <v>527</v>
      </c>
      <c r="D249" s="13">
        <v>0</v>
      </c>
      <c r="E249" s="4">
        <v>8</v>
      </c>
      <c r="F249" s="4">
        <v>42</v>
      </c>
      <c r="G249" s="4" t="s">
        <v>162</v>
      </c>
      <c r="H249" s="4" t="s">
        <v>14</v>
      </c>
      <c r="I249" s="4">
        <v>2024</v>
      </c>
      <c r="J249" s="4">
        <v>1</v>
      </c>
      <c r="K249" s="4">
        <v>1</v>
      </c>
      <c r="L249" s="4"/>
    </row>
    <row r="250" spans="1:12">
      <c r="A250" s="4" t="s">
        <v>511</v>
      </c>
      <c r="B250" s="4" t="s">
        <v>528</v>
      </c>
      <c r="C250" s="9" t="s">
        <v>529</v>
      </c>
      <c r="D250" s="13">
        <v>1</v>
      </c>
      <c r="E250" s="4">
        <v>9</v>
      </c>
      <c r="F250" s="4">
        <v>42</v>
      </c>
      <c r="G250" s="4" t="s">
        <v>162</v>
      </c>
      <c r="H250" s="4" t="s">
        <v>14</v>
      </c>
      <c r="I250" s="4">
        <v>2024</v>
      </c>
      <c r="J250" s="4">
        <v>1</v>
      </c>
      <c r="K250" s="4">
        <v>1</v>
      </c>
      <c r="L250" s="4"/>
    </row>
    <row r="251" spans="1:12">
      <c r="A251" s="4" t="s">
        <v>511</v>
      </c>
      <c r="B251" s="4" t="s">
        <v>530</v>
      </c>
      <c r="C251" s="14" t="s">
        <v>531</v>
      </c>
      <c r="D251" s="13">
        <v>1</v>
      </c>
      <c r="E251" s="4">
        <v>10</v>
      </c>
      <c r="F251" s="4">
        <v>42</v>
      </c>
      <c r="G251" s="4" t="s">
        <v>162</v>
      </c>
      <c r="H251" s="4" t="s">
        <v>14</v>
      </c>
      <c r="I251" s="4">
        <v>2024</v>
      </c>
      <c r="J251" s="4">
        <v>1</v>
      </c>
      <c r="K251" s="4">
        <v>1</v>
      </c>
      <c r="L251" s="4"/>
    </row>
    <row r="252" spans="1:12">
      <c r="A252" s="4" t="s">
        <v>511</v>
      </c>
      <c r="B252" s="4" t="s">
        <v>532</v>
      </c>
      <c r="C252" s="14" t="s">
        <v>533</v>
      </c>
      <c r="D252" s="13">
        <v>1</v>
      </c>
      <c r="E252" s="4">
        <v>11</v>
      </c>
      <c r="F252" s="4">
        <v>42</v>
      </c>
      <c r="G252" s="4" t="s">
        <v>162</v>
      </c>
      <c r="H252" s="4" t="s">
        <v>14</v>
      </c>
      <c r="I252" s="4">
        <v>2024</v>
      </c>
      <c r="J252" s="4">
        <v>1</v>
      </c>
      <c r="K252" s="4">
        <v>1</v>
      </c>
      <c r="L252" s="4"/>
    </row>
    <row r="253" spans="1:12">
      <c r="A253" s="4" t="s">
        <v>511</v>
      </c>
      <c r="B253" s="4" t="s">
        <v>534</v>
      </c>
      <c r="C253" s="9" t="s">
        <v>535</v>
      </c>
      <c r="D253" s="13">
        <v>0</v>
      </c>
      <c r="E253" s="4">
        <v>12</v>
      </c>
      <c r="F253" s="4">
        <v>42</v>
      </c>
      <c r="G253" s="4" t="s">
        <v>162</v>
      </c>
      <c r="H253" s="4" t="s">
        <v>14</v>
      </c>
      <c r="I253" s="4">
        <v>2024</v>
      </c>
      <c r="J253" s="4">
        <v>1</v>
      </c>
      <c r="K253" s="4">
        <v>1</v>
      </c>
      <c r="L253" s="4"/>
    </row>
    <row r="254" spans="1:12">
      <c r="A254" s="4" t="s">
        <v>511</v>
      </c>
      <c r="B254" s="4" t="s">
        <v>536</v>
      </c>
      <c r="C254" s="14" t="s">
        <v>537</v>
      </c>
      <c r="D254" s="13">
        <v>1</v>
      </c>
      <c r="E254" s="4">
        <v>13</v>
      </c>
      <c r="F254" s="4">
        <v>42</v>
      </c>
      <c r="G254" s="4" t="s">
        <v>162</v>
      </c>
      <c r="H254" s="4" t="s">
        <v>14</v>
      </c>
      <c r="I254" s="4">
        <v>2024</v>
      </c>
      <c r="J254" s="4">
        <v>1</v>
      </c>
      <c r="K254" s="4">
        <v>1</v>
      </c>
      <c r="L254" s="4"/>
    </row>
    <row r="255" spans="1:12">
      <c r="A255" s="4" t="s">
        <v>511</v>
      </c>
      <c r="B255" s="4" t="s">
        <v>538</v>
      </c>
      <c r="C255" s="14" t="s">
        <v>539</v>
      </c>
      <c r="D255" s="13">
        <v>1</v>
      </c>
      <c r="E255" s="4">
        <v>14</v>
      </c>
      <c r="F255" s="4">
        <v>42</v>
      </c>
      <c r="G255" s="4" t="s">
        <v>162</v>
      </c>
      <c r="H255" s="4" t="s">
        <v>14</v>
      </c>
      <c r="I255" s="4">
        <v>2024</v>
      </c>
      <c r="J255" s="4">
        <v>1</v>
      </c>
      <c r="K255" s="4">
        <v>1</v>
      </c>
      <c r="L255" s="4"/>
    </row>
    <row r="256" spans="1:12">
      <c r="A256" s="4" t="s">
        <v>511</v>
      </c>
      <c r="B256" s="4" t="s">
        <v>540</v>
      </c>
      <c r="C256" s="14" t="s">
        <v>541</v>
      </c>
      <c r="D256" s="13">
        <v>0</v>
      </c>
      <c r="E256" s="4">
        <v>15</v>
      </c>
      <c r="F256" s="4">
        <v>42</v>
      </c>
      <c r="G256" s="4" t="s">
        <v>162</v>
      </c>
      <c r="H256" s="4" t="s">
        <v>14</v>
      </c>
      <c r="I256" s="4">
        <v>2024</v>
      </c>
      <c r="J256" s="4">
        <v>1</v>
      </c>
      <c r="K256" s="4">
        <v>1</v>
      </c>
      <c r="L256" s="4"/>
    </row>
    <row r="257" spans="1:12">
      <c r="A257" s="4" t="s">
        <v>511</v>
      </c>
      <c r="B257" s="4" t="s">
        <v>542</v>
      </c>
      <c r="C257" s="14" t="s">
        <v>541</v>
      </c>
      <c r="D257" s="13">
        <v>1</v>
      </c>
      <c r="E257" s="4">
        <v>16</v>
      </c>
      <c r="F257" s="4">
        <v>42</v>
      </c>
      <c r="G257" s="4" t="s">
        <v>162</v>
      </c>
      <c r="H257" s="4" t="s">
        <v>14</v>
      </c>
      <c r="I257" s="4">
        <v>2024</v>
      </c>
      <c r="J257" s="4">
        <v>1</v>
      </c>
      <c r="K257" s="4">
        <v>1</v>
      </c>
      <c r="L257" s="4"/>
    </row>
    <row r="258" spans="1:12">
      <c r="A258" s="4" t="s">
        <v>511</v>
      </c>
      <c r="B258" s="4" t="s">
        <v>543</v>
      </c>
      <c r="C258" s="14" t="s">
        <v>544</v>
      </c>
      <c r="D258" s="13">
        <v>0</v>
      </c>
      <c r="E258" s="4">
        <v>17</v>
      </c>
      <c r="F258" s="4">
        <v>42</v>
      </c>
      <c r="G258" s="4" t="s">
        <v>162</v>
      </c>
      <c r="H258" s="4" t="s">
        <v>14</v>
      </c>
      <c r="I258" s="4">
        <v>2024</v>
      </c>
      <c r="J258" s="4">
        <v>1</v>
      </c>
      <c r="K258" s="4">
        <v>1</v>
      </c>
      <c r="L258" s="4"/>
    </row>
    <row r="259" spans="1:12">
      <c r="A259" s="4" t="s">
        <v>511</v>
      </c>
      <c r="B259" s="4" t="s">
        <v>545</v>
      </c>
      <c r="C259" s="14" t="s">
        <v>546</v>
      </c>
      <c r="D259" s="13">
        <v>0</v>
      </c>
      <c r="E259" s="4">
        <v>18</v>
      </c>
      <c r="F259" s="4">
        <v>42</v>
      </c>
      <c r="G259" s="4" t="s">
        <v>162</v>
      </c>
      <c r="H259" s="4" t="s">
        <v>14</v>
      </c>
      <c r="I259" s="4">
        <v>2024</v>
      </c>
      <c r="J259" s="4">
        <v>1</v>
      </c>
      <c r="K259" s="4">
        <v>1</v>
      </c>
      <c r="L259" s="4"/>
    </row>
    <row r="260" spans="1:12">
      <c r="A260" s="4" t="s">
        <v>511</v>
      </c>
      <c r="B260" s="4" t="s">
        <v>547</v>
      </c>
      <c r="C260" s="14" t="s">
        <v>548</v>
      </c>
      <c r="D260" s="13">
        <v>0</v>
      </c>
      <c r="E260" s="4">
        <v>19</v>
      </c>
      <c r="F260" s="4">
        <v>42</v>
      </c>
      <c r="G260" s="4" t="s">
        <v>162</v>
      </c>
      <c r="H260" s="4" t="s">
        <v>14</v>
      </c>
      <c r="I260" s="4">
        <v>2024</v>
      </c>
      <c r="J260" s="4">
        <v>1</v>
      </c>
      <c r="K260" s="4">
        <v>1</v>
      </c>
      <c r="L260" s="4"/>
    </row>
    <row r="261" spans="1:12">
      <c r="A261" s="4" t="s">
        <v>511</v>
      </c>
      <c r="B261" s="4" t="s">
        <v>549</v>
      </c>
      <c r="C261" s="14" t="s">
        <v>550</v>
      </c>
      <c r="D261" s="13">
        <v>0</v>
      </c>
      <c r="E261" s="4">
        <v>20</v>
      </c>
      <c r="F261" s="4">
        <v>42</v>
      </c>
      <c r="G261" s="4" t="s">
        <v>162</v>
      </c>
      <c r="H261" s="4" t="s">
        <v>14</v>
      </c>
      <c r="I261" s="4">
        <v>2024</v>
      </c>
      <c r="J261" s="4">
        <v>1</v>
      </c>
      <c r="K261" s="4">
        <v>1</v>
      </c>
      <c r="L261" s="4"/>
    </row>
    <row r="262" spans="1:12">
      <c r="A262" s="4" t="s">
        <v>511</v>
      </c>
      <c r="B262" s="4" t="s">
        <v>551</v>
      </c>
      <c r="C262" s="14" t="s">
        <v>552</v>
      </c>
      <c r="D262" s="13">
        <v>1</v>
      </c>
      <c r="E262" s="4">
        <v>21</v>
      </c>
      <c r="F262" s="4">
        <v>42</v>
      </c>
      <c r="G262" s="4" t="s">
        <v>162</v>
      </c>
      <c r="H262" s="4" t="s">
        <v>14</v>
      </c>
      <c r="I262" s="4">
        <v>2024</v>
      </c>
      <c r="J262" s="4">
        <v>1</v>
      </c>
      <c r="K262" s="4">
        <v>1</v>
      </c>
      <c r="L262" s="4"/>
    </row>
    <row r="263" spans="1:12">
      <c r="A263" s="4" t="s">
        <v>511</v>
      </c>
      <c r="B263" s="4" t="s">
        <v>553</v>
      </c>
      <c r="C263" s="14" t="s">
        <v>554</v>
      </c>
      <c r="D263" s="13">
        <v>0</v>
      </c>
      <c r="E263" s="4">
        <v>22</v>
      </c>
      <c r="F263" s="4">
        <v>42</v>
      </c>
      <c r="G263" s="4" t="s">
        <v>162</v>
      </c>
      <c r="H263" s="4" t="s">
        <v>14</v>
      </c>
      <c r="I263" s="4">
        <v>2024</v>
      </c>
      <c r="J263" s="4">
        <v>1</v>
      </c>
      <c r="K263" s="4">
        <v>1</v>
      </c>
      <c r="L263" s="4"/>
    </row>
    <row r="264" spans="1:12">
      <c r="A264" s="4" t="s">
        <v>511</v>
      </c>
      <c r="B264" s="4" t="s">
        <v>555</v>
      </c>
      <c r="C264" s="9" t="s">
        <v>556</v>
      </c>
      <c r="D264" s="13">
        <v>0</v>
      </c>
      <c r="E264" s="4">
        <v>23</v>
      </c>
      <c r="F264" s="4">
        <v>42</v>
      </c>
      <c r="G264" s="4" t="s">
        <v>162</v>
      </c>
      <c r="H264" s="4" t="s">
        <v>14</v>
      </c>
      <c r="I264" s="4">
        <v>2024</v>
      </c>
      <c r="J264" s="4">
        <v>1</v>
      </c>
      <c r="K264" s="4">
        <v>1</v>
      </c>
      <c r="L264" s="4"/>
    </row>
    <row r="265" spans="1:12">
      <c r="A265" s="4" t="s">
        <v>511</v>
      </c>
      <c r="B265" s="4" t="s">
        <v>557</v>
      </c>
      <c r="C265" s="14" t="s">
        <v>558</v>
      </c>
      <c r="D265" s="13">
        <v>0</v>
      </c>
      <c r="E265" s="4">
        <v>24</v>
      </c>
      <c r="F265" s="4">
        <v>42</v>
      </c>
      <c r="G265" s="4" t="s">
        <v>162</v>
      </c>
      <c r="H265" s="4" t="s">
        <v>14</v>
      </c>
      <c r="I265" s="4">
        <v>2024</v>
      </c>
      <c r="J265" s="4">
        <v>1</v>
      </c>
      <c r="K265" s="4">
        <v>1</v>
      </c>
      <c r="L265" s="4"/>
    </row>
    <row r="266" spans="1:12">
      <c r="A266" s="4" t="s">
        <v>511</v>
      </c>
      <c r="B266" s="4" t="s">
        <v>559</v>
      </c>
      <c r="C266" s="14" t="s">
        <v>478</v>
      </c>
      <c r="D266" s="13">
        <v>0</v>
      </c>
      <c r="E266" s="4">
        <v>25</v>
      </c>
      <c r="F266" s="4">
        <v>42</v>
      </c>
      <c r="G266" s="4" t="s">
        <v>162</v>
      </c>
      <c r="H266" s="4" t="s">
        <v>14</v>
      </c>
      <c r="I266" s="4">
        <v>2024</v>
      </c>
      <c r="J266" s="4">
        <v>1</v>
      </c>
      <c r="K266" s="4">
        <v>1</v>
      </c>
      <c r="L266" s="4"/>
    </row>
    <row r="267" spans="1:12">
      <c r="A267" s="4" t="s">
        <v>511</v>
      </c>
      <c r="B267" s="4" t="s">
        <v>560</v>
      </c>
      <c r="C267" s="14" t="s">
        <v>561</v>
      </c>
      <c r="D267" s="13">
        <v>0</v>
      </c>
      <c r="E267" s="4">
        <v>26</v>
      </c>
      <c r="F267" s="4">
        <v>42</v>
      </c>
      <c r="G267" s="4" t="s">
        <v>162</v>
      </c>
      <c r="H267" s="4" t="s">
        <v>14</v>
      </c>
      <c r="I267" s="4">
        <v>2024</v>
      </c>
      <c r="J267" s="4">
        <v>1</v>
      </c>
      <c r="K267" s="4">
        <v>1</v>
      </c>
      <c r="L267" s="4"/>
    </row>
    <row r="268" spans="1:12">
      <c r="A268" s="4" t="s">
        <v>511</v>
      </c>
      <c r="B268" s="4" t="s">
        <v>562</v>
      </c>
      <c r="C268" s="14" t="s">
        <v>563</v>
      </c>
      <c r="D268" s="13">
        <v>0</v>
      </c>
      <c r="E268" s="4">
        <v>27</v>
      </c>
      <c r="F268" s="4">
        <v>42</v>
      </c>
      <c r="G268" s="4" t="s">
        <v>162</v>
      </c>
      <c r="H268" s="4" t="s">
        <v>14</v>
      </c>
      <c r="I268" s="4">
        <v>2024</v>
      </c>
      <c r="J268" s="4">
        <v>1</v>
      </c>
      <c r="K268" s="4">
        <v>1</v>
      </c>
      <c r="L268" s="4"/>
    </row>
    <row r="269" spans="1:12">
      <c r="A269" s="4" t="s">
        <v>511</v>
      </c>
      <c r="B269" s="4" t="s">
        <v>564</v>
      </c>
      <c r="C269" s="14" t="s">
        <v>482</v>
      </c>
      <c r="D269" s="13">
        <v>1</v>
      </c>
      <c r="E269" s="4">
        <v>28</v>
      </c>
      <c r="F269" s="4">
        <v>42</v>
      </c>
      <c r="G269" s="4" t="s">
        <v>162</v>
      </c>
      <c r="H269" s="4" t="s">
        <v>14</v>
      </c>
      <c r="I269" s="4">
        <v>2024</v>
      </c>
      <c r="J269" s="4">
        <v>1</v>
      </c>
      <c r="K269" s="4">
        <v>1</v>
      </c>
      <c r="L269" s="4"/>
    </row>
    <row r="270" spans="1:12">
      <c r="A270" s="4" t="s">
        <v>511</v>
      </c>
      <c r="B270" s="4" t="s">
        <v>565</v>
      </c>
      <c r="C270" s="14" t="s">
        <v>566</v>
      </c>
      <c r="D270" s="13">
        <v>1</v>
      </c>
      <c r="E270" s="4">
        <v>29</v>
      </c>
      <c r="F270" s="4">
        <v>42</v>
      </c>
      <c r="G270" s="4" t="s">
        <v>162</v>
      </c>
      <c r="H270" s="4" t="s">
        <v>14</v>
      </c>
      <c r="I270" s="4">
        <v>2024</v>
      </c>
      <c r="J270" s="4">
        <v>1</v>
      </c>
      <c r="K270" s="4">
        <v>1</v>
      </c>
      <c r="L270" s="4"/>
    </row>
    <row r="271" spans="1:12">
      <c r="A271" s="4" t="s">
        <v>511</v>
      </c>
      <c r="B271" s="4" t="s">
        <v>567</v>
      </c>
      <c r="C271" s="14" t="s">
        <v>568</v>
      </c>
      <c r="D271" s="13">
        <v>1</v>
      </c>
      <c r="E271" s="4">
        <v>30</v>
      </c>
      <c r="F271" s="4">
        <v>42</v>
      </c>
      <c r="G271" s="4" t="s">
        <v>162</v>
      </c>
      <c r="H271" s="4" t="s">
        <v>14</v>
      </c>
      <c r="I271" s="4">
        <v>2024</v>
      </c>
      <c r="J271" s="4">
        <v>1</v>
      </c>
      <c r="K271" s="4">
        <v>1</v>
      </c>
      <c r="L271" s="4"/>
    </row>
    <row r="272" spans="1:12">
      <c r="A272" s="4" t="s">
        <v>511</v>
      </c>
      <c r="B272" s="4" t="s">
        <v>569</v>
      </c>
      <c r="C272" s="14" t="s">
        <v>570</v>
      </c>
      <c r="D272" s="13">
        <v>1</v>
      </c>
      <c r="E272" s="4">
        <v>31</v>
      </c>
      <c r="F272" s="4">
        <v>42</v>
      </c>
      <c r="G272" s="4" t="s">
        <v>162</v>
      </c>
      <c r="H272" s="4" t="s">
        <v>14</v>
      </c>
      <c r="I272" s="4">
        <v>2024</v>
      </c>
      <c r="J272" s="4">
        <v>1</v>
      </c>
      <c r="K272" s="4">
        <v>1</v>
      </c>
      <c r="L272" s="4"/>
    </row>
    <row r="273" spans="1:12">
      <c r="A273" s="4" t="s">
        <v>511</v>
      </c>
      <c r="B273" s="4" t="s">
        <v>571</v>
      </c>
      <c r="C273" s="14" t="s">
        <v>496</v>
      </c>
      <c r="D273" s="13">
        <v>0</v>
      </c>
      <c r="E273" s="4">
        <v>32</v>
      </c>
      <c r="F273" s="4">
        <v>42</v>
      </c>
      <c r="G273" s="4" t="s">
        <v>162</v>
      </c>
      <c r="H273" s="4" t="s">
        <v>14</v>
      </c>
      <c r="I273" s="4">
        <v>2024</v>
      </c>
      <c r="J273" s="4">
        <v>1</v>
      </c>
      <c r="K273" s="4">
        <v>1</v>
      </c>
      <c r="L273" s="4"/>
    </row>
    <row r="274" spans="1:12">
      <c r="A274" s="4" t="s">
        <v>511</v>
      </c>
      <c r="B274" s="4" t="s">
        <v>572</v>
      </c>
      <c r="C274" s="14" t="s">
        <v>573</v>
      </c>
      <c r="D274" s="13">
        <v>0</v>
      </c>
      <c r="E274" s="4">
        <v>33</v>
      </c>
      <c r="F274" s="4">
        <v>42</v>
      </c>
      <c r="G274" s="4" t="s">
        <v>162</v>
      </c>
      <c r="H274" s="4" t="s">
        <v>14</v>
      </c>
      <c r="I274" s="4">
        <v>2024</v>
      </c>
      <c r="J274" s="4">
        <v>1</v>
      </c>
      <c r="K274" s="4">
        <v>1</v>
      </c>
      <c r="L274" s="4"/>
    </row>
    <row r="275" spans="1:12">
      <c r="A275" s="4" t="s">
        <v>511</v>
      </c>
      <c r="B275" s="4" t="s">
        <v>574</v>
      </c>
      <c r="C275" s="14" t="s">
        <v>575</v>
      </c>
      <c r="D275" s="13">
        <v>1</v>
      </c>
      <c r="E275" s="4">
        <v>34</v>
      </c>
      <c r="F275" s="4">
        <v>42</v>
      </c>
      <c r="G275" s="4" t="s">
        <v>162</v>
      </c>
      <c r="H275" s="4" t="s">
        <v>14</v>
      </c>
      <c r="I275" s="4">
        <v>2024</v>
      </c>
      <c r="J275" s="4">
        <v>1</v>
      </c>
      <c r="K275" s="4">
        <v>1</v>
      </c>
      <c r="L275" s="4"/>
    </row>
    <row r="276" spans="1:12">
      <c r="A276" s="4" t="s">
        <v>511</v>
      </c>
      <c r="B276" s="4" t="s">
        <v>576</v>
      </c>
      <c r="C276" s="14" t="s">
        <v>502</v>
      </c>
      <c r="D276" s="13">
        <v>0</v>
      </c>
      <c r="E276" s="4">
        <v>35</v>
      </c>
      <c r="F276" s="4">
        <v>42</v>
      </c>
      <c r="G276" s="4" t="s">
        <v>162</v>
      </c>
      <c r="H276" s="4" t="s">
        <v>14</v>
      </c>
      <c r="I276" s="4">
        <v>2024</v>
      </c>
      <c r="J276" s="4">
        <v>1</v>
      </c>
      <c r="K276" s="4">
        <v>1</v>
      </c>
      <c r="L276" s="4"/>
    </row>
    <row r="277" spans="1:12">
      <c r="A277" s="4" t="s">
        <v>511</v>
      </c>
      <c r="B277" s="4" t="s">
        <v>577</v>
      </c>
      <c r="C277" s="14" t="s">
        <v>578</v>
      </c>
      <c r="D277" s="13">
        <v>0</v>
      </c>
      <c r="E277" s="4">
        <v>36</v>
      </c>
      <c r="F277" s="4">
        <v>42</v>
      </c>
      <c r="G277" s="4" t="s">
        <v>162</v>
      </c>
      <c r="H277" s="4" t="s">
        <v>14</v>
      </c>
      <c r="I277" s="4">
        <v>2024</v>
      </c>
      <c r="J277" s="4">
        <v>1</v>
      </c>
      <c r="K277" s="4">
        <v>1</v>
      </c>
      <c r="L277" s="4"/>
    </row>
    <row r="278" spans="1:12">
      <c r="A278" s="4" t="s">
        <v>511</v>
      </c>
      <c r="B278" s="4" t="s">
        <v>579</v>
      </c>
      <c r="C278" s="9" t="s">
        <v>580</v>
      </c>
      <c r="D278" s="13">
        <v>0</v>
      </c>
      <c r="E278" s="4">
        <v>37</v>
      </c>
      <c r="F278" s="4">
        <v>42</v>
      </c>
      <c r="G278" s="4" t="s">
        <v>162</v>
      </c>
      <c r="H278" s="4" t="s">
        <v>14</v>
      </c>
      <c r="I278" s="4">
        <v>2024</v>
      </c>
      <c r="J278" s="4">
        <v>1</v>
      </c>
      <c r="K278" s="4">
        <v>1</v>
      </c>
      <c r="L278" s="4"/>
    </row>
    <row r="279" spans="1:12">
      <c r="A279" s="4" t="s">
        <v>511</v>
      </c>
      <c r="B279" s="4" t="s">
        <v>581</v>
      </c>
      <c r="C279" s="14" t="s">
        <v>582</v>
      </c>
      <c r="D279" s="13">
        <v>0</v>
      </c>
      <c r="E279" s="4">
        <v>38</v>
      </c>
      <c r="F279" s="4">
        <v>42</v>
      </c>
      <c r="G279" s="4" t="s">
        <v>162</v>
      </c>
      <c r="H279" s="4" t="s">
        <v>14</v>
      </c>
      <c r="I279" s="4">
        <v>2024</v>
      </c>
      <c r="J279" s="4">
        <v>1</v>
      </c>
      <c r="K279" s="4">
        <v>1</v>
      </c>
      <c r="L279" s="4"/>
    </row>
    <row r="280" spans="1:12">
      <c r="A280" s="4" t="s">
        <v>511</v>
      </c>
      <c r="B280" s="4" t="s">
        <v>583</v>
      </c>
      <c r="C280" s="14" t="s">
        <v>504</v>
      </c>
      <c r="D280" s="13">
        <v>0</v>
      </c>
      <c r="E280" s="4">
        <v>39</v>
      </c>
      <c r="F280" s="4">
        <v>42</v>
      </c>
      <c r="G280" s="4" t="s">
        <v>162</v>
      </c>
      <c r="H280" s="4" t="s">
        <v>14</v>
      </c>
      <c r="I280" s="4">
        <v>2024</v>
      </c>
      <c r="J280" s="4">
        <v>1</v>
      </c>
      <c r="K280" s="4">
        <v>1</v>
      </c>
      <c r="L280" s="4"/>
    </row>
    <row r="281" spans="1:12">
      <c r="A281" s="4" t="s">
        <v>511</v>
      </c>
      <c r="B281" s="4" t="s">
        <v>584</v>
      </c>
      <c r="C281" s="14" t="s">
        <v>585</v>
      </c>
      <c r="D281" s="13">
        <v>0</v>
      </c>
      <c r="E281" s="4">
        <v>40</v>
      </c>
      <c r="F281" s="4">
        <v>42</v>
      </c>
      <c r="G281" s="4" t="s">
        <v>162</v>
      </c>
      <c r="H281" s="4" t="s">
        <v>14</v>
      </c>
      <c r="I281" s="4">
        <v>2024</v>
      </c>
      <c r="J281" s="4">
        <v>1</v>
      </c>
      <c r="K281" s="4">
        <v>1</v>
      </c>
      <c r="L281" s="4"/>
    </row>
    <row r="282" spans="1:12">
      <c r="A282" s="4" t="s">
        <v>511</v>
      </c>
      <c r="B282" s="4" t="s">
        <v>586</v>
      </c>
      <c r="C282" s="14" t="s">
        <v>508</v>
      </c>
      <c r="D282" s="13">
        <v>0</v>
      </c>
      <c r="E282" s="4">
        <v>41</v>
      </c>
      <c r="F282" s="4">
        <v>42</v>
      </c>
      <c r="G282" s="4" t="s">
        <v>162</v>
      </c>
      <c r="H282" s="4" t="s">
        <v>14</v>
      </c>
      <c r="I282" s="4">
        <v>2024</v>
      </c>
      <c r="J282" s="4">
        <v>1</v>
      </c>
      <c r="K282" s="4">
        <v>1</v>
      </c>
      <c r="L282" s="4"/>
    </row>
    <row r="283" spans="1:12">
      <c r="A283" s="4" t="s">
        <v>511</v>
      </c>
      <c r="B283" s="4" t="s">
        <v>587</v>
      </c>
      <c r="C283" s="14" t="s">
        <v>588</v>
      </c>
      <c r="D283" s="13">
        <v>0</v>
      </c>
      <c r="E283" s="4">
        <v>42</v>
      </c>
      <c r="F283" s="4">
        <v>42</v>
      </c>
      <c r="G283" s="4" t="s">
        <v>162</v>
      </c>
      <c r="H283" s="4" t="s">
        <v>14</v>
      </c>
      <c r="I283" s="4">
        <v>2024</v>
      </c>
      <c r="J283" s="4">
        <v>1</v>
      </c>
      <c r="K283" s="4">
        <v>1</v>
      </c>
      <c r="L283" s="4"/>
    </row>
    <row r="284" spans="1:12">
      <c r="A284" s="4" t="s">
        <v>589</v>
      </c>
      <c r="B284" s="4" t="s">
        <v>590</v>
      </c>
      <c r="C284" s="9" t="s">
        <v>591</v>
      </c>
      <c r="D284" s="13">
        <v>1</v>
      </c>
      <c r="E284" s="4">
        <v>1</v>
      </c>
      <c r="F284" s="4">
        <v>46</v>
      </c>
      <c r="G284" s="4" t="s">
        <v>162</v>
      </c>
      <c r="H284" s="4" t="s">
        <v>14</v>
      </c>
      <c r="I284" s="4">
        <v>2025</v>
      </c>
      <c r="J284" s="4">
        <v>1</v>
      </c>
      <c r="K284" s="4">
        <v>1</v>
      </c>
      <c r="L284" s="4"/>
    </row>
    <row r="285" spans="1:12">
      <c r="A285" s="4" t="s">
        <v>589</v>
      </c>
      <c r="B285" s="4" t="s">
        <v>592</v>
      </c>
      <c r="C285" s="14" t="s">
        <v>593</v>
      </c>
      <c r="D285" s="13">
        <v>0</v>
      </c>
      <c r="E285" s="4">
        <v>1</v>
      </c>
      <c r="F285" s="4">
        <v>46</v>
      </c>
      <c r="G285" s="4" t="s">
        <v>162</v>
      </c>
      <c r="H285" s="4" t="s">
        <v>14</v>
      </c>
      <c r="I285" s="4">
        <v>2025</v>
      </c>
      <c r="J285" s="4">
        <v>1</v>
      </c>
      <c r="K285" s="4">
        <v>1</v>
      </c>
      <c r="L285" s="4"/>
    </row>
    <row r="286" spans="1:12">
      <c r="A286" s="4" t="s">
        <v>589</v>
      </c>
      <c r="B286" s="4" t="s">
        <v>594</v>
      </c>
      <c r="C286" s="14" t="s">
        <v>595</v>
      </c>
      <c r="D286" s="13">
        <v>0</v>
      </c>
      <c r="E286" s="4">
        <v>1</v>
      </c>
      <c r="F286" s="4">
        <v>46</v>
      </c>
      <c r="G286" s="4" t="s">
        <v>162</v>
      </c>
      <c r="H286" s="4" t="s">
        <v>14</v>
      </c>
      <c r="I286" s="4">
        <v>2025</v>
      </c>
      <c r="J286" s="4">
        <v>1</v>
      </c>
      <c r="K286" s="4">
        <v>1</v>
      </c>
      <c r="L286" s="4"/>
    </row>
    <row r="287" spans="1:12">
      <c r="A287" s="4" t="s">
        <v>589</v>
      </c>
      <c r="B287" s="4" t="s">
        <v>596</v>
      </c>
      <c r="C287" s="14" t="s">
        <v>597</v>
      </c>
      <c r="D287" s="13">
        <v>1</v>
      </c>
      <c r="E287" s="4">
        <v>1</v>
      </c>
      <c r="F287" s="4">
        <v>46</v>
      </c>
      <c r="G287" s="4" t="s">
        <v>162</v>
      </c>
      <c r="H287" s="4" t="s">
        <v>14</v>
      </c>
      <c r="I287" s="4">
        <v>2025</v>
      </c>
      <c r="J287" s="4">
        <v>1</v>
      </c>
      <c r="K287" s="4">
        <v>1</v>
      </c>
      <c r="L287" s="4"/>
    </row>
    <row r="288" spans="1:12">
      <c r="A288" s="4" t="s">
        <v>589</v>
      </c>
      <c r="B288" s="4" t="s">
        <v>598</v>
      </c>
      <c r="C288" s="14" t="s">
        <v>599</v>
      </c>
      <c r="D288" s="13">
        <v>1</v>
      </c>
      <c r="E288" s="4">
        <v>1</v>
      </c>
      <c r="F288" s="4">
        <v>46</v>
      </c>
      <c r="G288" s="4" t="s">
        <v>162</v>
      </c>
      <c r="H288" s="4" t="s">
        <v>14</v>
      </c>
      <c r="I288" s="4">
        <v>2025</v>
      </c>
      <c r="J288" s="4">
        <v>1</v>
      </c>
      <c r="K288" s="4">
        <v>1</v>
      </c>
      <c r="L288" s="4"/>
    </row>
    <row r="289" spans="1:12">
      <c r="A289" s="4" t="s">
        <v>589</v>
      </c>
      <c r="B289" s="4" t="s">
        <v>600</v>
      </c>
      <c r="C289" s="14" t="s">
        <v>601</v>
      </c>
      <c r="D289" s="13">
        <v>1</v>
      </c>
      <c r="E289" s="4">
        <v>1</v>
      </c>
      <c r="F289" s="4">
        <v>46</v>
      </c>
      <c r="G289" s="4" t="s">
        <v>162</v>
      </c>
      <c r="H289" s="4" t="s">
        <v>14</v>
      </c>
      <c r="I289" s="4">
        <v>2025</v>
      </c>
      <c r="J289" s="4">
        <v>1</v>
      </c>
      <c r="K289" s="4">
        <v>1</v>
      </c>
      <c r="L289" s="4"/>
    </row>
    <row r="290" spans="1:12">
      <c r="A290" s="4" t="s">
        <v>589</v>
      </c>
      <c r="B290" s="4" t="s">
        <v>602</v>
      </c>
      <c r="C290" s="14" t="s">
        <v>603</v>
      </c>
      <c r="D290" s="13">
        <v>0</v>
      </c>
      <c r="E290" s="4">
        <v>1</v>
      </c>
      <c r="F290" s="4">
        <v>46</v>
      </c>
      <c r="G290" s="4" t="s">
        <v>162</v>
      </c>
      <c r="H290" s="4" t="s">
        <v>14</v>
      </c>
      <c r="I290" s="4">
        <v>2025</v>
      </c>
      <c r="J290" s="4">
        <v>1</v>
      </c>
      <c r="K290" s="4">
        <v>1</v>
      </c>
      <c r="L290" s="4"/>
    </row>
    <row r="291" spans="1:12">
      <c r="A291" s="4" t="s">
        <v>589</v>
      </c>
      <c r="B291" s="4" t="s">
        <v>604</v>
      </c>
      <c r="C291" s="14" t="s">
        <v>605</v>
      </c>
      <c r="D291" s="13">
        <v>0</v>
      </c>
      <c r="E291" s="4">
        <v>1</v>
      </c>
      <c r="F291" s="4">
        <v>46</v>
      </c>
      <c r="G291" s="4" t="s">
        <v>162</v>
      </c>
      <c r="H291" s="4" t="s">
        <v>14</v>
      </c>
      <c r="I291" s="4">
        <v>2025</v>
      </c>
      <c r="J291" s="4">
        <v>1</v>
      </c>
      <c r="K291" s="4">
        <v>1</v>
      </c>
      <c r="L291" s="4"/>
    </row>
    <row r="292" spans="1:12">
      <c r="A292" s="4" t="s">
        <v>589</v>
      </c>
      <c r="B292" s="4" t="s">
        <v>606</v>
      </c>
      <c r="C292" s="14" t="s">
        <v>607</v>
      </c>
      <c r="D292" s="13">
        <v>0</v>
      </c>
      <c r="E292" s="4">
        <v>1</v>
      </c>
      <c r="F292" s="4">
        <v>46</v>
      </c>
      <c r="G292" s="4" t="s">
        <v>162</v>
      </c>
      <c r="H292" s="4" t="s">
        <v>14</v>
      </c>
      <c r="I292" s="4">
        <v>2025</v>
      </c>
      <c r="J292" s="4">
        <v>1</v>
      </c>
      <c r="K292" s="4">
        <v>1</v>
      </c>
      <c r="L292" s="4"/>
    </row>
    <row r="293" spans="1:12">
      <c r="A293" s="4" t="s">
        <v>589</v>
      </c>
      <c r="B293" s="4" t="s">
        <v>608</v>
      </c>
      <c r="C293" s="14" t="s">
        <v>609</v>
      </c>
      <c r="D293" s="13">
        <v>0</v>
      </c>
      <c r="E293" s="4">
        <v>1</v>
      </c>
      <c r="F293" s="4">
        <v>46</v>
      </c>
      <c r="G293" s="4" t="s">
        <v>162</v>
      </c>
      <c r="H293" s="4" t="s">
        <v>14</v>
      </c>
      <c r="I293" s="4">
        <v>2025</v>
      </c>
      <c r="J293" s="4">
        <v>1</v>
      </c>
      <c r="K293" s="4">
        <v>1</v>
      </c>
      <c r="L293" s="4"/>
    </row>
    <row r="294" spans="1:12">
      <c r="A294" s="4" t="s">
        <v>589</v>
      </c>
      <c r="B294" s="4" t="s">
        <v>610</v>
      </c>
      <c r="C294" s="14" t="s">
        <v>611</v>
      </c>
      <c r="D294" s="13">
        <v>0</v>
      </c>
      <c r="E294" s="4">
        <v>1</v>
      </c>
      <c r="F294" s="4">
        <v>46</v>
      </c>
      <c r="G294" s="4" t="s">
        <v>162</v>
      </c>
      <c r="H294" s="4" t="s">
        <v>14</v>
      </c>
      <c r="I294" s="4">
        <v>2025</v>
      </c>
      <c r="J294" s="4">
        <v>1</v>
      </c>
      <c r="K294" s="4">
        <v>1</v>
      </c>
      <c r="L294" s="4"/>
    </row>
    <row r="295" spans="1:12">
      <c r="A295" s="4" t="s">
        <v>589</v>
      </c>
      <c r="B295" s="4" t="s">
        <v>612</v>
      </c>
      <c r="C295" s="14" t="s">
        <v>613</v>
      </c>
      <c r="D295" s="13">
        <v>1</v>
      </c>
      <c r="E295" s="4">
        <v>1</v>
      </c>
      <c r="F295" s="4">
        <v>46</v>
      </c>
      <c r="G295" s="4" t="s">
        <v>162</v>
      </c>
      <c r="H295" s="4" t="s">
        <v>14</v>
      </c>
      <c r="I295" s="4">
        <v>2025</v>
      </c>
      <c r="J295" s="4">
        <v>1</v>
      </c>
      <c r="K295" s="4">
        <v>1</v>
      </c>
      <c r="L295" s="4"/>
    </row>
    <row r="296" spans="1:12">
      <c r="A296" s="4" t="s">
        <v>589</v>
      </c>
      <c r="B296" s="4" t="s">
        <v>614</v>
      </c>
      <c r="C296" s="14" t="s">
        <v>615</v>
      </c>
      <c r="D296" s="13">
        <v>1</v>
      </c>
      <c r="E296" s="4">
        <v>1</v>
      </c>
      <c r="F296" s="4">
        <v>46</v>
      </c>
      <c r="G296" s="4" t="s">
        <v>162</v>
      </c>
      <c r="H296" s="4" t="s">
        <v>14</v>
      </c>
      <c r="I296" s="4">
        <v>2025</v>
      </c>
      <c r="J296" s="4">
        <v>1</v>
      </c>
      <c r="K296" s="4">
        <v>1</v>
      </c>
      <c r="L296" s="4"/>
    </row>
    <row r="297" spans="1:12">
      <c r="A297" s="4" t="s">
        <v>589</v>
      </c>
      <c r="B297" s="4" t="s">
        <v>616</v>
      </c>
      <c r="C297" s="14" t="s">
        <v>617</v>
      </c>
      <c r="D297" s="13">
        <v>1</v>
      </c>
      <c r="E297" s="4">
        <v>1</v>
      </c>
      <c r="F297" s="4">
        <v>46</v>
      </c>
      <c r="G297" s="4" t="s">
        <v>162</v>
      </c>
      <c r="H297" s="4" t="s">
        <v>14</v>
      </c>
      <c r="I297" s="4">
        <v>2025</v>
      </c>
      <c r="J297" s="4">
        <v>1</v>
      </c>
      <c r="K297" s="4">
        <v>1</v>
      </c>
      <c r="L297" s="4"/>
    </row>
    <row r="298" spans="1:12">
      <c r="A298" s="4" t="s">
        <v>589</v>
      </c>
      <c r="B298" s="4" t="s">
        <v>618</v>
      </c>
      <c r="C298" s="9" t="s">
        <v>619</v>
      </c>
      <c r="D298" s="13">
        <v>1</v>
      </c>
      <c r="E298" s="4">
        <v>1</v>
      </c>
      <c r="F298" s="4">
        <v>46</v>
      </c>
      <c r="G298" s="4" t="s">
        <v>162</v>
      </c>
      <c r="H298" s="4" t="s">
        <v>14</v>
      </c>
      <c r="I298" s="4">
        <v>2025</v>
      </c>
      <c r="J298" s="4">
        <v>1</v>
      </c>
      <c r="K298" s="4">
        <v>1</v>
      </c>
      <c r="L298" s="4"/>
    </row>
    <row r="299" spans="1:12">
      <c r="A299" s="4" t="s">
        <v>589</v>
      </c>
      <c r="B299" s="4" t="s">
        <v>620</v>
      </c>
      <c r="C299" s="9" t="s">
        <v>621</v>
      </c>
      <c r="D299" s="13">
        <v>0</v>
      </c>
      <c r="E299" s="4">
        <v>1</v>
      </c>
      <c r="F299" s="4">
        <v>46</v>
      </c>
      <c r="G299" s="4" t="s">
        <v>162</v>
      </c>
      <c r="H299" s="4" t="s">
        <v>14</v>
      </c>
      <c r="I299" s="4">
        <v>2025</v>
      </c>
      <c r="J299" s="4">
        <v>1</v>
      </c>
      <c r="K299" s="4">
        <v>1</v>
      </c>
      <c r="L299" s="4"/>
    </row>
    <row r="300" spans="1:12">
      <c r="A300" s="4" t="s">
        <v>589</v>
      </c>
      <c r="B300" s="4" t="s">
        <v>622</v>
      </c>
      <c r="C300" s="9" t="s">
        <v>623</v>
      </c>
      <c r="D300" s="13">
        <v>0</v>
      </c>
      <c r="E300" s="4">
        <v>1</v>
      </c>
      <c r="F300" s="4">
        <v>46</v>
      </c>
      <c r="G300" s="4" t="s">
        <v>162</v>
      </c>
      <c r="H300" s="4" t="s">
        <v>14</v>
      </c>
      <c r="I300" s="4">
        <v>2025</v>
      </c>
      <c r="J300" s="4">
        <v>1</v>
      </c>
      <c r="K300" s="4">
        <v>1</v>
      </c>
      <c r="L300" s="4"/>
    </row>
    <row r="301" spans="1:12">
      <c r="A301" s="4" t="s">
        <v>589</v>
      </c>
      <c r="B301" s="4" t="s">
        <v>624</v>
      </c>
      <c r="C301" s="9" t="s">
        <v>625</v>
      </c>
      <c r="D301" s="13">
        <v>0</v>
      </c>
      <c r="E301" s="4">
        <v>1</v>
      </c>
      <c r="F301" s="4">
        <v>46</v>
      </c>
      <c r="G301" s="4" t="s">
        <v>162</v>
      </c>
      <c r="H301" s="4" t="s">
        <v>14</v>
      </c>
      <c r="I301" s="4">
        <v>2025</v>
      </c>
      <c r="J301" s="4">
        <v>1</v>
      </c>
      <c r="K301" s="4">
        <v>1</v>
      </c>
      <c r="L301" s="4"/>
    </row>
    <row r="302" spans="1:12">
      <c r="A302" s="4" t="s">
        <v>589</v>
      </c>
      <c r="B302" s="4" t="s">
        <v>626</v>
      </c>
      <c r="C302" s="9" t="s">
        <v>627</v>
      </c>
      <c r="D302" s="13">
        <v>0</v>
      </c>
      <c r="E302" s="4">
        <v>1</v>
      </c>
      <c r="F302" s="4">
        <v>46</v>
      </c>
      <c r="G302" s="4" t="s">
        <v>162</v>
      </c>
      <c r="H302" s="4" t="s">
        <v>14</v>
      </c>
      <c r="I302" s="4">
        <v>2025</v>
      </c>
      <c r="J302" s="4">
        <v>1</v>
      </c>
      <c r="K302" s="4">
        <v>1</v>
      </c>
      <c r="L302" s="4"/>
    </row>
    <row r="303" spans="1:12">
      <c r="A303" s="4" t="s">
        <v>589</v>
      </c>
      <c r="B303" s="4" t="s">
        <v>628</v>
      </c>
      <c r="C303" s="9" t="s">
        <v>629</v>
      </c>
      <c r="D303" s="13">
        <v>0</v>
      </c>
      <c r="E303" s="4">
        <v>1</v>
      </c>
      <c r="F303" s="4">
        <v>46</v>
      </c>
      <c r="G303" s="4" t="s">
        <v>162</v>
      </c>
      <c r="H303" s="4" t="s">
        <v>14</v>
      </c>
      <c r="I303" s="4">
        <v>2025</v>
      </c>
      <c r="J303" s="4">
        <v>1</v>
      </c>
      <c r="K303" s="4">
        <v>1</v>
      </c>
      <c r="L303" s="4"/>
    </row>
    <row r="304" spans="1:12">
      <c r="A304" s="4" t="s">
        <v>589</v>
      </c>
      <c r="B304" s="4" t="s">
        <v>630</v>
      </c>
      <c r="C304" s="9" t="s">
        <v>631</v>
      </c>
      <c r="D304" s="13">
        <v>0</v>
      </c>
      <c r="E304" s="4">
        <v>1</v>
      </c>
      <c r="F304" s="4">
        <v>46</v>
      </c>
      <c r="G304" s="4" t="s">
        <v>162</v>
      </c>
      <c r="H304" s="4" t="s">
        <v>14</v>
      </c>
      <c r="I304" s="4">
        <v>2025</v>
      </c>
      <c r="J304" s="4">
        <v>1</v>
      </c>
      <c r="K304" s="4">
        <v>1</v>
      </c>
      <c r="L304" s="4"/>
    </row>
    <row r="305" spans="1:12">
      <c r="A305" s="4" t="s">
        <v>589</v>
      </c>
      <c r="B305" s="4" t="s">
        <v>632</v>
      </c>
      <c r="C305" s="9" t="s">
        <v>633</v>
      </c>
      <c r="D305" s="13">
        <v>1</v>
      </c>
      <c r="E305" s="4">
        <v>1</v>
      </c>
      <c r="F305" s="4">
        <v>46</v>
      </c>
      <c r="G305" s="4" t="s">
        <v>162</v>
      </c>
      <c r="H305" s="4" t="s">
        <v>14</v>
      </c>
      <c r="I305" s="4">
        <v>2025</v>
      </c>
      <c r="J305" s="4">
        <v>1</v>
      </c>
      <c r="K305" s="4">
        <v>1</v>
      </c>
      <c r="L305" s="4"/>
    </row>
    <row r="306" spans="1:12">
      <c r="A306" s="4" t="s">
        <v>589</v>
      </c>
      <c r="B306" s="4" t="s">
        <v>634</v>
      </c>
      <c r="C306" s="9" t="s">
        <v>635</v>
      </c>
      <c r="D306" s="13">
        <v>1</v>
      </c>
      <c r="E306" s="4">
        <v>1</v>
      </c>
      <c r="F306" s="4">
        <v>46</v>
      </c>
      <c r="G306" s="4" t="s">
        <v>162</v>
      </c>
      <c r="H306" s="4" t="s">
        <v>14</v>
      </c>
      <c r="I306" s="4">
        <v>2025</v>
      </c>
      <c r="J306" s="4">
        <v>1</v>
      </c>
      <c r="K306" s="4">
        <v>1</v>
      </c>
      <c r="L306" s="4"/>
    </row>
    <row r="307" spans="1:12">
      <c r="A307" s="4" t="s">
        <v>589</v>
      </c>
      <c r="B307" s="4" t="s">
        <v>636</v>
      </c>
      <c r="C307" s="9" t="s">
        <v>637</v>
      </c>
      <c r="D307" s="13">
        <v>1</v>
      </c>
      <c r="E307" s="4">
        <v>1</v>
      </c>
      <c r="F307" s="4">
        <v>46</v>
      </c>
      <c r="G307" s="4" t="s">
        <v>162</v>
      </c>
      <c r="H307" s="4" t="s">
        <v>14</v>
      </c>
      <c r="I307" s="4">
        <v>2025</v>
      </c>
      <c r="J307" s="4">
        <v>1</v>
      </c>
      <c r="K307" s="4">
        <v>1</v>
      </c>
      <c r="L307" s="4"/>
    </row>
    <row r="308" spans="1:12">
      <c r="A308" s="4" t="s">
        <v>589</v>
      </c>
      <c r="B308" s="4" t="s">
        <v>638</v>
      </c>
      <c r="C308" s="9" t="s">
        <v>639</v>
      </c>
      <c r="D308" s="13">
        <v>1</v>
      </c>
      <c r="E308" s="4">
        <v>1</v>
      </c>
      <c r="F308" s="4">
        <v>46</v>
      </c>
      <c r="G308" s="4" t="s">
        <v>162</v>
      </c>
      <c r="H308" s="4" t="s">
        <v>14</v>
      </c>
      <c r="I308" s="4">
        <v>2025</v>
      </c>
      <c r="J308" s="4">
        <v>1</v>
      </c>
      <c r="K308" s="4">
        <v>1</v>
      </c>
      <c r="L308" s="4"/>
    </row>
    <row r="309" spans="1:12">
      <c r="A309" s="4" t="s">
        <v>589</v>
      </c>
      <c r="B309" s="4" t="s">
        <v>640</v>
      </c>
      <c r="C309" s="9" t="s">
        <v>641</v>
      </c>
      <c r="D309" s="13">
        <v>1</v>
      </c>
      <c r="E309" s="4">
        <v>1</v>
      </c>
      <c r="F309" s="4">
        <v>46</v>
      </c>
      <c r="G309" s="4" t="s">
        <v>162</v>
      </c>
      <c r="H309" s="4" t="s">
        <v>14</v>
      </c>
      <c r="I309" s="4">
        <v>2025</v>
      </c>
      <c r="J309" s="4">
        <v>1</v>
      </c>
      <c r="K309" s="4">
        <v>1</v>
      </c>
      <c r="L309" s="4"/>
    </row>
    <row r="310" spans="1:12">
      <c r="A310" s="4" t="s">
        <v>589</v>
      </c>
      <c r="B310" s="4" t="s">
        <v>642</v>
      </c>
      <c r="C310" s="9" t="s">
        <v>643</v>
      </c>
      <c r="D310" s="13">
        <v>0</v>
      </c>
      <c r="E310" s="4">
        <v>1</v>
      </c>
      <c r="F310" s="4">
        <v>46</v>
      </c>
      <c r="G310" s="4" t="s">
        <v>162</v>
      </c>
      <c r="H310" s="4" t="s">
        <v>14</v>
      </c>
      <c r="I310" s="4">
        <v>2025</v>
      </c>
      <c r="J310" s="4">
        <v>1</v>
      </c>
      <c r="K310" s="4">
        <v>1</v>
      </c>
      <c r="L310" s="4"/>
    </row>
    <row r="311" spans="1:12">
      <c r="A311" s="4" t="s">
        <v>589</v>
      </c>
      <c r="B311" s="4" t="s">
        <v>644</v>
      </c>
      <c r="C311" s="9" t="s">
        <v>645</v>
      </c>
      <c r="D311" s="13">
        <v>1</v>
      </c>
      <c r="E311" s="4">
        <v>1</v>
      </c>
      <c r="F311" s="4">
        <v>46</v>
      </c>
      <c r="G311" s="4" t="s">
        <v>162</v>
      </c>
      <c r="H311" s="4" t="s">
        <v>14</v>
      </c>
      <c r="I311" s="4">
        <v>2025</v>
      </c>
      <c r="J311" s="4">
        <v>1</v>
      </c>
      <c r="K311" s="4">
        <v>1</v>
      </c>
      <c r="L311" s="4"/>
    </row>
    <row r="312" spans="1:12">
      <c r="A312" s="4" t="s">
        <v>589</v>
      </c>
      <c r="B312" s="4" t="s">
        <v>646</v>
      </c>
      <c r="C312" s="9" t="s">
        <v>647</v>
      </c>
      <c r="D312" s="13">
        <v>0</v>
      </c>
      <c r="E312" s="4">
        <v>1</v>
      </c>
      <c r="F312" s="4">
        <v>46</v>
      </c>
      <c r="G312" s="4" t="s">
        <v>162</v>
      </c>
      <c r="H312" s="4" t="s">
        <v>14</v>
      </c>
      <c r="I312" s="4">
        <v>2025</v>
      </c>
      <c r="J312" s="4">
        <v>1</v>
      </c>
      <c r="K312" s="4">
        <v>1</v>
      </c>
      <c r="L312" s="4"/>
    </row>
    <row r="313" spans="1:12">
      <c r="A313" s="4" t="s">
        <v>589</v>
      </c>
      <c r="B313" s="4" t="s">
        <v>648</v>
      </c>
      <c r="C313" s="9" t="s">
        <v>649</v>
      </c>
      <c r="D313" s="13">
        <v>1</v>
      </c>
      <c r="E313" s="4">
        <v>1</v>
      </c>
      <c r="F313" s="4">
        <v>46</v>
      </c>
      <c r="G313" s="4" t="s">
        <v>162</v>
      </c>
      <c r="H313" s="4" t="s">
        <v>14</v>
      </c>
      <c r="I313" s="4">
        <v>2025</v>
      </c>
      <c r="J313" s="4">
        <v>1</v>
      </c>
      <c r="K313" s="4">
        <v>1</v>
      </c>
      <c r="L313" s="4"/>
    </row>
    <row r="314" spans="1:12">
      <c r="A314" s="4" t="s">
        <v>589</v>
      </c>
      <c r="B314" s="4" t="s">
        <v>650</v>
      </c>
      <c r="C314" s="9" t="s">
        <v>651</v>
      </c>
      <c r="D314" s="13">
        <v>0</v>
      </c>
      <c r="E314" s="4">
        <v>1</v>
      </c>
      <c r="F314" s="4">
        <v>46</v>
      </c>
      <c r="G314" s="4" t="s">
        <v>162</v>
      </c>
      <c r="H314" s="4" t="s">
        <v>14</v>
      </c>
      <c r="I314" s="4">
        <v>2025</v>
      </c>
      <c r="J314" s="4">
        <v>1</v>
      </c>
      <c r="K314" s="4">
        <v>1</v>
      </c>
      <c r="L314" s="4"/>
    </row>
    <row r="315" spans="1:12">
      <c r="A315" s="4" t="s">
        <v>589</v>
      </c>
      <c r="B315" s="4" t="s">
        <v>652</v>
      </c>
      <c r="C315" s="9" t="s">
        <v>653</v>
      </c>
      <c r="D315" s="13">
        <v>0</v>
      </c>
      <c r="E315" s="4">
        <v>1</v>
      </c>
      <c r="F315" s="4">
        <v>46</v>
      </c>
      <c r="G315" s="4" t="s">
        <v>162</v>
      </c>
      <c r="H315" s="4" t="s">
        <v>14</v>
      </c>
      <c r="I315" s="4">
        <v>2025</v>
      </c>
      <c r="J315" s="4">
        <v>1</v>
      </c>
      <c r="K315" s="4">
        <v>1</v>
      </c>
      <c r="L315" s="4"/>
    </row>
    <row r="316" spans="1:12">
      <c r="A316" s="4" t="s">
        <v>589</v>
      </c>
      <c r="B316" s="4" t="s">
        <v>654</v>
      </c>
      <c r="C316" s="9" t="s">
        <v>655</v>
      </c>
      <c r="D316" s="13">
        <v>0</v>
      </c>
      <c r="E316" s="4">
        <v>1</v>
      </c>
      <c r="F316" s="4">
        <v>46</v>
      </c>
      <c r="G316" s="4" t="s">
        <v>162</v>
      </c>
      <c r="H316" s="4" t="s">
        <v>14</v>
      </c>
      <c r="I316" s="4">
        <v>2025</v>
      </c>
      <c r="J316" s="4">
        <v>1</v>
      </c>
      <c r="K316" s="4">
        <v>1</v>
      </c>
      <c r="L316" s="4"/>
    </row>
    <row r="317" spans="1:12">
      <c r="A317" s="4" t="s">
        <v>589</v>
      </c>
      <c r="B317" s="4" t="s">
        <v>656</v>
      </c>
      <c r="C317" s="9" t="s">
        <v>657</v>
      </c>
      <c r="D317" s="13">
        <v>0</v>
      </c>
      <c r="E317" s="4">
        <v>1</v>
      </c>
      <c r="F317" s="4">
        <v>46</v>
      </c>
      <c r="G317" s="4" t="s">
        <v>162</v>
      </c>
      <c r="H317" s="4" t="s">
        <v>14</v>
      </c>
      <c r="I317" s="4">
        <v>2025</v>
      </c>
      <c r="J317" s="4">
        <v>1</v>
      </c>
      <c r="K317" s="4">
        <v>1</v>
      </c>
      <c r="L317" s="4"/>
    </row>
    <row r="318" spans="1:12">
      <c r="A318" s="4" t="s">
        <v>589</v>
      </c>
      <c r="B318" s="4" t="s">
        <v>658</v>
      </c>
      <c r="C318" s="9" t="s">
        <v>659</v>
      </c>
      <c r="D318" s="13">
        <v>0</v>
      </c>
      <c r="E318" s="4">
        <v>1</v>
      </c>
      <c r="F318" s="4">
        <v>46</v>
      </c>
      <c r="G318" s="4" t="s">
        <v>162</v>
      </c>
      <c r="H318" s="4" t="s">
        <v>14</v>
      </c>
      <c r="I318" s="4">
        <v>2025</v>
      </c>
      <c r="J318" s="4">
        <v>1</v>
      </c>
      <c r="K318" s="4">
        <v>1</v>
      </c>
      <c r="L318" s="4"/>
    </row>
    <row r="319" spans="1:12">
      <c r="A319" s="4" t="s">
        <v>589</v>
      </c>
      <c r="B319" s="4" t="s">
        <v>660</v>
      </c>
      <c r="C319" s="9" t="s">
        <v>661</v>
      </c>
      <c r="D319" s="13">
        <v>0</v>
      </c>
      <c r="E319" s="4">
        <v>1</v>
      </c>
      <c r="F319" s="4">
        <v>46</v>
      </c>
      <c r="G319" s="4" t="s">
        <v>162</v>
      </c>
      <c r="H319" s="4" t="s">
        <v>14</v>
      </c>
      <c r="I319" s="4">
        <v>2025</v>
      </c>
      <c r="J319" s="4">
        <v>1</v>
      </c>
      <c r="K319" s="4">
        <v>1</v>
      </c>
      <c r="L319" s="4"/>
    </row>
    <row r="320" spans="1:12">
      <c r="A320" s="4" t="s">
        <v>589</v>
      </c>
      <c r="B320" s="4" t="s">
        <v>662</v>
      </c>
      <c r="C320" s="9" t="s">
        <v>663</v>
      </c>
      <c r="D320" s="13">
        <v>0</v>
      </c>
      <c r="E320" s="4">
        <v>1</v>
      </c>
      <c r="F320" s="4">
        <v>46</v>
      </c>
      <c r="G320" s="4" t="s">
        <v>162</v>
      </c>
      <c r="H320" s="4" t="s">
        <v>14</v>
      </c>
      <c r="I320" s="4">
        <v>2025</v>
      </c>
      <c r="J320" s="4">
        <v>1</v>
      </c>
      <c r="K320" s="4">
        <v>1</v>
      </c>
      <c r="L320" s="4"/>
    </row>
    <row r="321" spans="1:12">
      <c r="A321" s="4" t="s">
        <v>589</v>
      </c>
      <c r="B321" s="4" t="s">
        <v>664</v>
      </c>
      <c r="C321" s="9" t="s">
        <v>665</v>
      </c>
      <c r="D321" s="13">
        <v>0</v>
      </c>
      <c r="E321" s="4">
        <v>1</v>
      </c>
      <c r="F321" s="4">
        <v>46</v>
      </c>
      <c r="G321" s="4" t="s">
        <v>162</v>
      </c>
      <c r="H321" s="4" t="s">
        <v>14</v>
      </c>
      <c r="I321" s="4">
        <v>2025</v>
      </c>
      <c r="J321" s="4">
        <v>1</v>
      </c>
      <c r="K321" s="4">
        <v>1</v>
      </c>
      <c r="L321" s="4"/>
    </row>
    <row r="322" spans="1:12">
      <c r="A322" s="4" t="s">
        <v>589</v>
      </c>
      <c r="B322" s="4" t="s">
        <v>666</v>
      </c>
      <c r="C322" s="9" t="s">
        <v>667</v>
      </c>
      <c r="D322" s="13">
        <v>1</v>
      </c>
      <c r="E322" s="4">
        <v>1</v>
      </c>
      <c r="F322" s="4">
        <v>46</v>
      </c>
      <c r="G322" s="4" t="s">
        <v>162</v>
      </c>
      <c r="H322" s="4" t="s">
        <v>14</v>
      </c>
      <c r="I322" s="4">
        <v>2025</v>
      </c>
      <c r="J322" s="4">
        <v>1</v>
      </c>
      <c r="K322" s="4">
        <v>1</v>
      </c>
      <c r="L322" s="4"/>
    </row>
    <row r="323" spans="1:12">
      <c r="A323" s="4" t="s">
        <v>589</v>
      </c>
      <c r="B323" s="4" t="s">
        <v>668</v>
      </c>
      <c r="C323" s="9" t="s">
        <v>681</v>
      </c>
      <c r="D323" s="13">
        <v>0</v>
      </c>
      <c r="E323" s="4">
        <v>1</v>
      </c>
      <c r="F323" s="4">
        <v>46</v>
      </c>
      <c r="G323" s="4" t="s">
        <v>162</v>
      </c>
      <c r="H323" s="4" t="s">
        <v>14</v>
      </c>
      <c r="I323" s="4">
        <v>2025</v>
      </c>
      <c r="J323" s="4">
        <v>1</v>
      </c>
      <c r="K323" s="4">
        <v>1</v>
      </c>
      <c r="L323" s="4"/>
    </row>
    <row r="324" spans="1:12">
      <c r="A324" s="4" t="s">
        <v>589</v>
      </c>
      <c r="B324" s="4" t="s">
        <v>670</v>
      </c>
      <c r="C324" s="9" t="s">
        <v>683</v>
      </c>
      <c r="D324" s="13">
        <v>0</v>
      </c>
      <c r="E324" s="4">
        <v>1</v>
      </c>
      <c r="F324" s="4">
        <v>46</v>
      </c>
      <c r="G324" s="4" t="s">
        <v>162</v>
      </c>
      <c r="H324" s="4" t="s">
        <v>14</v>
      </c>
      <c r="I324" s="4">
        <v>2025</v>
      </c>
      <c r="J324" s="4">
        <v>1</v>
      </c>
      <c r="K324" s="4">
        <v>1</v>
      </c>
      <c r="L324" s="4"/>
    </row>
    <row r="325" spans="1:12">
      <c r="A325" s="4" t="s">
        <v>589</v>
      </c>
      <c r="B325" s="4" t="s">
        <v>672</v>
      </c>
      <c r="C325" s="9" t="s">
        <v>682</v>
      </c>
      <c r="D325" s="13">
        <v>0</v>
      </c>
      <c r="E325" s="4">
        <v>1</v>
      </c>
      <c r="F325" s="4">
        <v>46</v>
      </c>
      <c r="G325" s="4" t="s">
        <v>162</v>
      </c>
      <c r="H325" s="4" t="s">
        <v>14</v>
      </c>
      <c r="I325" s="4">
        <v>2025</v>
      </c>
      <c r="J325" s="4">
        <v>1</v>
      </c>
      <c r="K325" s="4">
        <v>1</v>
      </c>
      <c r="L325" s="4"/>
    </row>
    <row r="326" spans="1:12">
      <c r="A326" s="4" t="s">
        <v>589</v>
      </c>
      <c r="B326" s="4" t="s">
        <v>674</v>
      </c>
      <c r="C326" s="9" t="s">
        <v>669</v>
      </c>
      <c r="D326" s="13">
        <v>0</v>
      </c>
      <c r="E326" s="4">
        <v>1</v>
      </c>
      <c r="F326" s="4">
        <v>46</v>
      </c>
      <c r="G326" s="4" t="s">
        <v>162</v>
      </c>
      <c r="H326" s="4" t="s">
        <v>14</v>
      </c>
      <c r="I326" s="4">
        <v>2025</v>
      </c>
      <c r="J326" s="4">
        <v>1</v>
      </c>
      <c r="K326" s="4">
        <v>1</v>
      </c>
      <c r="L326" s="4"/>
    </row>
    <row r="327" spans="1:12">
      <c r="A327" s="4" t="s">
        <v>589</v>
      </c>
      <c r="B327" s="4" t="s">
        <v>678</v>
      </c>
      <c r="C327" s="9" t="s">
        <v>671</v>
      </c>
      <c r="D327" s="13">
        <v>0</v>
      </c>
      <c r="E327" s="4">
        <v>1</v>
      </c>
      <c r="F327" s="4">
        <v>46</v>
      </c>
      <c r="G327" s="4" t="s">
        <v>162</v>
      </c>
      <c r="H327" s="4" t="s">
        <v>14</v>
      </c>
      <c r="I327" s="4">
        <v>2025</v>
      </c>
      <c r="J327" s="4">
        <v>1</v>
      </c>
      <c r="K327" s="4">
        <v>1</v>
      </c>
      <c r="L327" s="4"/>
    </row>
    <row r="328" spans="1:12">
      <c r="A328" s="4" t="s">
        <v>589</v>
      </c>
      <c r="B328" s="4" t="s">
        <v>679</v>
      </c>
      <c r="C328" s="9" t="s">
        <v>673</v>
      </c>
      <c r="D328" s="13">
        <v>0</v>
      </c>
      <c r="E328" s="4">
        <v>1</v>
      </c>
      <c r="F328" s="4">
        <v>46</v>
      </c>
      <c r="G328" s="4" t="s">
        <v>162</v>
      </c>
      <c r="H328" s="4" t="s">
        <v>14</v>
      </c>
      <c r="I328" s="4">
        <v>2025</v>
      </c>
      <c r="J328" s="4">
        <v>1</v>
      </c>
      <c r="K328" s="4">
        <v>1</v>
      </c>
      <c r="L328" s="4"/>
    </row>
    <row r="329" spans="1:12">
      <c r="A329" s="4" t="s">
        <v>589</v>
      </c>
      <c r="B329" s="4" t="s">
        <v>680</v>
      </c>
      <c r="C329" s="9" t="s">
        <v>675</v>
      </c>
      <c r="D329" s="13">
        <v>0</v>
      </c>
      <c r="E329" s="4">
        <v>1</v>
      </c>
      <c r="F329" s="4">
        <v>46</v>
      </c>
      <c r="G329" s="4" t="s">
        <v>162</v>
      </c>
      <c r="H329" s="4" t="s">
        <v>14</v>
      </c>
      <c r="I329" s="4">
        <v>2025</v>
      </c>
      <c r="J329" s="4">
        <v>1</v>
      </c>
      <c r="K329" s="4">
        <v>1</v>
      </c>
      <c r="L329" s="4"/>
    </row>
  </sheetData>
  <phoneticPr fontId="12"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D8"/>
  <sheetViews>
    <sheetView zoomScale="120" zoomScaleNormal="120" workbookViewId="0">
      <selection activeCell="C14" sqref="C14"/>
    </sheetView>
  </sheetViews>
  <sheetFormatPr baseColWidth="10" defaultRowHeight="16"/>
  <sheetData>
    <row r="1" spans="1:4">
      <c r="A1" s="1" t="s">
        <v>429</v>
      </c>
    </row>
    <row r="2" spans="1:4">
      <c r="A2" s="15" t="s">
        <v>676</v>
      </c>
    </row>
    <row r="3" spans="1:4">
      <c r="A3" s="1" t="s">
        <v>430</v>
      </c>
      <c r="B3" s="1" t="s">
        <v>431</v>
      </c>
      <c r="C3" s="1" t="s">
        <v>432</v>
      </c>
      <c r="D3" s="1" t="s">
        <v>433</v>
      </c>
    </row>
    <row r="4" spans="1:4">
      <c r="A4">
        <v>82</v>
      </c>
      <c r="B4">
        <v>0</v>
      </c>
      <c r="C4">
        <v>120</v>
      </c>
      <c r="D4">
        <v>202</v>
      </c>
    </row>
    <row r="6" spans="1:4">
      <c r="A6" s="15" t="s">
        <v>677</v>
      </c>
    </row>
    <row r="7" spans="1:4">
      <c r="A7" s="1" t="s">
        <v>430</v>
      </c>
      <c r="B7" s="1" t="s">
        <v>431</v>
      </c>
      <c r="C7" s="1" t="s">
        <v>432</v>
      </c>
      <c r="D7" s="1" t="s">
        <v>433</v>
      </c>
    </row>
    <row r="8" spans="1:4">
      <c r="A8">
        <f>COUNTIF(Sheet1!D:D,"0")</f>
        <v>165</v>
      </c>
      <c r="B8">
        <f>COUNTIF(Sheet1!D:D," ")</f>
        <v>0</v>
      </c>
      <c r="C8">
        <f>COUNTIF(Sheet1!D:D,"1")</f>
        <v>163</v>
      </c>
      <c r="D8">
        <f>SUM(A8:C8)</f>
        <v>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2026-04-06T22:21:32Z</dcterms:modified>
</cp:coreProperties>
</file>