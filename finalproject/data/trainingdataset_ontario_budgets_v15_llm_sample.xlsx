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32ADCBB0-093F-B047-AC90-51D363BF21BF}" xr6:coauthVersionLast="47" xr6:coauthVersionMax="47" xr10:uidLastSave="{00000000-0000-0000-0000-000000000000}"/>
  <bookViews>
    <workbookView xWindow="6620" yWindow="5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 l="1"/>
  <c r="F23" i="3"/>
  <c r="F22" i="3"/>
  <c r="C19" i="3"/>
  <c r="C17" i="3"/>
  <c r="C15" i="3"/>
  <c r="C12" i="3"/>
  <c r="A12" i="3"/>
  <c r="C8" i="3"/>
  <c r="B8" i="3"/>
  <c r="A8" i="3"/>
  <c r="D8" i="3" l="1"/>
</calcChain>
</file>

<file path=xl/sharedStrings.xml><?xml version="1.0" encoding="utf-8"?>
<sst xmlns="http://schemas.openxmlformats.org/spreadsheetml/2006/main" count="1114" uniqueCount="414">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</sst>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185"/>
  <sheetViews>
    <sheetView tabSelected="1" zoomScaleNormal="100" workbookViewId="0">
      <selection activeCell="G15" sqref="G15"/>
    </sheetView>
  </sheetViews>
  <sheetFormatPr baseColWidth="10" defaultRowHeight="16"/>
  <cols>
    <col min="1" max="1" width="12.33203125" customWidth="1"/>
    <col min="2" max="2" width="16.33203125" customWidth="1"/>
    <col min="3" max="3" width="14.6640625" customWidth="1"/>
    <col min="4"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12"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13">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13">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13">
        <v>1</v>
      </c>
      <c r="H4" s="13">
        <v>2</v>
      </c>
      <c r="I4" s="4">
        <v>3</v>
      </c>
      <c r="J4" s="4">
        <v>9</v>
      </c>
      <c r="K4" s="4" t="s">
        <v>11</v>
      </c>
      <c r="L4" s="4" t="s">
        <v>13</v>
      </c>
      <c r="M4" s="4">
        <v>2017</v>
      </c>
      <c r="N4" s="4">
        <v>1</v>
      </c>
      <c r="O4" s="4">
        <v>0</v>
      </c>
    </row>
    <row r="5" spans="1:21">
      <c r="A5" s="4" t="s">
        <v>9</v>
      </c>
      <c r="B5" s="4" t="s">
        <v>24</v>
      </c>
      <c r="C5" s="6" t="s">
        <v>19</v>
      </c>
      <c r="D5" s="13">
        <v>1</v>
      </c>
      <c r="E5" s="13" t="s">
        <v>399</v>
      </c>
      <c r="F5" s="13">
        <v>1</v>
      </c>
      <c r="G5" s="13">
        <v>0</v>
      </c>
      <c r="H5" s="13">
        <v>1</v>
      </c>
      <c r="I5" s="4">
        <v>6</v>
      </c>
      <c r="J5" s="4">
        <v>9</v>
      </c>
      <c r="K5" s="4" t="s">
        <v>11</v>
      </c>
      <c r="L5" s="4" t="s">
        <v>13</v>
      </c>
      <c r="M5" s="4">
        <v>2017</v>
      </c>
      <c r="N5" s="4">
        <v>1</v>
      </c>
      <c r="O5" s="4">
        <v>0</v>
      </c>
    </row>
    <row r="6" spans="1:21">
      <c r="A6" s="4" t="s">
        <v>9</v>
      </c>
      <c r="B6" s="4" t="s">
        <v>25</v>
      </c>
      <c r="C6" s="6" t="s">
        <v>20</v>
      </c>
      <c r="D6" s="13">
        <v>1</v>
      </c>
      <c r="E6" s="13" t="s">
        <v>399</v>
      </c>
      <c r="F6" s="13">
        <v>1</v>
      </c>
      <c r="G6" s="13">
        <v>1</v>
      </c>
      <c r="H6" s="13">
        <v>2</v>
      </c>
      <c r="I6" s="4">
        <v>8</v>
      </c>
      <c r="J6" s="4">
        <v>9</v>
      </c>
      <c r="K6" s="4" t="s">
        <v>11</v>
      </c>
      <c r="L6" s="4" t="s">
        <v>13</v>
      </c>
      <c r="M6" s="4">
        <v>2017</v>
      </c>
      <c r="N6" s="4">
        <v>1</v>
      </c>
      <c r="O6" s="4">
        <v>0</v>
      </c>
    </row>
    <row r="7" spans="1:21">
      <c r="A7" s="4" t="s">
        <v>9</v>
      </c>
      <c r="B7" s="4" t="s">
        <v>26</v>
      </c>
      <c r="C7" s="6" t="s">
        <v>21</v>
      </c>
      <c r="D7" s="13">
        <v>0</v>
      </c>
      <c r="F7" s="13">
        <v>1</v>
      </c>
      <c r="G7" s="13">
        <v>0</v>
      </c>
      <c r="H7" s="13">
        <v>1</v>
      </c>
      <c r="I7" s="4">
        <v>9</v>
      </c>
      <c r="J7" s="4">
        <v>9</v>
      </c>
      <c r="K7" s="4" t="s">
        <v>11</v>
      </c>
      <c r="L7" s="4" t="s">
        <v>13</v>
      </c>
      <c r="M7" s="4">
        <v>2017</v>
      </c>
      <c r="N7" s="4">
        <v>1</v>
      </c>
      <c r="O7" s="4">
        <v>0</v>
      </c>
    </row>
    <row r="8" spans="1:21">
      <c r="A8" s="4" t="s">
        <v>8</v>
      </c>
      <c r="B8" s="4" t="s">
        <v>27</v>
      </c>
      <c r="C8" s="6" t="s">
        <v>28</v>
      </c>
      <c r="D8" s="13">
        <v>1</v>
      </c>
      <c r="E8" s="13" t="s">
        <v>395</v>
      </c>
      <c r="F8" s="13">
        <v>1</v>
      </c>
      <c r="G8" s="13">
        <v>1</v>
      </c>
      <c r="H8" s="13">
        <v>2</v>
      </c>
      <c r="I8" s="4">
        <v>1</v>
      </c>
      <c r="J8" s="4">
        <v>9</v>
      </c>
      <c r="K8" s="4" t="s">
        <v>11</v>
      </c>
      <c r="L8" s="4" t="s">
        <v>13</v>
      </c>
      <c r="M8" s="4">
        <v>2018</v>
      </c>
      <c r="N8" s="4">
        <v>1</v>
      </c>
      <c r="O8" s="4">
        <v>0</v>
      </c>
    </row>
    <row r="9" spans="1:21">
      <c r="A9" s="4" t="s">
        <v>8</v>
      </c>
      <c r="B9" s="4" t="s">
        <v>33</v>
      </c>
      <c r="C9" s="6" t="s">
        <v>29</v>
      </c>
      <c r="D9" s="13">
        <v>1</v>
      </c>
      <c r="E9" s="13" t="s">
        <v>399</v>
      </c>
      <c r="F9" s="13">
        <v>1</v>
      </c>
      <c r="G9" s="13">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13">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13">
        <v>1</v>
      </c>
      <c r="H11" s="13">
        <v>2</v>
      </c>
      <c r="I11" s="4">
        <v>7</v>
      </c>
      <c r="J11" s="4">
        <v>9</v>
      </c>
      <c r="K11" s="4" t="s">
        <v>11</v>
      </c>
      <c r="L11" s="4" t="s">
        <v>13</v>
      </c>
      <c r="M11" s="4">
        <v>2018</v>
      </c>
      <c r="N11" s="4">
        <v>1</v>
      </c>
      <c r="O11" s="4">
        <v>0</v>
      </c>
    </row>
    <row r="12" spans="1:21">
      <c r="A12" s="4" t="s">
        <v>8</v>
      </c>
      <c r="B12" s="4" t="s">
        <v>36</v>
      </c>
      <c r="C12" s="6" t="s">
        <v>32</v>
      </c>
      <c r="D12" s="13">
        <v>0</v>
      </c>
      <c r="F12" s="13">
        <v>1</v>
      </c>
      <c r="G12" s="13">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13">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13">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13">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13">
        <v>1</v>
      </c>
      <c r="H16" s="13">
        <v>2</v>
      </c>
      <c r="I16" s="4">
        <v>6</v>
      </c>
      <c r="J16" s="4">
        <v>7</v>
      </c>
      <c r="K16" s="4" t="s">
        <v>11</v>
      </c>
      <c r="L16" s="4" t="s">
        <v>13</v>
      </c>
      <c r="M16" s="4">
        <v>2019</v>
      </c>
      <c r="N16" s="4">
        <v>1</v>
      </c>
      <c r="O16" s="4">
        <v>1</v>
      </c>
    </row>
    <row r="17" spans="1:15">
      <c r="A17" s="4" t="s">
        <v>7</v>
      </c>
      <c r="B17" s="4" t="s">
        <v>47</v>
      </c>
      <c r="C17" s="8" t="s">
        <v>43</v>
      </c>
      <c r="D17" s="13">
        <v>0</v>
      </c>
      <c r="F17" s="13">
        <v>1</v>
      </c>
      <c r="G17" s="13">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13">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13">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13">
        <v>1</v>
      </c>
      <c r="H20" s="13">
        <v>2</v>
      </c>
      <c r="I20" s="4">
        <v>8</v>
      </c>
      <c r="J20" s="4">
        <v>10</v>
      </c>
      <c r="K20" s="4" t="s">
        <v>11</v>
      </c>
      <c r="L20" s="4" t="s">
        <v>13</v>
      </c>
      <c r="M20" s="4">
        <v>2020</v>
      </c>
      <c r="N20" s="4">
        <v>1</v>
      </c>
      <c r="O20" s="4">
        <v>1</v>
      </c>
    </row>
    <row r="21" spans="1:15">
      <c r="A21" s="4" t="s">
        <v>38</v>
      </c>
      <c r="B21" s="4" t="s">
        <v>55</v>
      </c>
      <c r="C21" s="8" t="s">
        <v>50</v>
      </c>
      <c r="D21" s="13">
        <v>1</v>
      </c>
      <c r="E21" s="13" t="s">
        <v>399</v>
      </c>
      <c r="F21" s="13">
        <v>1</v>
      </c>
      <c r="G21" s="13">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13">
        <v>1</v>
      </c>
      <c r="H22" s="13">
        <v>2</v>
      </c>
      <c r="I22" s="4">
        <v>10</v>
      </c>
      <c r="J22" s="4">
        <v>10</v>
      </c>
      <c r="K22" s="4" t="s">
        <v>11</v>
      </c>
      <c r="L22" s="4" t="s">
        <v>13</v>
      </c>
      <c r="M22" s="4">
        <v>2020</v>
      </c>
      <c r="N22" s="4">
        <v>1</v>
      </c>
      <c r="O22" s="4">
        <v>1</v>
      </c>
    </row>
    <row r="23" spans="1:15">
      <c r="A23" s="4" t="s">
        <v>56</v>
      </c>
      <c r="B23" s="4" t="s">
        <v>57</v>
      </c>
      <c r="C23" s="8" t="s">
        <v>58</v>
      </c>
      <c r="D23" s="13">
        <v>1</v>
      </c>
      <c r="E23" s="13" t="s">
        <v>395</v>
      </c>
      <c r="F23" s="13">
        <v>1</v>
      </c>
      <c r="G23" s="13">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13">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13">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13">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13">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13">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13">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13">
        <v>1</v>
      </c>
      <c r="H30" s="13">
        <v>2</v>
      </c>
      <c r="I30" s="4">
        <v>4</v>
      </c>
      <c r="J30" s="4">
        <v>7</v>
      </c>
      <c r="K30" s="4" t="s">
        <v>11</v>
      </c>
      <c r="L30" s="4" t="s">
        <v>13</v>
      </c>
      <c r="M30" s="4">
        <v>2022</v>
      </c>
      <c r="N30" s="4">
        <v>1</v>
      </c>
      <c r="O30" s="4">
        <v>1</v>
      </c>
    </row>
    <row r="31" spans="1:15">
      <c r="A31" s="4" t="s">
        <v>64</v>
      </c>
      <c r="B31" s="4" t="s">
        <v>74</v>
      </c>
      <c r="C31" s="9" t="s">
        <v>68</v>
      </c>
      <c r="D31" s="13">
        <v>1</v>
      </c>
      <c r="E31" s="13" t="s">
        <v>397</v>
      </c>
      <c r="F31" s="13">
        <v>1</v>
      </c>
      <c r="G31" s="13">
        <v>1</v>
      </c>
      <c r="H31" s="13">
        <v>2</v>
      </c>
      <c r="I31" s="4">
        <v>5</v>
      </c>
      <c r="J31" s="4">
        <v>7</v>
      </c>
      <c r="K31" s="4" t="s">
        <v>11</v>
      </c>
      <c r="L31" s="4" t="s">
        <v>13</v>
      </c>
      <c r="M31" s="4">
        <v>2022</v>
      </c>
      <c r="N31" s="4">
        <v>1</v>
      </c>
      <c r="O31" s="4">
        <v>1</v>
      </c>
    </row>
    <row r="32" spans="1:15">
      <c r="A32" s="4" t="s">
        <v>64</v>
      </c>
      <c r="B32" s="4" t="s">
        <v>75</v>
      </c>
      <c r="C32" s="9" t="s">
        <v>69</v>
      </c>
      <c r="D32" s="13">
        <v>1</v>
      </c>
      <c r="E32" s="13" t="s">
        <v>399</v>
      </c>
      <c r="F32" s="13">
        <v>1</v>
      </c>
      <c r="G32" s="13">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13">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13">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13">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13">
        <v>1</v>
      </c>
      <c r="H36" s="13">
        <v>2</v>
      </c>
      <c r="I36" s="4">
        <v>3</v>
      </c>
      <c r="J36" s="4">
        <v>8</v>
      </c>
      <c r="K36" s="4" t="s">
        <v>11</v>
      </c>
      <c r="L36" s="4" t="s">
        <v>13</v>
      </c>
      <c r="M36" s="4">
        <v>2023</v>
      </c>
      <c r="N36" s="4">
        <v>1</v>
      </c>
      <c r="O36" s="4">
        <v>1</v>
      </c>
    </row>
    <row r="37" spans="1:15">
      <c r="A37" s="4" t="s">
        <v>77</v>
      </c>
      <c r="B37" s="4" t="s">
        <v>88</v>
      </c>
      <c r="C37" s="9" t="s">
        <v>82</v>
      </c>
      <c r="D37" s="13">
        <v>1</v>
      </c>
      <c r="E37" s="13" t="s">
        <v>399</v>
      </c>
      <c r="F37" s="13">
        <v>1</v>
      </c>
      <c r="G37" s="13">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13">
        <v>1</v>
      </c>
      <c r="H38" s="13">
        <v>2</v>
      </c>
      <c r="I38" s="4">
        <v>5</v>
      </c>
      <c r="J38" s="4">
        <v>8</v>
      </c>
      <c r="K38" s="4" t="s">
        <v>11</v>
      </c>
      <c r="L38" s="4" t="s">
        <v>13</v>
      </c>
      <c r="M38" s="4">
        <v>2023</v>
      </c>
      <c r="N38" s="4">
        <v>1</v>
      </c>
      <c r="O38" s="4">
        <v>1</v>
      </c>
    </row>
    <row r="39" spans="1:15">
      <c r="A39" s="4" t="s">
        <v>77</v>
      </c>
      <c r="B39" s="4" t="s">
        <v>90</v>
      </c>
      <c r="C39" s="9" t="s">
        <v>84</v>
      </c>
      <c r="D39" s="13">
        <v>1</v>
      </c>
      <c r="E39" s="13" t="s">
        <v>399</v>
      </c>
      <c r="F39" s="13">
        <v>1</v>
      </c>
      <c r="G39" s="13">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13">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13">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13">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13">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13">
        <v>1</v>
      </c>
      <c r="H44" s="13">
        <v>2</v>
      </c>
      <c r="I44" s="4">
        <v>4</v>
      </c>
      <c r="J44" s="4">
        <v>8</v>
      </c>
      <c r="K44" s="4" t="s">
        <v>11</v>
      </c>
      <c r="L44" s="4" t="s">
        <v>13</v>
      </c>
      <c r="M44" s="4">
        <v>2024</v>
      </c>
      <c r="N44" s="4">
        <v>1</v>
      </c>
      <c r="O44" s="4">
        <v>1</v>
      </c>
    </row>
    <row r="45" spans="1:15">
      <c r="A45" s="4" t="s">
        <v>92</v>
      </c>
      <c r="B45" s="4" t="s">
        <v>104</v>
      </c>
      <c r="C45" s="9" t="s">
        <v>97</v>
      </c>
      <c r="D45" s="13">
        <v>1</v>
      </c>
      <c r="E45" s="13" t="s">
        <v>397</v>
      </c>
      <c r="F45" s="13">
        <v>1</v>
      </c>
      <c r="G45" s="13">
        <v>1</v>
      </c>
      <c r="H45" s="13">
        <v>2</v>
      </c>
      <c r="I45" s="4">
        <v>5</v>
      </c>
      <c r="J45" s="4">
        <v>8</v>
      </c>
      <c r="K45" s="4" t="s">
        <v>11</v>
      </c>
      <c r="L45" s="4" t="s">
        <v>13</v>
      </c>
      <c r="M45" s="4">
        <v>2024</v>
      </c>
      <c r="N45" s="4">
        <v>1</v>
      </c>
      <c r="O45" s="4">
        <v>1</v>
      </c>
    </row>
    <row r="46" spans="1:15">
      <c r="A46" s="4" t="s">
        <v>92</v>
      </c>
      <c r="B46" s="4" t="s">
        <v>105</v>
      </c>
      <c r="C46" s="9" t="s">
        <v>98</v>
      </c>
      <c r="D46" s="13">
        <v>1</v>
      </c>
      <c r="E46" s="13" t="s">
        <v>399</v>
      </c>
      <c r="F46" s="13">
        <v>1</v>
      </c>
      <c r="G46" s="13">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13">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13">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13">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13">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13">
        <v>1</v>
      </c>
      <c r="H51" s="13">
        <v>2</v>
      </c>
      <c r="I51" s="4">
        <v>3</v>
      </c>
      <c r="J51" s="4">
        <v>8</v>
      </c>
      <c r="K51" s="4" t="s">
        <v>11</v>
      </c>
      <c r="L51" s="4" t="s">
        <v>13</v>
      </c>
      <c r="M51" s="4">
        <v>2025</v>
      </c>
      <c r="N51" s="4">
        <v>1</v>
      </c>
      <c r="O51" s="4">
        <v>1</v>
      </c>
    </row>
    <row r="52" spans="1:15">
      <c r="A52" s="4" t="s">
        <v>108</v>
      </c>
      <c r="B52" s="4" t="s">
        <v>119</v>
      </c>
      <c r="C52" s="9" t="s">
        <v>113</v>
      </c>
      <c r="D52" s="13">
        <v>1</v>
      </c>
      <c r="E52" s="13" t="s">
        <v>397</v>
      </c>
      <c r="F52" s="13">
        <v>1</v>
      </c>
      <c r="G52" s="13">
        <v>1</v>
      </c>
      <c r="H52" s="13">
        <v>2</v>
      </c>
      <c r="I52" s="4">
        <v>4</v>
      </c>
      <c r="J52" s="4">
        <v>8</v>
      </c>
      <c r="K52" s="4" t="s">
        <v>11</v>
      </c>
      <c r="L52" s="4" t="s">
        <v>13</v>
      </c>
      <c r="M52" s="4">
        <v>2025</v>
      </c>
      <c r="N52" s="4">
        <v>1</v>
      </c>
      <c r="O52" s="4">
        <v>1</v>
      </c>
    </row>
    <row r="53" spans="1:15">
      <c r="A53" s="4" t="s">
        <v>108</v>
      </c>
      <c r="B53" s="4" t="s">
        <v>120</v>
      </c>
      <c r="C53" s="9" t="s">
        <v>114</v>
      </c>
      <c r="D53" s="13">
        <v>1</v>
      </c>
      <c r="E53" s="13" t="s">
        <v>399</v>
      </c>
      <c r="F53" s="13">
        <v>1</v>
      </c>
      <c r="G53" s="13">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13">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13">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13">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13">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13">
        <v>0</v>
      </c>
      <c r="H58" s="13">
        <v>1</v>
      </c>
      <c r="I58" s="4">
        <v>8</v>
      </c>
      <c r="J58" s="4">
        <v>21</v>
      </c>
      <c r="K58" s="4" t="s">
        <v>124</v>
      </c>
      <c r="L58" s="4" t="s">
        <v>13</v>
      </c>
      <c r="M58" s="4">
        <v>2017</v>
      </c>
      <c r="N58" s="4">
        <v>1</v>
      </c>
      <c r="O58" s="4">
        <v>0</v>
      </c>
    </row>
    <row r="59" spans="1:15">
      <c r="A59" s="4" t="s">
        <v>123</v>
      </c>
      <c r="B59" s="4" t="s">
        <v>139</v>
      </c>
      <c r="C59" s="9" t="s">
        <v>128</v>
      </c>
      <c r="D59" s="13">
        <v>0</v>
      </c>
      <c r="F59" s="13">
        <v>1</v>
      </c>
      <c r="G59" s="13">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13">
        <v>0</v>
      </c>
      <c r="H60" s="13">
        <v>1</v>
      </c>
      <c r="I60" s="4">
        <v>11</v>
      </c>
      <c r="J60" s="4">
        <v>21</v>
      </c>
      <c r="K60" s="4" t="s">
        <v>124</v>
      </c>
      <c r="L60" s="4" t="s">
        <v>13</v>
      </c>
      <c r="M60" s="4">
        <v>2017</v>
      </c>
      <c r="N60" s="4">
        <v>1</v>
      </c>
      <c r="O60" s="4">
        <v>0</v>
      </c>
    </row>
    <row r="61" spans="1:15">
      <c r="A61" s="4" t="s">
        <v>123</v>
      </c>
      <c r="B61" s="4" t="s">
        <v>141</v>
      </c>
      <c r="C61" s="9" t="s">
        <v>130</v>
      </c>
      <c r="D61" s="13">
        <v>0</v>
      </c>
      <c r="F61" s="13">
        <v>1</v>
      </c>
      <c r="G61" s="13">
        <v>0</v>
      </c>
      <c r="H61" s="13">
        <v>1</v>
      </c>
      <c r="I61" s="4">
        <v>14</v>
      </c>
      <c r="J61" s="4">
        <v>21</v>
      </c>
      <c r="K61" s="4" t="s">
        <v>124</v>
      </c>
      <c r="L61" s="4" t="s">
        <v>13</v>
      </c>
      <c r="M61" s="4">
        <v>2017</v>
      </c>
      <c r="N61" s="4">
        <v>1</v>
      </c>
      <c r="O61" s="4">
        <v>0</v>
      </c>
    </row>
    <row r="62" spans="1:15">
      <c r="A62" s="4" t="s">
        <v>123</v>
      </c>
      <c r="B62" s="4" t="s">
        <v>142</v>
      </c>
      <c r="C62" s="9" t="s">
        <v>131</v>
      </c>
      <c r="D62" s="13">
        <v>0</v>
      </c>
      <c r="F62" s="13">
        <v>1</v>
      </c>
      <c r="G62" s="13">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13">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13">
        <v>1</v>
      </c>
      <c r="H64" s="13">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13">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13">
        <v>1</v>
      </c>
      <c r="H66" s="13">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13">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13">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13">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13">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13">
        <v>0</v>
      </c>
      <c r="H71" s="13">
        <v>1</v>
      </c>
      <c r="I71" s="4">
        <v>8</v>
      </c>
      <c r="J71" s="4">
        <v>25</v>
      </c>
      <c r="K71" s="4" t="s">
        <v>124</v>
      </c>
      <c r="L71" s="4" t="s">
        <v>13</v>
      </c>
      <c r="M71" s="4">
        <v>2018</v>
      </c>
      <c r="N71" s="4">
        <v>1</v>
      </c>
      <c r="O71" s="4">
        <v>0</v>
      </c>
    </row>
    <row r="72" spans="1:15">
      <c r="A72" s="4" t="s">
        <v>147</v>
      </c>
      <c r="B72" s="4" t="s">
        <v>164</v>
      </c>
      <c r="C72" s="9" t="s">
        <v>153</v>
      </c>
      <c r="D72" s="13">
        <v>0</v>
      </c>
      <c r="F72" s="13">
        <v>1</v>
      </c>
      <c r="G72" s="13">
        <v>0</v>
      </c>
      <c r="H72" s="13">
        <v>1</v>
      </c>
      <c r="I72" s="4">
        <v>14</v>
      </c>
      <c r="J72" s="4">
        <v>25</v>
      </c>
      <c r="K72" s="4" t="s">
        <v>124</v>
      </c>
      <c r="L72" s="4" t="s">
        <v>13</v>
      </c>
      <c r="M72" s="4">
        <v>2018</v>
      </c>
      <c r="N72" s="4">
        <v>1</v>
      </c>
      <c r="O72" s="4">
        <v>0</v>
      </c>
    </row>
    <row r="73" spans="1:15">
      <c r="A73" s="4" t="s">
        <v>147</v>
      </c>
      <c r="B73" s="4" t="s">
        <v>165</v>
      </c>
      <c r="C73" s="9" t="s">
        <v>154</v>
      </c>
      <c r="D73" s="13">
        <v>0</v>
      </c>
      <c r="F73" s="13">
        <v>1</v>
      </c>
      <c r="G73" s="13">
        <v>0</v>
      </c>
      <c r="H73" s="13">
        <v>1</v>
      </c>
      <c r="I73" s="4">
        <v>17</v>
      </c>
      <c r="J73" s="4">
        <v>25</v>
      </c>
      <c r="K73" s="4" t="s">
        <v>124</v>
      </c>
      <c r="L73" s="4" t="s">
        <v>13</v>
      </c>
      <c r="M73" s="4">
        <v>2018</v>
      </c>
      <c r="N73" s="4">
        <v>1</v>
      </c>
      <c r="O73" s="4">
        <v>0</v>
      </c>
    </row>
    <row r="74" spans="1:15">
      <c r="A74" s="4" t="s">
        <v>147</v>
      </c>
      <c r="B74" s="4" t="s">
        <v>166</v>
      </c>
      <c r="C74" s="9" t="s">
        <v>155</v>
      </c>
      <c r="D74" s="13">
        <v>0</v>
      </c>
      <c r="F74" s="13">
        <v>1</v>
      </c>
      <c r="G74" s="13">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13">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13">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13">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13">
        <v>1</v>
      </c>
      <c r="H78" s="13">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13">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13">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13">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13">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13">
        <v>0</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13">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13">
        <v>1</v>
      </c>
      <c r="H85" s="13">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13">
        <v>0</v>
      </c>
      <c r="H86" s="13">
        <v>1</v>
      </c>
      <c r="I86" s="4">
        <v>14</v>
      </c>
      <c r="J86" s="4">
        <v>16</v>
      </c>
      <c r="K86" s="4" t="s">
        <v>124</v>
      </c>
      <c r="L86" s="4" t="s">
        <v>13</v>
      </c>
      <c r="M86" s="4">
        <v>2019</v>
      </c>
      <c r="N86" s="4">
        <v>1</v>
      </c>
      <c r="O86" s="4">
        <v>1</v>
      </c>
    </row>
    <row r="87" spans="1:15">
      <c r="A87" s="4" t="s">
        <v>171</v>
      </c>
      <c r="B87" s="4" t="s">
        <v>189</v>
      </c>
      <c r="C87" s="9" t="s">
        <v>179</v>
      </c>
      <c r="D87" s="13">
        <v>0</v>
      </c>
      <c r="F87" s="13">
        <v>1</v>
      </c>
      <c r="G87" s="13">
        <v>0</v>
      </c>
      <c r="H87" s="13">
        <v>1</v>
      </c>
      <c r="I87" s="4">
        <v>15</v>
      </c>
      <c r="J87" s="4">
        <v>16</v>
      </c>
      <c r="K87" s="4" t="s">
        <v>124</v>
      </c>
      <c r="L87" s="4" t="s">
        <v>13</v>
      </c>
      <c r="M87" s="4">
        <v>2019</v>
      </c>
      <c r="N87" s="4">
        <v>1</v>
      </c>
      <c r="O87" s="4">
        <v>1</v>
      </c>
    </row>
    <row r="88" spans="1:15">
      <c r="A88" s="4" t="s">
        <v>171</v>
      </c>
      <c r="B88" s="4" t="s">
        <v>190</v>
      </c>
      <c r="C88" s="9" t="s">
        <v>180</v>
      </c>
      <c r="D88" s="13">
        <v>0</v>
      </c>
      <c r="F88" s="13">
        <v>1</v>
      </c>
      <c r="G88" s="13">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13">
        <v>0</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13">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13">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13">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13">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13">
        <v>0</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13">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13">
        <v>1</v>
      </c>
      <c r="H96" s="13">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13">
        <v>0</v>
      </c>
      <c r="H97" s="13">
        <v>1</v>
      </c>
      <c r="I97" s="4">
        <v>15</v>
      </c>
      <c r="J97" s="4">
        <v>17</v>
      </c>
      <c r="K97" s="4" t="s">
        <v>124</v>
      </c>
      <c r="L97" s="4" t="s">
        <v>13</v>
      </c>
      <c r="M97" s="4">
        <v>2020</v>
      </c>
      <c r="N97" s="4">
        <v>1</v>
      </c>
      <c r="O97" s="4">
        <v>1</v>
      </c>
    </row>
    <row r="98" spans="1:15">
      <c r="A98" s="4" t="s">
        <v>191</v>
      </c>
      <c r="B98" s="4" t="s">
        <v>213</v>
      </c>
      <c r="C98" s="11" t="s">
        <v>202</v>
      </c>
      <c r="D98" s="13">
        <v>0</v>
      </c>
      <c r="F98" s="13">
        <v>1</v>
      </c>
      <c r="G98" s="13">
        <v>0</v>
      </c>
      <c r="H98" s="13">
        <v>1</v>
      </c>
      <c r="I98" s="4">
        <v>16</v>
      </c>
      <c r="J98" s="4">
        <v>17</v>
      </c>
      <c r="K98" s="4" t="s">
        <v>124</v>
      </c>
      <c r="L98" s="4" t="s">
        <v>13</v>
      </c>
      <c r="M98" s="4">
        <v>2020</v>
      </c>
      <c r="N98" s="4">
        <v>1</v>
      </c>
      <c r="O98" s="4">
        <v>1</v>
      </c>
    </row>
    <row r="99" spans="1:15">
      <c r="A99" s="4" t="s">
        <v>191</v>
      </c>
      <c r="B99" s="4" t="s">
        <v>214</v>
      </c>
      <c r="C99" s="11" t="s">
        <v>203</v>
      </c>
      <c r="D99" s="13">
        <v>0</v>
      </c>
      <c r="F99" s="13">
        <v>1</v>
      </c>
      <c r="G99" s="13">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13">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13">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13">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13">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13">
        <v>1</v>
      </c>
      <c r="H104" s="13">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13">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13">
        <v>1</v>
      </c>
      <c r="H106" s="13">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13">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13">
        <v>1</v>
      </c>
      <c r="H108" s="13">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13">
        <v>0</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13">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13">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13">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13">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13">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13">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13">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13">
        <v>1</v>
      </c>
      <c r="H117" s="13">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13">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13">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13">
        <v>1</v>
      </c>
      <c r="H120" s="13">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13">
        <v>1</v>
      </c>
      <c r="H121" s="13">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13">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13">
        <v>1</v>
      </c>
      <c r="H123" s="13">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13">
        <v>0</v>
      </c>
      <c r="H124" s="13">
        <v>1</v>
      </c>
      <c r="I124" s="4">
        <v>27</v>
      </c>
      <c r="J124" s="4">
        <v>29</v>
      </c>
      <c r="K124" s="4" t="s">
        <v>124</v>
      </c>
      <c r="L124" s="4" t="s">
        <v>13</v>
      </c>
      <c r="M124" s="4">
        <v>2022</v>
      </c>
      <c r="N124" s="4">
        <v>1</v>
      </c>
      <c r="O124" s="4">
        <v>1</v>
      </c>
    </row>
    <row r="125" spans="1:16">
      <c r="A125" s="4" t="s">
        <v>241</v>
      </c>
      <c r="B125" s="4" t="s">
        <v>266</v>
      </c>
      <c r="C125" s="9" t="s">
        <v>404</v>
      </c>
      <c r="D125" s="13">
        <v>0</v>
      </c>
      <c r="F125" s="13">
        <v>1</v>
      </c>
      <c r="G125" s="13">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13">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13">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13">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13">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13">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13">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13">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13">
        <v>1</v>
      </c>
      <c r="H133" s="13">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13">
        <v>1</v>
      </c>
      <c r="H134" s="13">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13">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13">
        <v>0</v>
      </c>
      <c r="H136" s="13">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13">
        <v>0</v>
      </c>
      <c r="H137" s="13">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13">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13">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13">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13">
        <v>1</v>
      </c>
      <c r="H141" s="13">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13">
        <v>0</v>
      </c>
      <c r="H142" s="13">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13">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13">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13">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13">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13">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13">
        <v>1</v>
      </c>
      <c r="H148" s="13">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13">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13">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13">
        <v>1</v>
      </c>
      <c r="H151" s="13">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13">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13">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13">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13">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13">
        <v>1</v>
      </c>
      <c r="H156" s="13">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13">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13">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13">
        <v>1</v>
      </c>
      <c r="H159" s="13">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13">
        <v>1</v>
      </c>
      <c r="H160" s="13">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13">
        <v>0</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13">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13">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13">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13">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13">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13">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13">
        <v>0</v>
      </c>
      <c r="H168" s="13">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13">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13">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13">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13">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13">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13">
        <v>1</v>
      </c>
      <c r="H174" s="13">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13">
        <v>0</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13">
        <v>1</v>
      </c>
      <c r="H176" s="13">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13">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13">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13">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13">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13">
        <v>0</v>
      </c>
      <c r="H181" s="13">
        <v>1</v>
      </c>
      <c r="I181" s="4">
        <v>38</v>
      </c>
      <c r="J181" s="4">
        <v>46</v>
      </c>
      <c r="K181" s="4" t="s">
        <v>124</v>
      </c>
      <c r="L181" s="4" t="s">
        <v>13</v>
      </c>
      <c r="M181" s="4">
        <v>2025</v>
      </c>
      <c r="N181" s="4">
        <v>1</v>
      </c>
      <c r="O181" s="4">
        <v>1</v>
      </c>
      <c r="P181" s="4"/>
    </row>
    <row r="182" spans="1:16" ht="46" customHeight="1">
      <c r="A182" s="4" t="s">
        <v>347</v>
      </c>
      <c r="B182" s="4" t="s">
        <v>385</v>
      </c>
      <c r="C182" s="9" t="s">
        <v>382</v>
      </c>
      <c r="D182" s="13">
        <v>1</v>
      </c>
      <c r="E182" s="13" t="s">
        <v>397</v>
      </c>
      <c r="F182" s="13">
        <v>1</v>
      </c>
      <c r="G182" s="13">
        <v>0</v>
      </c>
      <c r="H182" s="13">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13">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13">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13">
        <v>0</v>
      </c>
      <c r="H185" s="13">
        <v>1</v>
      </c>
      <c r="I185" s="4">
        <v>46</v>
      </c>
      <c r="J185" s="4">
        <v>46</v>
      </c>
      <c r="K185" s="4" t="s">
        <v>124</v>
      </c>
      <c r="L185" s="4" t="s">
        <v>13</v>
      </c>
      <c r="M185" s="4">
        <v>2025</v>
      </c>
      <c r="N185" s="4">
        <v>1</v>
      </c>
      <c r="O185" s="4">
        <v>1</v>
      </c>
      <c r="P185" s="4"/>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4"/>
  <sheetViews>
    <sheetView zoomScale="120" zoomScaleNormal="120" workbookViewId="0">
      <selection activeCell="H34" sqref="H34"/>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30</v>
      </c>
      <c r="B8">
        <f>COUNTIF(Sheet1!D:D," ")</f>
        <v>0</v>
      </c>
      <c r="C8">
        <f>COUNTIF(Sheet1!D:D,"1")</f>
        <v>154</v>
      </c>
      <c r="D8">
        <f>SUM(A8:C8)</f>
        <v>184</v>
      </c>
    </row>
    <row r="10" spans="1:4">
      <c r="A10" s="17" t="s">
        <v>396</v>
      </c>
    </row>
    <row r="11" spans="1:4">
      <c r="A11" s="1">
        <v>0</v>
      </c>
      <c r="C11" s="1">
        <v>1</v>
      </c>
    </row>
    <row r="12" spans="1:4">
      <c r="A12">
        <f>COUNTIF(Sheet1!D:D,"0")</f>
        <v>30</v>
      </c>
      <c r="C12">
        <f>COUNTIF(Sheet1!D:D,"1")</f>
        <v>154</v>
      </c>
    </row>
    <row r="14" spans="1:4">
      <c r="C14" s="1" t="s">
        <v>398</v>
      </c>
    </row>
    <row r="15" spans="1:4">
      <c r="C15" s="16">
        <f>COUNTIF(Sheet1!E:E,"Low")</f>
        <v>58</v>
      </c>
    </row>
    <row r="16" spans="1:4">
      <c r="C16" s="1" t="s">
        <v>399</v>
      </c>
    </row>
    <row r="17" spans="1:6">
      <c r="C17" s="16">
        <f>COUNTIF(Sheet1!E:E,"Medium")</f>
        <v>80</v>
      </c>
    </row>
    <row r="18" spans="1:6">
      <c r="C18" s="1" t="s">
        <v>395</v>
      </c>
    </row>
    <row r="19" spans="1:6">
      <c r="C19" s="16">
        <f>COUNTIF(Sheet1!E:E,"High")</f>
        <v>16</v>
      </c>
    </row>
    <row r="21" spans="1:6">
      <c r="A21" s="18" t="s">
        <v>408</v>
      </c>
      <c r="C21" s="19"/>
    </row>
    <row r="22" spans="1:6">
      <c r="A22">
        <v>0</v>
      </c>
      <c r="C22" t="s">
        <v>410</v>
      </c>
      <c r="F22">
        <f>COUNTIF(Sheet1!H:H,"0")</f>
        <v>0</v>
      </c>
    </row>
    <row r="23" spans="1:6">
      <c r="A23">
        <v>1</v>
      </c>
      <c r="C23" t="s">
        <v>409</v>
      </c>
      <c r="F23">
        <f>COUNTIF(Sheet1!H:H,"1")</f>
        <v>115</v>
      </c>
    </row>
    <row r="24" spans="1:6">
      <c r="A24">
        <v>2</v>
      </c>
      <c r="C24" t="s">
        <v>411</v>
      </c>
      <c r="F24">
        <f>COUNTIF(Sheet1!H:H,"2")</f>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2026-04-11T02:39:56Z</dcterms:modified>
</cp:coreProperties>
</file>