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202300"/>
  <mc:AlternateContent xmlns:mc="http://schemas.openxmlformats.org/markup-compatibility/2006">
    <mc:Choice Requires="x15">
      <x15ac:absPath xmlns:x15ac="http://schemas.microsoft.com/office/spreadsheetml/2010/11/ac" url="/Users/saramurphy/Documents/GitHub/text-analysis-public-university-llm/assignment3/data/"/>
    </mc:Choice>
  </mc:AlternateContent>
  <xr:revisionPtr revIDLastSave="0" documentId="13_ncr:1_{C8281327-4D5F-D348-8FD4-DDF97035BAFD}" xr6:coauthVersionLast="47" xr6:coauthVersionMax="47" xr10:uidLastSave="{00000000-0000-0000-0000-000000000000}"/>
  <bookViews>
    <workbookView xWindow="5120" yWindow="1140" windowWidth="30160" windowHeight="19660" xr2:uid="{FB597964-1960-7349-B80F-395C3D8D9DDC}"/>
  </bookViews>
  <sheets>
    <sheet name="Sheet1" sheetId="1" r:id="rId1"/>
    <sheet name="Sheet2"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8" i="3" l="1"/>
  <c r="F27" i="3"/>
  <c r="F24" i="3" l="1"/>
  <c r="F23" i="3"/>
  <c r="F22" i="3"/>
  <c r="C19" i="3"/>
  <c r="C17" i="3"/>
  <c r="C15" i="3"/>
  <c r="C12" i="3"/>
  <c r="A12" i="3"/>
  <c r="C8" i="3"/>
  <c r="B8" i="3"/>
  <c r="A8" i="3"/>
  <c r="D8" i="3" l="1"/>
</calcChain>
</file>

<file path=xl/sharedStrings.xml><?xml version="1.0" encoding="utf-8"?>
<sst xmlns="http://schemas.openxmlformats.org/spreadsheetml/2006/main" count="1596" uniqueCount="623">
  <si>
    <t>document</t>
  </si>
  <si>
    <t>ID</t>
  </si>
  <si>
    <t>text</t>
  </si>
  <si>
    <t>university</t>
  </si>
  <si>
    <t>year</t>
  </si>
  <si>
    <t>order</t>
  </si>
  <si>
    <t>total para</t>
  </si>
  <si>
    <t>queens_2019</t>
  </si>
  <si>
    <t>queens_2018</t>
  </si>
  <si>
    <t>queens_2017</t>
  </si>
  <si>
    <t>queens_2017_1</t>
  </si>
  <si>
    <t>Queen's University</t>
  </si>
  <si>
    <t>province</t>
  </si>
  <si>
    <t>ON</t>
  </si>
  <si>
    <t>treatment group</t>
  </si>
  <si>
    <t>treatment period</t>
  </si>
  <si>
    <t>Almost 94%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</si>
  <si>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has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</si>
  <si>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In 2015-16, a funding model review was undertaken by the Ministry of Advanced Education and Skills Development (MAESD). The review consultation paper, released in April 2015, stated that the $3.5 billion invested by the provincial government would “remain stable”, which is to say it was not projected to increase in the foreseeable future. In 2016-17, MAESD began the implementation of the recommendations from the report that proposed a framework under which future grant funding should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</si>
  <si>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For the three-year planning period to 2019-20,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pressing. The pension solvency issue is also being addressed to ensure long term financial sustainability. </t>
  </si>
  <si>
    <t>In addition, all institutions were requested to move to approving tuition fees two years ahead to facilitate the implementation of net-tuition billing. As a result, in March 2017, the Board of Trustees approved two years of tuition increases for 2017-18 and 2018-19. We were required to maintain a reduced rate of increase across all programs to accommodate the institution-wide cap. We are unable to charge 5% in the professional programs and remain within the institutional cap. In moving to a two year fee setting structure MAESD adjusted the tuition compliance requirements and provided Universities with the ability of submitting the tuition compliance once for both years if the fee increases across all eligible programs were identical for both years.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</si>
  <si>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over the next several years. </t>
  </si>
  <si>
    <t>queens_2017_2</t>
  </si>
  <si>
    <t>queens_2017_3</t>
  </si>
  <si>
    <t>queens_2017_6</t>
  </si>
  <si>
    <t>queens_2017_8</t>
  </si>
  <si>
    <t>queens_2017_9</t>
  </si>
  <si>
    <t>queens_2018_1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</si>
  <si>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</si>
  <si>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</si>
  <si>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For the three-year planning period to 2020-21,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 </t>
  </si>
  <si>
    <t>The Ministry has not yet announced what the tuition framework will be over the second and third year of this budget planning time frame. However, the budget continues to assume the same tuition framework will continue which limits tuition fee growth to an institutional average of 3%. Unviersities continue to await an announcement on the future of the new tuition framework.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</si>
  <si>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t>
  </si>
  <si>
    <t>queens_2018_2</t>
  </si>
  <si>
    <t>queens_2018_6</t>
  </si>
  <si>
    <t>queens_2018_7</t>
  </si>
  <si>
    <t>queens_2018_9</t>
  </si>
  <si>
    <t>queens_2019_1</t>
  </si>
  <si>
    <t>queens_2020</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</si>
  <si>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</si>
  <si>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t>
  </si>
  <si>
    <t>For the three-year planning period to 2021-22,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</si>
  <si>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third year of this budget planning
time frame. Consequently, this budget assumes a continuation of the 2020-21 tuition framework of a
0% increase for funding-eligible programs. Universities continue to await an announcement on the
future of the new tuition framework.</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</si>
  <si>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t>
  </si>
  <si>
    <t>queens_2019_2</t>
  </si>
  <si>
    <t>queens_2019_5</t>
  </si>
  <si>
    <t>queens_2019_6</t>
  </si>
  <si>
    <t>queens_2019_7</t>
  </si>
  <si>
    <t>Almost 96% of revenue in the Operating budget is mostly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</si>
  <si>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</si>
  <si>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For the three-year planning period to 2022-23,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</si>
  <si>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second year of this budget planning
time frame. Consequently, this budget assumes a continuation of the 2020-21 tuition framework of a
0% increase for funding-eligible programs. Universities continue to await an announcement on the
future of the new tuition framework.</t>
  </si>
  <si>
    <t>queens_2020_5</t>
  </si>
  <si>
    <t>queens_2020_6</t>
  </si>
  <si>
    <t>queens_2020_8</t>
  </si>
  <si>
    <t>queens_2020_9</t>
  </si>
  <si>
    <t>queens_2021</t>
  </si>
  <si>
    <t>queens_2021_1</t>
  </si>
  <si>
    <t>Almost 97% of revenue in the Operating budget is mainly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</si>
  <si>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Provincial grant revenue, although presenting with some certainty over the next few years, is still
financially limiting for the University as the maximum grant to be received will be maintained at the
2019-20 level until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 The amount of funding at-risk in
the performance-based envelope will increase from 25% of sector-wide grant revenue in 2020-21 to
60% by 2024-25 by shifting funding from the enrolment envelope into the performance-based
envelope. Although this at-risk funding was intended to begin in 2020-21, the ministry announced the decoupling of funding from the performance against metrics for at least the first two years of the
SMA3 period (2020-21 &amp; 2021-22).</t>
  </si>
  <si>
    <t>For the three-year planning period to 2023-24,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</si>
  <si>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queens_2021_2</t>
  </si>
  <si>
    <t>queens_2021_4</t>
  </si>
  <si>
    <t>queens_2021_5</t>
  </si>
  <si>
    <t>queens_2022</t>
  </si>
  <si>
    <t>queens_2022_1</t>
  </si>
  <si>
    <t>Provincial grant revenue is financially limiting for the University because the maximum grant will be
maintained at the 2019-20 level until, at a minimum,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Applying the enrolment corridor
for each institution allows the government to cap how many domestic students it will fund through the
operating grant portion. The university is expected to adhere to the enrolment corridor based on a
rolling average. Any sustained growth above the mid-point does not result in additional provincial
grant funding for those students but does result in additional tuition revenue. Recently, Queen’s has
planned for careful growth above the mid-point in select, high-demand areas.</t>
  </si>
  <si>
    <t>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t>
  </si>
  <si>
    <t>The province provided a number of announcements late in fiscal 2021-22 which are outlined in the
Government Grant section of this report. These announcements defer the at-risk funding linked to
SMA3, provide additional funding for undergraduate and postgraduate medical spaces, and confirm
the tuition framework for 2022-23.</t>
  </si>
  <si>
    <t>For the three-year planning period to 2024-25,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</si>
  <si>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March 23, 2022, the provincial government announced the tuition framework applicable for only percent. As a result, the University will apply a five percent increase to tuition fees for domestic out-ofprovince
incoming direct-entry undergraduate students only. Due to the system and administrative
changes required to identify the out-of-province students, the budget presented here does not reflect
the impact of any such increases.
2022-23 which continues to restrict flexibility for the University by freezing tuition fees for domestic
funding-eligible programs at 2019-20 levels for Ontario students. However, the province will provide
institutions the ability to increase tuition fees for domestic out-of-province students by up to five</t>
  </si>
  <si>
    <t>queens_2022_2</t>
  </si>
  <si>
    <t>queens_2022_3</t>
  </si>
  <si>
    <t>queens_2022_4</t>
  </si>
  <si>
    <t>queens_2022_5</t>
  </si>
  <si>
    <t>queens_2022_6</t>
  </si>
  <si>
    <t>queens_2022_7</t>
  </si>
  <si>
    <t>queens_2023</t>
  </si>
  <si>
    <t>queens_2023_1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</si>
  <si>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</si>
  <si>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</si>
  <si>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Subsequent to the budget being approved by the Board of Trustees, the University imposed a hiring
freeze in May 2023 for full-time operating budget positions. This temporary measure will have an
immediate impact by reducing the University’s projected 2023-24 deficit and providing a starting point
to explore other cost containment options. The University is committed to achieving a balanced budget
by 2025-26.</t>
  </si>
  <si>
    <t>Provincial grant revenue is financially limiting for the University because the maximum grant will be
maintained at the 2019-20 level until, at a minimum, 2024-25.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</si>
  <si>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SMA3, the performance-based envelope is linked to ten metrics with differing weights for
each metric set by each individual institution. The funding in the performance-based envelope is at-risk
unless the targets, set through a calculated methodology based on past average experience in each
metric, are continually met.</t>
  </si>
  <si>
    <t>For the three-year planning period to 2025-26, the University is committed to balanced budgets, with continued support for key functions in the Shared Services, all balanced by ensuring that sufficient
incremental revenue remains in the Faculties to support the academic and research missions of the
University. The need to diversify revenue remains important.
flexibility in the form of a contingency fund, continued investment in infrastructure renewal, and</t>
  </si>
  <si>
    <t>On March 2, 2023, the provincial government announced the tuition framework applicable for only
2023-24 which continues to restrict flexibility for the University by freezing tuition fees for domestic
funding-eligible programs at 2019-20 levels for Ontario students. However, the province will provide
institutions with the ability to increase tuition fees for domestic out-of-province students by up to five
per cent. As a result, the University will apply a five per cent increase to tuition fees for year-one and
year-two domestic out-of-province direct-entry undergraduate students only. In addition, the tuition
framework provided for the ability to increase tuition fees by up to 7.5% for up to three programs
whose tuition fees were on average anomalous to comparator programs in the province. As the tuition
anomaly provision was announced late in the process, the budget presented here does not reflect the
impact of the additional revenue that will materialize from the tuition anomaly provision.</t>
  </si>
  <si>
    <t>queens_2023_2</t>
  </si>
  <si>
    <t>queens_2023_3</t>
  </si>
  <si>
    <t>queens_2023_4</t>
  </si>
  <si>
    <t>queens_2023_5</t>
  </si>
  <si>
    <t>queens_2023_7</t>
  </si>
  <si>
    <t>queens_2023_8</t>
  </si>
  <si>
    <t>queens_2024</t>
  </si>
  <si>
    <t>queens_2024_1</t>
  </si>
  <si>
    <t>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</si>
  <si>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has limited funding increases for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</si>
  <si>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</si>
  <si>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After a period of decoupling funding from the performance metrics, the ministry re-introduced the
funding linked to SMA3 metrics for 2023-24 and 2024-25, but at lower rates than were originally
contemplated; this now places 10 per cent of funding at-risk for 2023-24 and 25 per cent at-risk for
2024-25 (confirmed by the ministry on February 27, 2024). The university continues to be in a good
position to perform well on most of the metrics, however the budget does allow for some revenue
reduction to accommodate for potential revenue loss experienced through the annual evaluation.
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 for 2024-
25.</t>
  </si>
  <si>
    <t>For the three-year planning period, the university is committed to prudent stewardship of funds, with incremental revenue remains in the Faculties to support the academic and research missions of the
university. The need to diversify revenue remains important.
flexibility in the form of a contingency fund, continued investment in infrastructure renewal, and
continued support for key functions in the shared services, all balanced by ensuring that sufficient</t>
  </si>
  <si>
    <t>On February 27, 2024, the provincial government announced the tuition framework applicable for the
next three years, which continues to restrict flexibility for the university by freezing tuition fees for
domestic funding-eligible programs at 2019-20 levels for Ontario students for at least three more
years. However, the province will provide institutions with the ability to increase tuition fees for
domestic out-of-province students by up to five per cent. As a result, the university will apply a five per
cent increase to tuition fees for year-one, year-two and year-three domestic out-of-province directentry
undergraduate students only.
Additionally, the tuition framework continues to provide for the ability to increase tuition fees by up to
7.5 per cent for three programs whose tuition fees are on average anomalous to comparator programs
in the province.</t>
  </si>
  <si>
    <t>Over the summer and fall in 2023, all units (both shared services and faculties/schools) planned their
budgets and reductions required to meet the financial scenario of having their allocations cut. The
funding that was cut from their allocations was held in a Deficit Mitigation Fund to help determine
what areas were most critically in need and unable to mitigate the cuts in budget. As a result of this
planning exercise, shared services demonstrated plans to achieve structural balance by 2025-26,
however, the faculties/schools are unlikely to achieve structural balance by 2025-26 mostly due to the
significant impact of lost revenue and cost escalation in the Faculty of Arts &amp; Science (FAS). As a result,
the entire deficit mitigation fund will be allocated to FAS, along with a portion of the university fund,
by way of unallocated funds set aside for future commitment and a reduction in the transfers to capital
that were initially earmarked for future capital needs linked with the priorities set through the Capital
Investment Priorities.</t>
  </si>
  <si>
    <t>queens_2024_2</t>
  </si>
  <si>
    <t>queens_2024_3</t>
  </si>
  <si>
    <t>queens_2024_4</t>
  </si>
  <si>
    <t>queens_2024_5</t>
  </si>
  <si>
    <t>queens_2024_6</t>
  </si>
  <si>
    <t>queens_2024_7</t>
  </si>
  <si>
    <t>queens_2024_8</t>
  </si>
  <si>
    <t>queens_2025</t>
  </si>
  <si>
    <t>queens_2025_1</t>
  </si>
  <si>
    <t>Approximately 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</si>
  <si>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be reduced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</si>
  <si>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SMA4 the performance-based envelope will be linked to eight metrics with differing weights
for each metric set by each individual institution. A portion of the funding in the performance-based
envelope is at risk unless the targets, set through a calculated methodology based on past average
experience in each metric, are continually met.</t>
  </si>
  <si>
    <t>The ministry will continue with approximately 25% of the government grant funding linked to SMA4
metrics, with the expectation that the percentage will increase by 5% per year. The university
continues to be in a good position to perform well on most of the metrics, however the budget does
allow for some revenue reduction to accommodate for potential revenue loss experienced through the
annual evaluation.</t>
  </si>
  <si>
    <t>For the three-year planning period, the university is committed to prudent stewardship of funds,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</si>
  <si>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February 27, 2024, the provincial government announced the tuition framework applicable for the 2026-27. However, the province did allow institutions to increase tuition fees for domestic out-ofprovince
students by up to five per cent. As a result, the university will apply a 5% increase to tuition
fees throughout the planning cycle for out-of-province direct-entry undergraduate students only.
Additionally, the tuition framework continues to provide for the ability to increase tuition fees by up to
7.5% for three programs whose tuition fees are on average anomalous to comparator programs in the
province. The three programs reach their maximum approved tuition value during the three-year
budget horizon.
next three years, which continues to restrict flexibility for the university by freezing tuition fees for
domestic funding-eligible programs at 2019-20 levels for Ontario students for at least until the end of</t>
  </si>
  <si>
    <t>Over the summer, units planned their budgets and reductions required to meet the financial scenario
of having their allocations frozen or cut. The funding that was cut from their allocations was held in a
Deficit Mitigation Fund. As a result of this planning exercise, shared services demonstrated plans to
achieve structural balance by 2025-26, along with most of the faculties/schools, except for the Faculty
of Arts and Science which was unable to achieve structural balance mostly due to the continued impact
of lost revenue and cost escalation. As a result, the entire Deficit Mitigation Fund allocated to FAS,
along with a portion of the Transition Fund (University Fund).</t>
  </si>
  <si>
    <t>queens_2025_2</t>
  </si>
  <si>
    <t>queens_2025_3</t>
  </si>
  <si>
    <t>queens_2025_4</t>
  </si>
  <si>
    <t>queens_2025_6</t>
  </si>
  <si>
    <t>queens_2025_7</t>
  </si>
  <si>
    <t>queens_2025_8</t>
  </si>
  <si>
    <t>uoft_2017</t>
  </si>
  <si>
    <t>University of Toronto</t>
  </si>
  <si>
    <t>The 2016 year experienced an improvement in the global economy with the US economy expected to grow over the next two years. The Bank of Canada Monetary Policy report released in January 2017 sees ongoing constraints on the growth in economic activity in Canada through 2017, with modest growth in real GDP, export growth limited by the recent appreciation of the Canadian dollar relative to the US dollar, and CPI inflation expected to be around 2%. While Ontario’s economy has continued to grow in the uncertain global environment, the Province continues to run a deficit budget, projected at $4.2 billion in their 2016 fall economic outlook, imposing pressure on all provincially funded sectors.</t>
  </si>
  <si>
    <t>The Province is also engaging with universities and colleges in a funding-formula review designed to support the new differentiation framework. While the current funding model for universities is primarily enrolment driven, the new funding formula is designed to focus on accomplishing three key objectives:
1. Improving student outcomes;
2. Driving differentiation by linking funding to SMAs; and
3. Providing stability to institutions through a formula which provides predictable funding and supports enrolment planning during a period of projected demographic change and enrolment decline.</t>
  </si>
  <si>
    <t>Transition to the new funding formula in 2017-18 is designed to ensure that no university will see changes to core funding levels as a result of the transition. Beyond that, changes will be gradual and subject to negotiation between each university and MAESD via Strategic Mandate Agreements.</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</si>
  <si>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1.0% relative to January 2016, slightly less than the provincial total of 1.5%. Total University of Toronto applications for all choices increased 3.0%, compared to a system total increase of 2.7%. In the non-Ontario high school category, application numbers do not become fully meaningful until later in the spring. System upgrades at OUAC (the provincial application processing centre) this year have also resulted in processing delays for these applications, which make year-over-year comparisons difficult at this point in time. However, initial indications suggest strong growth in this pool for the University of Toronto.</t>
  </si>
  <si>
    <t>The University met its master’s enrolment target in 2016-17 and there is demand for another 1,000 provincially-funded spaces over the next five years. Doctoral enrolment (for provincially funded spaces) has held constant this year relative to last, however divisions plan for growth about 500 more domestic student spaces. Many divisions continue to push for advocacy with the province for increasing the number of funded international PhD spaces, currently only at thirty eight.</t>
  </si>
  <si>
    <t>The University of Toronto is independently committed to student aid and is guided by the 1998 Governing Council policy on accessibility, which predates the government’s framework, and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</si>
  <si>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and 23% of full time domestic 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the portion of total tuition paid by OSAP-eligible students, on average in 2014-15 (the year the university last completed the study) was 51% of the posted rate. There has been a 2.1% increase of students with OSAP debt graduating from direct-entry programs since 2010-11; however, the average OSAP debt of these students decreased over the same period by 3%. The combination of these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</si>
  <si>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the institutional cost of research, and graduate student support.</t>
  </si>
  <si>
    <t>The Canada Research Chairs program introduced in 2000-01 provides salary and research support for outstanding university researchers on a competitive basis. Research chairs are awarded to each university based on its share of research funding by the federal granting councils. The University experienced a decline in the number of CRC chairs several years ago but the trend is reversing as we increase our share in tri-council funding competitions. Since the CRC program was introduced, inflation has reduced the effective value of Chair funding by over 25%. An appropriate adjustment to government funding is long overdue.</t>
  </si>
  <si>
    <t>As a long-standing subject of government advocacy, universities have been requesting that the federal government recognize the full cost of research in its research funding policy, with a 40% rate as a minimum target for the indirect costs. The government began to provide institutional costs of research funding in 2003-04 through what is now called the Research Support Fund (RSF), with an effective rate for the University of Toronto now at 17.3%. This is currently contributing just over $20 million to the University’s operating budget, and continues to be considerably short of the actual institutional cost of research, estimated at over 50% at the University of Toronto. A doubling of the federal RSF rate would bring us to $40 million, putting us somewhat closer to our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</si>
  <si>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The support for graduate students has not kept pace with the rapid growth in graduate enrolment.</t>
  </si>
  <si>
    <t>uoft_2017_2</t>
  </si>
  <si>
    <t>uoft_2017_6</t>
  </si>
  <si>
    <t>uoft_2017_8</t>
  </si>
  <si>
    <t>uoft_2017_10</t>
  </si>
  <si>
    <t>uoft_2017_11</t>
  </si>
  <si>
    <t>uoft_2017_14</t>
  </si>
  <si>
    <t>uoft_2017_15</t>
  </si>
  <si>
    <t>uoft_2017_17</t>
  </si>
  <si>
    <t>uoft_2017_19</t>
  </si>
  <si>
    <t>uoft_2017_20</t>
  </si>
  <si>
    <t>uoft_2017_21</t>
  </si>
  <si>
    <t>uoft_2018</t>
  </si>
  <si>
    <t>Ontario’s economy has continued to grow in the uncertain global environment. The Public Accounts of Ontario indicate that the actual 2016-17 deficit was $1.0 billion, down from $10.3 billion in 2014-15. According to the 2017 fall economic outlook
4, the Province continues to focus on balancing the budget, and maintaining that balance through 2019–20. Spending restraint continues to impose pressure on all provincially-funded sectors.</t>
  </si>
  <si>
    <t>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operationalized through a Strategic Mandate Agreement for each institution, which “outlines the role the University currently performs in Ontario’s postsecondary education system and how it will build on its current strengths to achieve its vision and help to drive system-wide objectives and government priorities.” Future funding is expected to be increasingly directed towards achievement of excellence metrics, rather than enrolment numbers. This is a welcome change for the University of Toronto and reflects the University’s long-term advocacy for differentiation.</t>
  </si>
  <si>
    <t>Effective 2017-18, the Province has implemented a new funding formula to support this differentiation policy framework. The new formula is designed to focus on accomplishing three key objectives: 1) improving student outcomes; 2) driving differentiation by linking funding to SMAs; and 3) providing stable, predictable funding while supporting enrolment planning during this period of projected demographic change and enrolment decline.</t>
  </si>
  <si>
    <t>Transition to the new funding formula in 2017-18 is designed to ensure that no university will see changes to core funding levels as a result of the transition. In future years, changes will be gradual and subject to negotiation between each university and MAESD via Strategic Mandate Agreements.</t>
  </si>
  <si>
    <t>In October 2017, the University signed a new Strategic Mandate Agreement (SMA2) with the Province for the period 2017-2020. This is the second multi-year agreement developed under the differentiation policy framework for post-secondary education, and re-confirms the university’s leadership role in research and innovation in Ontario.</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</si>
  <si>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2.7% relative to January 2017, compared to an average increase of 1.6% for the other research-intensive Ontario universities (McMaster, Ottawa, Queen’s, Waterloo, Western), and an average decline of 1.8% for all other universities combined. Total University of Toronto applications for all choices increased 4.4%, compared to a system total increase of 5.4%. In the non-Ontario high school category, application numbers do not become fully meaningful until later in the spring.</t>
  </si>
  <si>
    <t>The University of Toronto is independently committed to student aid, and is guided by the 1998 Governing Council Policy on Accessibility, which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</si>
  <si>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The proportion of students graduating from direct-entry programs with OSAP debt remains relatively stable, at 49.2% of graduates in 2016-17 versus 49.4% of graduates in 2011-12. The average amount of OSAP debt at graduation has increased by 1.4% in real terms over the same period. The combination of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</si>
  <si>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</si>
  <si>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The Naylor report recommends a 40% rate as a target for funding of indirect costs. Increases to the Research Support Fund announced in federal budgets 2015 and 2016 have increased the rate slightly to 18.9%, but this remains considerably short of the actual institutional cost of research, estimated at over 50% at the University of Toronto. A doubling of the federal RSF rate would bring us to $45 million, putting us somewhat closer to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</si>
  <si>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</si>
  <si>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uoft_2018_3</t>
  </si>
  <si>
    <t>uoft_2018_5</t>
  </si>
  <si>
    <t>uoft_2018_6</t>
  </si>
  <si>
    <t>uoft_2018_7</t>
  </si>
  <si>
    <t>uoft_2018_8</t>
  </si>
  <si>
    <t>uoft_2018_14</t>
  </si>
  <si>
    <t>uoft_2018_17</t>
  </si>
  <si>
    <t>uoft_2018_19</t>
  </si>
  <si>
    <t>uoft_2018_21</t>
  </si>
  <si>
    <t>uoft_2018_22</t>
  </si>
  <si>
    <t>uoft_2018_24</t>
  </si>
  <si>
    <t>uoft_2018_25</t>
  </si>
  <si>
    <t>uoft_2019</t>
  </si>
  <si>
    <t>The government is committed to returning the Province to
balanced budgets on a modest, reasonable and pragmatic
timetable. The University anticipates that this spending restraint
will impose significant pressure on all provincially-funded sectors.</t>
  </si>
  <si>
    <t>The SMA2 also allocated 10% of operating grant revenue
($65 million in 2018–19)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Although funding in
the differentiation envelope is revenue-neutral throughout the
period of SMA2, it is anticipated that a greater portion of future
funding will be directed towards achievement of accountability
metrics, rather than enrolment numbers. The University is
engaged in consultation with the Province on the design of
metrics and funding mechanisms that will be included in the
third Strategic Mandate Agreement (SMA3) beginning in 2020.</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</si>
  <si>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</si>
  <si>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April 2017, a panel led by UofT President Emeritus David research. The University incurs roughly $0.55 in operating
costs related to each $1.00 in direct research expenditures,
and recovers a portion of these costs from restricted research
funds based on the indirect cost rate specified in each grant.
Naylor issued the final report of Canada’s Fundamental Science
Review (the Naylor Report). The Naylor report recommended
a 40% rate as a target for funding of the indirect costs of</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</si>
  <si>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</si>
  <si>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</si>
  <si>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is facing increasing financial pressure, with a 2017, the President and Provost established an advisory group
to consider how the University might broaden its funding 2017, the President and Provost established an advisory group
to consider how the University might broaden its funding
sources to provide it with a strong financial basis going forward.
sources to provide it with a strong financial basis going forward.
declining portion of operating revenues coming from provincial
operating grants and constrained tuition and enrolment
frameworks. Our commitment to being an internationally
significant research university requires us to think creatively
about how we might fund our mission and aspirations. In fall</t>
  </si>
  <si>
    <t>The advisory group will articulate a set of principles to guide
recommendations regarding alternative funding sources and,
after consultation and review of a broad range of options, will
recommend a limited set of strategies that the University might
pursue. Work of the advisory group is ongoing, and a report
is expected by the end of the 2018–19 academic year.</t>
  </si>
  <si>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</si>
  <si>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uoft_2019_4</t>
  </si>
  <si>
    <t>uoft_2019_7</t>
  </si>
  <si>
    <t>uoft_2019_9</t>
  </si>
  <si>
    <t>uoft_2019_10</t>
  </si>
  <si>
    <t>uoft_2019_11</t>
  </si>
  <si>
    <t>uoft_2019_12</t>
  </si>
  <si>
    <t>uoft_2019_13</t>
  </si>
  <si>
    <t>uoft_2019_14</t>
  </si>
  <si>
    <t>uoft_2019_15</t>
  </si>
  <si>
    <t>uoft_2019_16</t>
  </si>
  <si>
    <t>uoft_2020</t>
  </si>
  <si>
    <t>pres_external</t>
  </si>
  <si>
    <t>pres_exp</t>
  </si>
  <si>
    <t>prov_external</t>
  </si>
  <si>
    <t>prov_exp</t>
  </si>
  <si>
    <t>The government remains committed to returning the Province to balanced budgets by 2023, in a way that allows for critical infrastructure investments and ensures public services continue to be supported. The University anticipates that spending restraint will impose significant pressure on all provincially-funded sectors. </t>
  </si>
  <si>
    <r>
      <t>The second Strategic Mandate Agreement</t>
    </r>
    <r>
      <rPr>
        <sz val="5"/>
        <color rgb="FF211D1E"/>
        <rFont val="Helvetica"/>
        <family val="2"/>
      </rPr>
      <t>5</t>
    </r>
    <r>
      <rPr>
        <sz val="9"/>
        <color rgb="FF211D1E"/>
        <rFont val="Helvetica"/>
        <family val="2"/>
      </rPr>
      <t>, covering the period 2017-2020, introduced the concept of performance based funding within the existing Provincial operating grant envelope. The agreement notionally re-directed 10% of operating grant revenue ($65 million for the University of Toronto)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Funding in the differentiation envelope was not at risk for the period of SMA2.</t>
    </r>
  </si>
  <si>
    <t>While the Government will determine the indicators and the targets, institutions can decide the distribution of total funding among the metrics, and will be measured against their own past performance, not against other institutions. Specific targets will be finalized by the end of March 2020. </t>
  </si>
  <si>
    <t>In April 2017, a panel led by UofT President Emeritus David Naylor issued the final report of Canada’s Fundamental Science Review (the Naylor Report). The Naylor Report recommended a 40% rate as a target for funding of the indirect costs of research. The University incurs roughly $0.55 in operating costs related to each $1.00 in direct research expenditures, and recovers a portion of these costs from restricted research funds based on the indirect cost rate specified in each grant.</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</si>
  <si>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 </t>
  </si>
  <si>
    <t>The University is facing increasing financial pressure, with a declining portion of operating revenues coming from provincial operating grants and constrained tuition and enrolment frameworks. The University’s commitment to being an internationally significant research university requires creative solutions to fund its mission and aspirations. In Fall 2017, the President and Provost established an advisory group to consider how the University might broaden its funding sources to provide it with a strong financial basis going forward. </t>
  </si>
  <si>
    <r>
      <t>In the spring of 2019, the advisory group issued its final report</t>
    </r>
    <r>
      <rPr>
        <sz val="5"/>
        <color rgb="FF211D1E"/>
        <rFont val="Helvetica"/>
        <family val="2"/>
      </rPr>
      <t>6</t>
    </r>
    <r>
      <rPr>
        <sz val="9"/>
        <color rgb="FF211D1E"/>
        <rFont val="Helvetica"/>
        <family val="2"/>
      </rPr>
      <t>. The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t>
    </r>
  </si>
  <si>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</si>
  <si>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uoft_2020_2</t>
  </si>
  <si>
    <t>uoft_2020_5</t>
  </si>
  <si>
    <t>uoft_2020_6</t>
  </si>
  <si>
    <t>uoft_2020_9</t>
  </si>
  <si>
    <t>uoft_2020_11</t>
  </si>
  <si>
    <t>uoft_2020_12</t>
  </si>
  <si>
    <t>uoft_2020_13</t>
  </si>
  <si>
    <t>uoft_2020_14</t>
  </si>
  <si>
    <t>uoft_2020_15</t>
  </si>
  <si>
    <t>uoft_2020_16</t>
  </si>
  <si>
    <t>uoft_2020_17</t>
  </si>
  <si>
    <t>pres_new</t>
  </si>
  <si>
    <t>prov_new</t>
  </si>
  <si>
    <t>uoft_2021</t>
  </si>
  <si>
    <t>The Ontario post-secondary education system operates under a differentiation policy framework². The framework is operationalized through a series of institutional Strategic Mandate Agreements, which specify the role of each university in the system and how each will build on institutional strengths to drive system-wide objectives and government priorities.</t>
  </si>
  <si>
    <t>Over the course of 2019, the Council of Ontario Universities worked with the Ministry of Colleges and Universities to introduce mechanisms to the SMA3 performance-based funding formula that increase predictability and minimize volatility for institutions. For funding purposes, each university is measured against its own past performance, not against other institutions. Targets are established formulaically, taking into consideration past performance and the variability of results in recent years. Each target includes a range of allowable performance outcomes, with partial funding provided if performance falls below the allowable performance range.</t>
  </si>
  <si>
    <t>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</si>
  <si>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On October 6, 2020, the Ontario government announced an investment of $19 million to fund mental health supports for postsecondary students in 2020-21, an increase of $3 million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</si>
  <si>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beginning in 2019-20, and a freeze at that level for 2020-21. Tuition paid by international students was unaffected. The compounding effect of this two-year framework has a long-lasting impact, and now represents a reduction of $113 million in domestic tuition fee revenue for 2021-22 relative to the previous long
range budget guidelines that assumed the former tuition
framework of 3% annual average fee increases would remain
in place. At this time, no domestic fee framework has been
announced for the 2021-22 fiscal year. The University
has conservatively assumed an extension of the existing
framework, including a freeze for the 2021-22 budget year.
This one-year extension of the domestic tuition fee freeze
would further reduce tuition fee revenue by $26 million
in 2021-22 relative to the University’s previous long range
budget plan.</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</si>
  <si>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</si>
  <si>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outstanding university researchers on a competitive basis.
Research chairs are awarded to each university based on
its share of research funding by the three federal granting
councils: the Canadian Institutes of Health Research
(CIHR), the Natural Sciences and Engineering Research
Council Canada (NSERC), and the Social Sciences and
Humanities Research Council of Canada (SSHRC). The
University of Toronto has the country’s largest allocation of
CRCs, with over 300 Chairs spread across three campuses
and nine fully affiliated hospitals. These Chairs make
an important contribution to the University’s operating
budget and have a significant impact on the University’s
ability to recruit and retain outstanding scholars. Since the
CRC program was introduced, inflation has reduced the
effective value of Chair funding by over 40%. An appropriate
adjustment to the value of these awards is long overdue.
in 2000-01 contributes to salary and research support for</t>
  </si>
  <si>
    <t>Most research sponsored by NSERC, SSHRC and CIHR
funding programs generates indirect cost funding from
the federal Research Support Fund (RSF) and the
recently introduced Incremental Project Grant (IPG). The
University of Toronto’s effective rate of federal indirect costs
recovered from these programs was approximately 21% in
2019-20.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</si>
  <si>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</si>
  <si>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</si>
  <si>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 range budget assumptions.</t>
  </si>
  <si>
    <t>uoft_2021_6</t>
  </si>
  <si>
    <t>uoft_2021_8</t>
  </si>
  <si>
    <t>uoft_2021_9</t>
  </si>
  <si>
    <t>uoft_2021_12</t>
  </si>
  <si>
    <t>uoft_2021_13</t>
  </si>
  <si>
    <t>uoft_2021_15</t>
  </si>
  <si>
    <t>uoft_2021_16</t>
  </si>
  <si>
    <t>uoft_2021_18</t>
  </si>
  <si>
    <t>uoft_2021_19</t>
  </si>
  <si>
    <t>uoft_2021_20</t>
  </si>
  <si>
    <t>uoft_2021_21</t>
  </si>
  <si>
    <t>uoft_2021_22</t>
  </si>
  <si>
    <t>uoft_2022</t>
  </si>
  <si>
    <t>According to the Ontario Budget released in March 20214 and follow up November 2021 Fall Economic Statement5 the Government is not planning any inflationary increases to the University’s operating grant over the next three years. One-time funding has been set aside to support colleges and universities under significant financial pressure from the pandemic, although the University is unlikely to qualify for support given our financial position.</t>
  </si>
  <si>
    <t>In the Fall Economic Statement, the Government announced an investment of $27.9 million in funding for mental health supports for postsecondary students in 2021-22, representing an $8.7 million increase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</si>
  <si>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for 2019-20,
and a freeze at that level for 2020-21. The freeze was
subsequently extended for one year to 2021-22 on April 30,
2021. Tuition paid by international students was unaffected.
The compounding effect of this three-year framework has
a long-lasting impact, and now represents a reduction
of $139 million in domestic tuition fee revenue for 2022-
23 relative to the previous long-range budget guidelines
that assumed continuation of the previous framework of 3%
annual average fee increases.</t>
  </si>
  <si>
    <t>In 2021-22, the Government introduced a new policy as defined under the OSAP definitions, could be increased
by up to 3% while fees for Ontario residents would
remain frozen. Given the lateness of the announcement
of the fee framework, coming at the start of the Summer
2021 session, the University opted to not implement
differentiated fees for 2021-22. However, if this policy
continues, the University will proceed with establishing
differentiated fees for non-Ontario resident domestic
students, with a 3% increase to fees for all undergraduate
programs in 2022-23.
allowing for differentiated fees for Out of Province domestic
students. Fees for non-Ontario resident domestic students,</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</si>
  <si>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</si>
  <si>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nine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t>
  </si>
  <si>
    <t>Most research sponsored by NSERC, SSHRC and CIHR
funding programs generates indirect cost funding from the
federal Research Support Fund (RSF) and the Incremental
Project Grant (IPG). The University of Toronto’s effective rate
of federal indirect costs recovered from these programs was
approximately 20% in 2020-21,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</si>
  <si>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t>
  </si>
  <si>
    <t>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</si>
  <si>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</si>
  <si>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long-range budget assumptions.</t>
  </si>
  <si>
    <t>uoft_2022_8</t>
  </si>
  <si>
    <t>uoft_2022_10</t>
  </si>
  <si>
    <t>uoft_2022_11</t>
  </si>
  <si>
    <t>uoft_2022_14</t>
  </si>
  <si>
    <t>uoft_2022_16</t>
  </si>
  <si>
    <t>uoft_2022_17</t>
  </si>
  <si>
    <t>uoft_2022_19</t>
  </si>
  <si>
    <t>uoft_2022_21</t>
  </si>
  <si>
    <t>uoft_2022_22</t>
  </si>
  <si>
    <t>uoft_2022_24</t>
  </si>
  <si>
    <t>uoft_2022_25</t>
  </si>
  <si>
    <t>uoft_2022_26</t>
  </si>
  <si>
    <t>uoft_2022_27</t>
  </si>
  <si>
    <t>uoft_2022_28</t>
  </si>
  <si>
    <t>uoft_2022_29</t>
  </si>
  <si>
    <t>queens_2020_10</t>
  </si>
  <si>
    <t>The Ministry remains committed to maintaining the 2016-17 funding level for all universities and will
roll-in the graduate growth over 2016-17 actually achieved as at the end of 2019-20. The 2020-21
budget assumes full funding of graduate grant based on achieving the projected growth targets. The
Ministry will continue with the enrolment corridor funding methodology which would ensure the grant
revenue in the enrolment envelope remains constant if enrolment remains within +/- 3% of the
enrolment mid-point to be set based on the actual enrolment for 2019-20 (current set at the 2016-17
level). The performance-based envelope will be linked to ten metrics with differing weights for each
metric to be set by each individual institution. The funding in the performance-based envelope will be
at risk assuming the targets set through a calculated methodology based on past average experience in
each metric is continually met. The amount of funding at-risk in the performance-based envelope will
increase from 25% of total grant revenue in 2020-21 to 60% by 2024-25 by shifting funding from the
enrolment envelope into the performance-based envelope. Although this at-risk funding was intended
to begin in 2020-21, the ministry has decided to decouple the linkage of performance on the metrics to
funding for two years in 2022-23.</t>
  </si>
  <si>
    <t>TOTALS</t>
  </si>
  <si>
    <t>LOW</t>
  </si>
  <si>
    <t>MEDIUM</t>
  </si>
  <si>
    <t>HIGH</t>
  </si>
  <si>
    <t>TOTAL</t>
  </si>
  <si>
    <t>uoft_2023</t>
  </si>
  <si>
    <t>uoft_2023_6</t>
  </si>
  <si>
    <t>Demand for the University’s programs continues to be very strong with deep domestic and international undergraduate applicant pools for Fall 2022. After the exceptionally high intake in 2021, the University had planned on a slightly smaller direct entry undergraduate intake for 2022. Actual full-time intake came in about 3.8% lower than planned (or 620 students on a 16,449 target), although still about 3.8% higher than in 2020. This year, the Federal Government faced significant challenges in processing student permit applications given a large increase in volumes across the country. Over the summer, the University worked closely with Immigration, Refugees &amp; Citizenship Canada (IRCC) to reduce the impact on our students as much as possible. Ultimately, approximately 150 of our incoming students were forced to defer their admission to the winter or next fall which, anecdotally, appears to be significantly better than experienced at some other universities and colleges who have signaled deferral rates of 30% and even higher. The University will continue to work with Universities Canada and IRCC on opportunities to improve the student permit process for next year.</t>
  </si>
  <si>
    <t>uoft_2023_12</t>
  </si>
  <si>
    <t>uoft_2023_14</t>
  </si>
  <si>
    <t>Under the SMA3 performance-based funding formula, each university will be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</si>
  <si>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uoft_2023_15</t>
  </si>
  <si>
    <t>In recognition of the potential impact of the COVID-19 pandemic on metrics, the Government suspended activation of the performance-based funding framework for the first three years of the SMA3 period and has committed to reviewing this annually. Under the current plan, the performance-based funding framework will be activated in year four on only a portion of the Differentiation Envelope, beginning with 10% of total funding in 2023-24 and increasing to 25% in 2024-25. The University exceeded all of its metrics targets in the first two years of the SMA3 evaluation period and does not anticipate any reductions to funding if/when the performance-based framework is activated.</t>
  </si>
  <si>
    <t>uoft_2023_19</t>
  </si>
  <si>
    <t>In addition, the Government has committed $124.7 million over three years to significantly increase funding for nursing clinical operations at colleges and universities. Under this initiative, the University’s allocation for nursing clinical funding will roughly triple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t>
  </si>
  <si>
    <t>uoft_2023_23</t>
  </si>
  <si>
    <t>For 2022-23, the Government renewed their commitment to increase funding support for mental health services at colleges and universities by $4.8 million on top of the $10.5 million in on-going funding.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commitment and continues to advocate for additional continuing investments to meet the pressing need for access to mental health resources to complement the University’s increased investments in this area. </t>
  </si>
  <si>
    <t>uoft_2023_26</t>
  </si>
  <si>
    <t>Unfortunately, it appears that the Provincial Government will again extend the freeze on domestic tuition fees for Ontario residents for another year. The cumulative impact of the 10% cut and now four-year freeze is a $195 million reduction in annual operating revenue to the University in 2023-24 compared to the 3% average framework in place prior to 2019-20. Our domestic fees continue to be lower than they were in 2018-19 and after inflation, our fee for Arts &amp; Science programs is lower than it was in 1999. </t>
  </si>
  <si>
    <t>uoft_2023_27</t>
  </si>
  <si>
    <r>
      <t xml:space="preserve">This decision is especially disappointing given the current high inflation environment and the Ontario Auditor General’s November 2022 </t>
    </r>
    <r>
      <rPr>
        <i/>
        <sz val="9"/>
        <color theme="1"/>
        <rFont val="Helvetica"/>
        <family val="2"/>
      </rPr>
      <t>Value for Money Audit on Financial Management in Ontario Universities</t>
    </r>
    <r>
      <rPr>
        <i/>
        <vertAlign val="superscript"/>
        <sz val="6"/>
        <color theme="1"/>
        <rFont val="Helvetica"/>
        <family val="2"/>
      </rPr>
      <t xml:space="preserve">6 </t>
    </r>
    <r>
      <rPr>
        <sz val="9"/>
        <color theme="1"/>
        <rFont val="Helvetica"/>
        <family val="2"/>
      </rPr>
      <t xml:space="preserve">and </t>
    </r>
    <r>
      <rPr>
        <i/>
        <sz val="9"/>
        <color theme="1"/>
        <rFont val="Helvetica"/>
        <family val="2"/>
      </rPr>
      <t>Special Report on Laurentian University</t>
    </r>
    <r>
      <rPr>
        <i/>
        <vertAlign val="superscript"/>
        <sz val="6"/>
        <color theme="1"/>
        <rFont val="Helvetica"/>
        <family val="2"/>
      </rPr>
      <t xml:space="preserve">7 </t>
    </r>
    <r>
      <rPr>
        <sz val="9"/>
        <color theme="1"/>
        <rFont val="Helvetica"/>
        <family val="2"/>
      </rPr>
      <t>that both highlighted the adverse financial impact on Ontario universities of the Government’s decision to reduce and freeze domestic tuition. The long-range plans continue to assume a return to a 3% framework after next year. </t>
    </r>
  </si>
  <si>
    <t>uoft_2023_28</t>
  </si>
  <si>
    <t>In 2021-22, the Government introduced a new policy allowing for differentiated fees for Out of Province domestic students. Given the lateness of the announcement of the fee framework, coming at the start of the Summer 2021 session, the University opted to not implement differentiated fees for 2021-22. However, the University proceeded with establishing differentiated fees for non-Ontario resident domestic students in 2022-23, with a 3% increase to fees for all undergraduate programs while fees for Ontario residents remained frozen under the framework. For 2023-24, the University is planning on a 5% increase to non-Ontario resident domestic fees in undergraduate programs, consistent with the framework. </t>
  </si>
  <si>
    <t>uoft_2023_29</t>
  </si>
  <si>
    <t>While the budget plan assumes a freeze to domestic Ontario resident tuition fees for next year, there is a small possibility that the Government could make a late announcement providing some flexibility on domestic tuition fees for 2023-24. Given the constraints that a continued freeze would put on budget resources to address pressures on expenses, the University must be able to use any flexibility provided. To position us to respond to a late announcement, the University is proposing an alternative set of tuition fee schedules that assume a 3% increase to Ontario resident domestic tuition fees in the 2023-24 Tuition Fee Report. </t>
  </si>
  <si>
    <t>uoft_2023_30</t>
  </si>
  <si>
    <t>If the Government does make a late announcement allowing this flexibility, this alternate set of tuition fees would be implemented in 2023-24, subject to any limitations in the framework. The change would increase revenue to the University by approximately $15 million, which would be allocated across divisions through the University’s budget model. </t>
  </si>
  <si>
    <t>uoft_2023_31</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</si>
  <si>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 </t>
  </si>
  <si>
    <t>uoft_2023_32</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</si>
  <si>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 </t>
  </si>
  <si>
    <t>uoft_2023_33</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</si>
  <si>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t>
  </si>
  <si>
    <t>uoft_2023_34</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</si>
  <si>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and the QEII Graduate Scholarships in Science and Technology. However, neither federal nor provincial government support for graduate students has kept pace with the rapid growth in graduate enrolment, placing a higher demand on faculty member research grants and the operating budget. </t>
  </si>
  <si>
    <t>uoft_2023_35</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</si>
  <si>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 </t>
  </si>
  <si>
    <t>uoft_2023_36</t>
  </si>
  <si>
    <r>
      <t>In 2019, the final report of the Alternative Funding Sources Advisory Group</t>
    </r>
    <r>
      <rPr>
        <vertAlign val="superscript"/>
        <sz val="6"/>
        <color theme="1"/>
        <rFont val="Helvetica"/>
        <family val="2"/>
      </rPr>
      <t xml:space="preserve">8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9 </t>
    </r>
    <r>
      <rPr>
        <sz val="9"/>
        <color theme="1"/>
        <rFont val="Helvetica"/>
        <family val="2"/>
      </rPr>
      <t>includes recommendations to enhance and expand the University’s lifelong learning offerings through initiatives such as a Lifelong Learning Community of Practice and micro-credentials. </t>
    </r>
  </si>
  <si>
    <t>uoft_2023_37</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</si>
  <si>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likely through a targeted Strategic Fund. </t>
  </si>
  <si>
    <t>uoft_2023_38</t>
  </si>
  <si>
    <t>Current projects in various stages of planning, design, and construction include a new residence at Spadina and Sussex currently under construction, a new residence on Harbord in development, the Site 1 Gateway project at Bloor and Spadina with faculty, staff and student family housing, and the Schwartz Reisman Innovation Campus (SRIC). </t>
  </si>
  <si>
    <t>uoft_2024</t>
  </si>
  <si>
    <t>uoft_2024_3</t>
  </si>
  <si>
    <t>On January 22, 2024, the Federal Government announced a two-year framework to cap new international student permits to the number expiring each year, which will result in an estimated 35% reduction in new permits nationally and a 50% reduction for Ontario because of a new distribution framework linked to population. Permits for graduate studies are exempted from the cap. These changes are focused on addressing abuses in the system by particular actors and are not intended to adversely impact universities such as the University of Toronto. We are working with all levels of government to ensure that the allocation of permits recognizes institutions like U of T (which uphold rigorous and transparent recruitment and admissions processes, and offer robust student supports) and addresses the problem where the challenges lie. </t>
  </si>
  <si>
    <t>uoft_2024_4</t>
  </si>
  <si>
    <t>The Federal Government continues to face significant challenges in timely processing of student permit applications given the large increase in volumes across the country in recent years. This past year, the University along with Universities Canada and other peer universities has worked with Immigration, Refugees &amp; Citizenship Canada (IRCC) to develop a new Recognized Institution Framework that will create a new, separate pathway for student permit processing for “recognized” institutions. We expect this to significantly improve the experience for our students and reduce time to approval when it is implemented. </t>
  </si>
  <si>
    <t>uoft_2024_8</t>
  </si>
  <si>
    <t>The impact of post-Bill 124 compensation decisions is a dominating factor in this year’s budget plan. </t>
  </si>
  <si>
    <t>uoft_2024_11</t>
  </si>
  <si>
    <t>In response, divisions have had to review their hiring plans, contingencies, capital plans, and other priorities. It will take several years for divisions to fully absorb this extraordinary increase in base costs, which will limit funding available for other priorities. </t>
  </si>
  <si>
    <t>uoft_2024_12</t>
  </si>
  <si>
    <t>In March 2023, the Ontario Government announced the creation of a new Blue-Ribbon Panel (BRP) to provide advice to the Ministry of College &amp; Universities on how to help keep the postsecondary education sector financially strong and focused on providing the best student experience possible. The Panel published their final report in November 20232 with a number of key recommendations that could have a significant impact on the University’s budget, including:
• Unfreeze domestic tuition with a 5% increase to undergraduate programs and 8% for professional programs. Future increases linked to CPI.
• Immediate 10% increase in operating grant funding and then linked to CPI.
• Fungibility between undergraduate and graduate spaces within the enrolment corridor.
• Consider funding enrolment growth to meet demand.
• A note from the Panel’s Chair to deregulate tuition at the University of Toronto in recognition of its pre-eminence and long-standing commitment to access.</t>
  </si>
  <si>
    <t>uoft_2024_14</t>
  </si>
  <si>
    <t>The BRP’s recommended 10% increase would represent about $65 million in additional critical revenue to the University. As we wait for the Government to respond to this recommendation, the budget plan does not assume additional operating grant revenue beyond the amount to offset the domestic tuition freeze. If the Ontario Budget includes an increase, the additional revenue would be allocated to divisions through the University’s budget model to support their highest priorities. </t>
  </si>
  <si>
    <t>uoft_2024_15</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</si>
  <si>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 </t>
  </si>
  <si>
    <t>uoft_2024_17</t>
  </si>
  <si>
    <t>uoft_2024_18</t>
  </si>
  <si>
    <t>In recognition of the potential impact of the COVID-19 pandemic on metrics, the Government suspended activation of the performance-based funding framework for the first three years of the SMA3 period and has reduced the amount of funding that will be linked to performance metrics. In 2023-24, the framework was activated with 10% of funding linked to the metrics. This will increase to 25% in 2024-25. The University exceeded all of its metrics targets in the first four years of the SMA3 evaluation period and does not anticipate any reductions to funding in the future. </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</si>
  <si>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 </t>
  </si>
  <si>
    <t>uoft_2024_21</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</si>
  <si>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t>
  </si>
  <si>
    <t>uoft_2024_29</t>
  </si>
  <si>
    <t>Unfortunately, it appears that the Government will again extend the domestic tuition freeze for a fifth year to 2024-25, resulting in a $15 million impact to the University’s plans for next year that assumed a modest 3% increase to Ontario resident tuition. In their public statements, the Government has also indicated that they will support colleges and universities through the freeze. As a result, the 2024-25 Budget assumes increased operating grant funding of $15 million to offset the financial impact of the extension of the freeze. Consistent with the Frameworks in place since 2021-22, the University is planning on a 5% increase to Non-Ontario Resident domestic tuition in undergraduate programs in 2024-25. </t>
  </si>
  <si>
    <t>uoft_2024_31</t>
  </si>
  <si>
    <t>uoft_2024_32</t>
  </si>
  <si>
    <t>uoft_2024_33</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</si>
  <si>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342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53%. An appropriate adjustment to the value of these awards is long overdue. </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</si>
  <si>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59%.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 </t>
  </si>
  <si>
    <t>uoft_2024_38</t>
  </si>
  <si>
    <t>uoft_2024_39</t>
  </si>
  <si>
    <t>uoft_2024_40</t>
  </si>
  <si>
    <r>
      <t>In 2019, the final report of the Alternative Funding Sources Advisory Group</t>
    </r>
    <r>
      <rPr>
        <vertAlign val="superscript"/>
        <sz val="6"/>
        <color theme="1"/>
        <rFont val="Helvetica"/>
        <family val="2"/>
      </rPr>
      <t xml:space="preserve">4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5 </t>
    </r>
    <r>
      <rPr>
        <sz val="9"/>
        <color theme="1"/>
        <rFont val="Helvetica"/>
        <family val="2"/>
      </rPr>
      <t>includes recommendations to enhance and expand the University’s lifelong learning offerings through initiatives such as a Lifelong Learning Community of Practice and micro-credentials. </t>
    </r>
  </si>
  <si>
    <t>uoft_2024_41</t>
  </si>
  <si>
    <t>Current projects in various stages of planning, design, and construction include the Oak House residence at Spadina and Sussex scheduled to open in 2024-25, a new residence on Harbord in development, the Site 1 Gateway project at Bloor and Spadina with faculty, staff and student family housing, and the Schwartz Reisman Innovation Campus (SRIC) East. </t>
  </si>
  <si>
    <t>uoft_2025</t>
  </si>
  <si>
    <t>uoft_2025_1</t>
  </si>
  <si>
    <t>Approximately 86% of the University’s operating revenue is
related to enrolment through student fees and operating
grants. Demand for the University’s programs continues to
be very strong with overall enrolment breaking the 100k
mark at 102,431 undergraduate and graduate students
enrolled in 91,425 FTEs of course activity in Fall 2024, a
2,593 FTE increase over the previous year.</t>
  </si>
  <si>
    <t>uoft_2025_2</t>
  </si>
  <si>
    <t>We continue to see strong domestic and international
applicant pools to our direct-entry undergraduate
programs, with growth of 3.4% in the incoming class to
17,022 in Fall 2024, though 1.4% below the plan for this
year, which had assumed a bit more growth. Domestic
demand was particularly strong with intake 733 above
target. Unfortunately, a challenging recruitment
environment contributed to lower than planned
international intake at 978 below target. On a year-over
year-basis, international intake was 6% below Fall 2023;
certainly not ideal but a much better result than the
double-digit percent decreases reported by many other
Ontario universities this year.</t>
  </si>
  <si>
    <t>uoft_2025_3</t>
  </si>
  <si>
    <t>Retention of upper-year students continues to bounce
back from the dip seen at the end of the pandemic. This
exceeded the conservative assumptions in the budget plan
and offset the lower than planned intakes. As a result,
overall undergraduate enrolment exceeded the budget plan
by 1.3% with positive variances in both domestic and
international enrolment.</t>
  </si>
  <si>
    <t>uoft_2025_4</t>
  </si>
  <si>
    <t>On January 22, 2024, the Federal Government introduced
a new cap on international student permits for 2024 aimed
at reducing the number of new permits issued nationally by
35%. For 2024, the cap was administered through a
restriction in the number of permit applications reviewed
for undergraduate studies from out of country applicants.
These applicants now required a Provincial Attestation
Letter (PAL) from a limited pool managed by each Province
in order to be considered for a study permit. Graduate
students were exempted from the cap. In 2024, the
University received sufficient PALs to meet our targets,
however, the new process created significant uncertainty in
international markets that likely impacted demand and
contributed to the lower than planned intake this year.</t>
  </si>
  <si>
    <t>uoft_2025_5</t>
  </si>
  <si>
    <t>As part of this initiative, the Federal Government also
changed eligibility for post-graduate work permits (PGWP)
for college programs, making graduates from public-private
partnerships ineligible for a PGWP. This had a major
impact on demand for those programs and Ontario
colleges used only about half of their allocation of PALs this
year. In contrast, the University used all of our 2024
allocation of PALs.</t>
  </si>
  <si>
    <t>uoft_2025_6</t>
  </si>
  <si>
    <t>In September 2024, the Government announced a further
10% reduction in international permits for 2025 and
extended the new PAL requirement to graduate students
and in-country international undergraduate applicants (ie.
those who enrolled in and are applying from Canadian high
schools). Our PAL allocation for 2025 should be sufficient
to meet our targets although we are requesting additional
PALs from the Ministry if they become available in order to
provide some flexibility if conversion rates decrease.
However, this new requirement adds a further complication
for students applying to attend the University, which is not
the target of these policy changes.</t>
  </si>
  <si>
    <t>uoft_2025_7</t>
  </si>
  <si>
    <t>The Federal Government continues to face significant
challenges in timely processing of student permit
applications given the large increase in volumes across the
country in recent years. The University of Toronto along
with Universities Canada and other peer universities
continues to advocate with Immigration, Refugees &amp;
Citizenship Canada (IRCC) for the introduction of a new
Recognized Institution Framework that will create a new,
separate pathway for student permit processing for
“recognized” institutions. This would significantly improve
the experience for our students and reduce time to
approval.</t>
  </si>
  <si>
    <t>uoft_2025_16</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</si>
  <si>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t>
  </si>
  <si>
    <t>uoft_2025_18</t>
  </si>
  <si>
    <t>The SMA performance-based funding framework will be
linked to 25% of operating grant funding provided to the
University in 2025-26 and 2026-27 and then increase
annually to 40% by 2029-30. Under the framework,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University exceeded all of its metrics
targets under SMA3 and does not anticipate any
reductions to funding under SMA4.</t>
  </si>
  <si>
    <t>uoft_2025_23</t>
  </si>
  <si>
    <t>Unfortunately, the Government did not follow the Panel’s
recommendations to unfreeze domestic tuition and
instead, has extended the current freeze until at least
2026-27. While the additional operating grant funding is
very welcome, it essentially offsets the additional revenue
that would have been generated under a modest 3%
tuition increase framework.</t>
  </si>
  <si>
    <t>uoft_2025_26</t>
  </si>
  <si>
    <t>In 2022-23, the Government introduced flexibility to
increase non-Ontario domestic tuition by 5% per year – a
helpful change but limited in impact as this applies to just
a small portion of the University’s domestic enrolment.</t>
  </si>
  <si>
    <t>uoft_2025_28</t>
  </si>
  <si>
    <t>In 2024-25, total revenue from domestic enrolment (tuition
and grants) was less than it was in 2018-19 in nominal
dollars, without adjusting for inflation. However, this is
beginning to change. Tuition from the higher than planned
domestic enrolment and the new Financial Sustainability
funding should put next year’s domestic-related revenues
just over where they were in 2018-19 next year. It is critical
that this growth continues given the uncertainties with the
international recruitment markets.</t>
  </si>
  <si>
    <t>uoft_2025_30</t>
  </si>
  <si>
    <t>In 2022-23, the Government announced $124.2 million
over three years to significantly increase funding for
nursing clinical operations at colleges and universities.
Under this initiative, the University’s allocation for nursing
clinical funding roughly tripled to $1.1 million per year,
which has helped with operating costs for running these
programs. We are optimistic that the Government will
extend this important funding support beyond 2024-25,
but they have not yet committed to this as of the writing of
this report. The University also continues to advocate for
increased clinical funding in other program areas, in
particular dentistry, where the essential in-house clinics
require significant subsidies from other operating revenues.</t>
  </si>
  <si>
    <t>uoft_2025_35</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</si>
  <si>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t>
  </si>
  <si>
    <t>uoft_2025_36</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</si>
  <si>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341 Chairs spread across three campuses and fifteen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69%. An appropriate adjustment to
the value of these awards is long overdue.</t>
  </si>
  <si>
    <t>uoft_2025_37</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</si>
  <si>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over 60%. However, in 2024, the Federal
Government announced a multi-year plan to increase
funding for the IPG program for research-intensive
institutions like the University of Toronto. This very
welcome increase is anticipated to substantially increase
Budget Report 2025-26 11 University of Toronto
total indirect costs of research funding from the Federal
Government.</t>
  </si>
  <si>
    <t>uoft_2025_38</t>
  </si>
  <si>
    <t>The Federal Government supports graduate students by
providing student scholarships on a competitive basis.
Although these funds do not flow through the University’s
operating budget, they provide indirect budget relief to the
academic divisions by freeing up funds that would
otherwise have to be used for graduate student support. In
July 2024, the Federal Government announced that it
would increase tri-agency doctoral scholarships to $40,000
and masters scholarships to $27,000, a significant
investment to support students.</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</si>
  <si>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</si>
  <si>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In 2019, the final report of the Alternative Funding Sources
Advisory Group4 articulated several potential sources of
revenue generation that take advantage of some of the
University’s key strengths: its capacity to create and
disseminate knowledge, its real estate holdings and
physical infrastructure, and its significant financial capital.
One example of actions undertaken following the report
was the Provost’s establishment of the Advisory Group on
Lifelong Learning Opportunities5. The group’s June 2021
report includes recommendations to enhance and expand
the University’s lifelong learning offerings through initiatives
such as a Lifelong Learning Community of Practice and
micro-credentials. In 2024-25, the Provost announced the
appointment of Professors Erica Walker, Dean of OISE, and
Catherine Chandler-Crichlow, Dean of the School of
Continuing Studies as Provostial Advisors on Lifelong
Learning to build on the Advisory Group’s work to leverage
the expertise and systems of the School of Continuing
Studies and other centres of excellence around the
University to expand U of T’s reach into the lifelong
learning space.</t>
  </si>
  <si>
    <t>The University has seized another such opportunity with
the adoption of the Four Corners Strategy, which will
leverage the University’s real estate assets to deliver
facilities and services to support the academic mission and
simultaneously grow revenue from sources other than
enrolment. Given the challenging interest rate environment
of the last few years, new developments have proceeded at
a slower pace than originally planned. However, the Four
Corners Strategy is anticipating initiating annual
contributions to the operating budget towards academic
priorities over the course of the five-year plan, starting with
a $5 million contribution in 2026-27, in addition to interest
payments to the operating budget on internally issued
mortgages used for Four Corners capital construction.</t>
  </si>
  <si>
    <t>uoft_2025_43</t>
  </si>
  <si>
    <t>Current projects in various stages of planning, design, and
construction include: the Oak House residence at Spadina
and Sussex, scheduled to open for September 2025; a new
residence on Harbord Street in development; the Site 1
Gateway project at Bloor and Spadina with faculty, staff
and student family housing; and, the Schwartz Reisman
Innovation Campus (SRIC) East. In addition, the University
is planning a major expansion of up to 5,000 units of
student housing on the St. George campus with private
partners over the next decade.</t>
  </si>
  <si>
    <t>PART 1</t>
  </si>
  <si>
    <t>uoft_2025_44</t>
  </si>
  <si>
    <t>uoft_2025_45</t>
  </si>
  <si>
    <t>uoft_2025_46</t>
  </si>
  <si>
    <t>In April 2017, a panel led by UofT President Emeritus David Naylor issued the final report of Canada’s Fundamental Science Review (the Naylor Report). The report recommended changes to the Canada Research Chair program, and proposed a significant increase in the funding for the indirect costs of research. </t>
  </si>
  <si>
    <t>PART 2 NEW</t>
  </si>
  <si>
    <t>class_binary</t>
  </si>
  <si>
    <t>class_intensity</t>
  </si>
  <si>
    <t>High</t>
  </si>
  <si>
    <t>PART 3</t>
  </si>
  <si>
    <t>Low</t>
  </si>
  <si>
    <t xml:space="preserve">Low </t>
  </si>
  <si>
    <t>Medium</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</si>
  <si>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The University of Toronto’s Strategic Mandate Agreement
confirms its leadership role in research and innovation in Ontario.</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</si>
  <si>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</si>
  <si>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is the
establishment of The Advisory Group on Life Long Learning
Opportunities7 established by the Provost.</t>
  </si>
  <si>
    <t>The Ontario post-secondary education system operates under a differentiation policy framework. The framework is operationalized through a series of institutional Strategic Mandate Agreements, which specify the role of each university in the system and how each will build on institutional strengths to drive system-wide objectives and government priorities.</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</si>
  <si>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was the
establishment of The Advisory Group on Lifelong Learning
Opportunities established by the Provost. The group’s June
20218 report includes recommendations to enhance and
expand the University’s lifelong learning offerings through
initiatives such as a Lifelong Learning Community of Practice
and micro-credentials.</t>
  </si>
  <si>
    <r>
      <t>The Ontario post-secondary education system operates under a differentiation policy framework</t>
    </r>
    <r>
      <rPr>
        <vertAlign val="superscript"/>
        <sz val="6"/>
        <color theme="1"/>
        <rFont val="Helvetica"/>
        <family val="2"/>
      </rPr>
      <t xml:space="preserve"> </t>
    </r>
    <r>
      <rPr>
        <sz val="9"/>
        <color theme="1"/>
        <rFont val="Helvetica"/>
        <family val="2"/>
      </rPr>
      <t>that is operationalized through a series of bilateral Strategic Mandate Agreements. These agreements specify the role of each university in the system and how each will build on institutional strengths to drive system-wide objectives and government priorities. </t>
    </r>
  </si>
  <si>
    <t>uoft_2024_34</t>
  </si>
  <si>
    <t>class_rd</t>
  </si>
  <si>
    <t>Class Resource Dependence</t>
  </si>
  <si>
    <t>low resource dependence attitude</t>
  </si>
  <si>
    <t>no resource dependence content</t>
  </si>
  <si>
    <t>high resource dependene attitude</t>
  </si>
  <si>
    <t>class</t>
  </si>
  <si>
    <t>class_2</t>
  </si>
  <si>
    <t>windsor_2019</t>
  </si>
  <si>
    <t>University of Windsor</t>
  </si>
  <si>
    <t>windsor_2019_5</t>
  </si>
  <si>
    <t>The impact to the University’s Budget, if any, is unknown at this time but may affect enrolment or add pressures to the financial support provided to students through the operating budget.</t>
  </si>
  <si>
    <t>windsor_2019_6</t>
  </si>
  <si>
    <t>The Student Choice Initiative guidelines require that incidental fees charged by universities to support clubs, student societies, and programs that fall outside of the provincial framework for compulsory fees will be required to have an opt-out option for students. The ability to opt out must be presented to students before paying fees for that semester. Besides the logistics of being able to make the changes to our systems necessary to make this available to students in time for registration, there will not be a significant effect on the University’s Budget.</t>
  </si>
  <si>
    <t>windsor_2025</t>
  </si>
  <si>
    <t>windsor_2025_1</t>
  </si>
  <si>
    <t>Financial sustainability is critical to fulfilling the University of Windsor’s academic mission, serving our communities, and advancing the commitments and priorities outlined in our strategic plan, Aspire. The University has a long history of fiscal prudence, consistently presenting balanced budgets through strategic enrolment planning and cost management. However, sustaining this practice has become increasingly difficult. Canada is experiencing unprecedented social and economic pressures and change, affecting nearly every sector – including postsecondary education.</t>
  </si>
  <si>
    <t>windsor_2025_2</t>
  </si>
  <si>
    <t>As a result, we must enter a new “Era of Reimagining” at the University of Windsor—one that demands strategic decisions. Maintaining the status quo is not an option; adapting to this reality requires both immediate actions and long-term strategies.</t>
  </si>
  <si>
    <t>windsor_2025_4</t>
  </si>
  <si>
    <t>At the same time as the IRCC changes took place, geopolitical tensions between Canada and other
countries intensified. As a result, Canada’s reputation as a primary study destination suffered, especially
in India – the country from which UWindsor has historically recruited the majority of international
students. This has resulted in a decrease in international student enrolment. The IRCC caps alone are
expected to result in a loss of more than $600M in 2025/26 for Ontario’s colleges and universities.1</t>
  </si>
  <si>
    <t>windsor_2025_5</t>
  </si>
  <si>
    <t>UWindsor is in a vulnerable position—both literally and figuratively—due to factors that set us apart
from our peers. In recent years, UWindsor has diversified its international student population by
incrementally growing high-priority graduate programs while maintaining academic standards. As of Fall
2024, 25% of our full-time students hailed from outside Canada. This constituted about 29% of the
University’s operating budget revenue.</t>
  </si>
  <si>
    <t>windsor_2025_6</t>
  </si>
  <si>
    <t>We are also the most regionally dependent university in Ontario, with 76% of our domestic
undergraduate students coming from the Windsor-Essex and Chatham-Kent regions, the highest
proportion among all Ontario universities.</t>
  </si>
  <si>
    <t>windsor_2025_7</t>
  </si>
  <si>
    <t>This student enrolment demographic enables us to support local and global communities by cultivating a
talent pipeline that drives knowledge and economic growth. But it also means that local communities
feel the ripple effects of any challenges the institution faces. It also renders UWindsor more susceptible
to the effects of changes in international student enrolment, with any fluctuations having immediate
budgetary impact.</t>
  </si>
  <si>
    <t>windsor_2025_8</t>
  </si>
  <si>
    <t>UWindsor’s ability to generate additional revenue from domestic tuition is currently constrained.
Tuition rates have largely been frozen since 2019/20, following a sector-wide 10% reduction, with no increases permitted through 2026/27. At the same time, the provincially mandated enrolment corridor limits access to operating grants for students admitted above the funded midpoint, despite these students requiring full instructional and support services. Together, these policies have stalled growth in UWindsor’s most flexible revenue stream for more than six years.</t>
  </si>
  <si>
    <t>windsor_2025_9</t>
  </si>
  <si>
    <t>Direct government-based operating funding remains the only other major source of revenue for the University’s operating budget. While minor year-over-year increases in total operating revenue have occurred, these have been due to time-limited special purpose grants and do not reflect sustained public investment in institutional operations.</t>
  </si>
  <si>
    <t>windsor_2025_10</t>
  </si>
  <si>
    <t>In 2024/25, UWindsor received $9.3M in one-time funding through the Province’s Postsecondary Education Sustainability Fund (PSESF), introduced in response to the recommendations of the Blue-Ribbon Panel on Postsecondary Financial Sustainability. This included $2.8M in across-the-board support (equivalent to 3% of base funding) and an additional $6.5M in in top-up funding. Detailed information about the PSESF is included in a later section. It is important to note that while this funding provided important short-term relief in a period of fiscal constraint, it does not form part of the University’s base operating grant and carries no commitment beyond the current fiscal year.</t>
  </si>
  <si>
    <t>windsor_2025_11</t>
  </si>
  <si>
    <t>Inclusion of this temporary funding starting in the 2024/25 fiscal year reflected a system-wide recognition of growing financial pressures in Ontario’s postsecondary sector. However, the structural limitations facing universities — flat base funding, frozen tuition, and corridor restrictions — remain unresolved, underscoring the need for long-term solutions and sustainable investment.</t>
  </si>
  <si>
    <t>windsor_2025_12</t>
  </si>
  <si>
    <t>In addition to limited revenue growth opportunities, the University’s reserves are modest, though we have seen growth in recent years. While efforts have been made in the last five years to build up the reserves, there is no option to fund material base deficits through use of one-time reserve funds.</t>
  </si>
  <si>
    <t xml:space="preserve">High </t>
  </si>
  <si>
    <t>windsor_2025_13</t>
  </si>
  <si>
    <t>The situation is further compounded by rising expenses, including higher costs for personnel, operational expenditures, and service agreements. Approximately 75% of UWindsor’s operating budget is allocated to people-related expenses. Adding to these challenges are inflation-driven expense increases across various other areas, including IT licensing, cybersecurity, subscriptions, renovations, maintenance, utilities, and supplies.</t>
  </si>
  <si>
    <t>windsor_2025_14</t>
  </si>
  <si>
    <t>In 2024/25, UWindsor faced an initial $8.4M gap between revenues and expenses when planning the operating budget. The Budget Balancing Committee established in the prior year identified $5.6M in cost-saving measures, yet a $2.8M base deficit remained. That deficit was fully offset by one-time provincial funds supported by the Ministry of Colleges, Universities, Research, Excellence and Security (MCURES) Post-Secondary Education Sustainability Fund, allowing a balanced budget to be presented to the Board of Governors last spring.</t>
  </si>
  <si>
    <t>windsor_2025_15</t>
  </si>
  <si>
    <t>For 2025/26, UWindsor is expecting a further decline in tuition revenue from international students which, coupled with the 2024/25 base deficit, has required transformational actions on behalf of the campus community to ensure our long-term financial sustainability.</t>
  </si>
  <si>
    <t>carleton_2019</t>
  </si>
  <si>
    <t>Carleton University</t>
  </si>
  <si>
    <t>carleton_2019_2</t>
  </si>
  <si>
    <t>There has been a lot of change and transition in the 2018-2019 academic year with the arrival of
our new President, confirmation of new deans and department heads, and our Provost and Vice-
President (Academic). The university’s $300-million capital campaign also came to a successful
conclusion. Externally, a new provincial government was installed at Queen’s Park, which is
expected to impact regulations and funding models.</t>
  </si>
  <si>
    <t>carleton_2019_5</t>
  </si>
  <si>
    <t>The SMA2 gathers information on system-wide and institutional initiatives grouped under the broad
themes of: a) student experience, b) innovation in teaching and learning excellence, c) access and
equity, d) research excellence and impact, and e) innovation, economic development, and
community engagement. The previous government had indicated that performance metrics could
have a financial impact in SMA3, starting in 2021, currently representing up to 8% of total provincial
grant funding for Carleton.</t>
  </si>
  <si>
    <t>carleton_2019_7</t>
  </si>
  <si>
    <t>Although Carleton is presently in good financial health, maintaining a balanced
operating budget within the new provincial funding model will become increasingly challenging.</t>
  </si>
  <si>
    <t>carleton_2020</t>
  </si>
  <si>
    <t>carleton_2020_4</t>
  </si>
  <si>
    <t>In parallel, during the Fall of 2019, Carleton began the process of negotiating a renewed Strategic
Mandate Agreement (SMA3) with the Ministry of Colleges and Universities (MCU) of Ontario. SMA3
is aligned with the MCU’s funding model reform and introduces a performance/outcomes-based
grant in a differentiation funding envelope. While the document is essentially finalized, it has
indeterminately been put on hold by the Province due to the current public health crisis. It is now
doubtful that it will come into play for 2020-21.</t>
  </si>
  <si>
    <t>carleton_2020_5</t>
  </si>
  <si>
    <t>Although Carleton is presently in good financial health, maintaining a balanced operating budget
under the new provincial funding model, when it becomes operational, could become increasingly
challenging. The following sections of this report describe the actions taken to support continued
growth and further success at Carleton while continuing to maintain financial sustainability.</t>
  </si>
  <si>
    <t>carleton_2021</t>
  </si>
  <si>
    <t>carleton_2021_2</t>
  </si>
  <si>
    <t>We have identified a number of challenges as we strive to achieve our strategic goals while maintaining a balanced budget. These include the anticipation of a continued freeze on domestic tuition, a fixed operating grant, requirements for improvements in technology and IT security, a large deferred maintenance obligation, financial pressure created by annual compensation increases and changes in recruitment and enrolment strategies among Ontario post-secondary institutions. Budget assumptions for 2021-22 are based on a modest decline in first-year undergraduate student intake for the coming year, a fixed annual operating grant for the foreseeable future and compulsory cost increases that exceed annual revenue growth projections caused primarily by increases in compensation-related expenses.</t>
  </si>
  <si>
    <t>carleton_2021_4</t>
  </si>
  <si>
    <t>Carleton’s operating budget projects total revenue and expenses of $514.9 million for fiscal year 2021-22. This represents an increase of $12.5 million from the $502.4 million 2020-21 budget. The change is mainly attributable to international tuition fee increases ranging from 0% to 8% and flow-through of undergraduate international students. Domestic tuition fees for 2021-22 are planned to remain fixed at the 2019-20 level. These fees were reduced by 10% from those in 2018-19. The provincial government has yet to release an updated Tuition Fee Framework for post-secondary education institutions in Ontario.</t>
  </si>
  <si>
    <t>carleton_2021_6</t>
  </si>
  <si>
    <t>As the university works toward achieving these goals, we continue to emphasize and support initiatives that promise to increase and diversify external revenue sources and those that work to identify cost containment opportunities in the long term.</t>
  </si>
  <si>
    <t>carleton_2021_7</t>
  </si>
  <si>
    <t>In consideration of the revenue constraints posed by the enrolment mix and projections (a cautious scenario representing a 3% decline in first-year undergraduate intake from 2020-21 levels), the current tuition fee framework, Strategic Mandate Agreement and increasing base expenditures, Resource Planning Committees (RPC) have been encouraged to use existing carry forward funds to support initiatives aimed at addressing our budget priorities. The aim to draw on unit-level reserves was reinforced through conservative budget allocations in 2021-22. This has resulted in a total of $8.6 million in base funding invested through new faculty positions ($0.1 million toward a new librarian position, $1.7 million in replacement positions, and $0.8 million in benefit costs), new continuing professional staff positions ($1.5 million), improvements to Carleton’s IT infrastructure ($1.9 million), additional student support ($1.5 million), inflationary costs ($0.9 million) and other strategic initiatives ($0.2 million). As part of Carleton’s financial risk mitigation strategy, a one-time $6.8 million “strategic set aside” has been recommended for investment in future initiatives and to address unexpected income shortfall over the planning horizon.</t>
  </si>
  <si>
    <t>windsor_2019_8</t>
  </si>
  <si>
    <t>windsor_2019_9</t>
  </si>
  <si>
    <t>The University used this funding (approximately $1.3M annually) to help service the debt related to capital expansion to 2026/27. The cancellation of the program requires the operating budget to absorb this unexpected expense beginning in 2019/20.</t>
  </si>
  <si>
    <t>On April 12, 2019, UWindsor received a memo from the Ministry of Training, Colleges and Universities (MTCU) announcing the cancellation of the Graduate Enrolment Expansion Capital Program as of 2019/20. Grant payments were initiated in 2007/08 and were expected to continue for 20 years to support the infrastructure required to accommodate the government’s planned expansion of funded graduate spaces in Ontario.</t>
  </si>
  <si>
    <t>windsor_2019_10</t>
  </si>
  <si>
    <t>The Ontario Government’s budget introduced on April 11, 2019 noted changes to the next Strategic Mandate Agreement with Ontario Universities. The budget document says:
Through the next round of SMAs, Ontario will become a national leader in outcomes-based funding by tying 60 per cent to performance by the 2024-25 academic year. The first year of these new agreements will tie 25 per cent of funding to performance outcomes, and this proportion will increase annually by increments of 10 per cent for three years and 5 per cent in the last year until it reaches a steady state of 60 per cent in 2024-25... The overall number of metrics will also be reduced from 38 for colleges and 28 for universities to 10 for each sector. These 10 metrics align with the government’s priorities in skills and job outcomes, and economic and community impact. Institutions will have the flexibility to weigh the metrics that best reflect their differentiated strategic goals and will be measured against their own targets based on historical performance. These changes will reduce the reporting burden for institutions while supporting sustainability through a focus on institutional strengths and differentiation. (p. 187)</t>
  </si>
  <si>
    <t>carleton_2022</t>
  </si>
  <si>
    <t>carleton_2022_1</t>
  </si>
  <si>
    <t>Carleton's 2022-2023 operating budget supports the uhinversity's plans for the coming year and recommends the resource allocations required to execute those plans. It also reflects the university's alignment of its strategic planning, risk assessments and annual planning activities. The primary goal of this budget, as determined by the Strategic Integrated Planning Committee, is to advance the three directions of our Stategic Integrated Plan: Share Knowledge, Shape the Future, Serve Ottawa, Serve the World; and Strive for Wellness, Strive for Sustainability. As the university works toward achieving these goals, we continue to emphasize and support initiatives that promise to increase and diversity external revenue sources and those that work to identify cost containment opportunities in the long term.</t>
  </si>
  <si>
    <t>carleton_2022_2</t>
  </si>
  <si>
    <t>We have identified a number of challenges as we strive to achieve our strategic goals while maintaining a balanced budget. These include the anticipation of a continued freeze on domestic tuition, a fixed operating grant, requirements for improvements in technology and It security, a large deferred maintenance obligation, financial pressure created by annual compensation increases and changes in recruitment and enrolment strategies among Ontario post-secondary institutions. budget assumptions for 2022-23 are based on flat first-year undergraduate student and domestic graduate student intake for the coming year, a fixed annual operating grant for the forseeable future and compulsory cost increases that exceed annual revenue growth projections caused primarily by increases in compensation-related expensesand inflation.</t>
  </si>
  <si>
    <t>Carleton's operating budget projects total revenue and expenses of $521 million for fiscal year 2022-23. This represents an increase of $6million from the $515 million 2021-22 budget. The change is mainly attributable to internatinoal tuition fee increases and flow-through of undergraduate students. Domestic 2022-23 tuition fees for Ontario residents will remain fixed at the 2019-20 level. These fees were reduced by 10% from those in 2018-19. the provincial government has permitted domestic tuition fees for out-of-province students to increase by 3% in 2021-22 and 5% in 2022-23.</t>
  </si>
  <si>
    <t>In consideration of the revenue constraints posed by the enrolment mix and projections (a cautious scenario representing a 3% decline in first-year undergraduate intake from 2020-21 levels), the current tuition fee framework, Strategic Mandate Agreement and increasing base expenditures, Resource Planning Committees (RPCs) have been encouraged to use existing carry forward funds to support initiatives aimed at addressing our budget priorities. The aim to draw on unit-level reserves was reinforced through conservative budget allocations in 2022-23. This has resulted in a total of $1.5 million in base funding invested into RPcs through new faculty positions ($0.4 million), new professional staff positions ($0.5 million), faculty allocations via the Enrolment-Linked Budget Allocation (ELBA) model ($0.5 million), and straegic and operational initiatives ($0.1 million)</t>
  </si>
  <si>
    <t>carleton_2022_5</t>
  </si>
  <si>
    <t>carleton_2022_7</t>
  </si>
  <si>
    <t>carleton_2023</t>
  </si>
  <si>
    <t>The post-secondary education sector in Ontario currently faces a number of challenges as we collectively strive to achieve our strategic goals while maintaining balanced operating budgets. Presenting balanced operating budgets have become increasingly difficult due to factors such as a continued freeze on domestic tuition for Ontario resident students, a fixed operating grant, material deferred maintenance liabilities, annual compensation increases and changes in recruitment and enrolment patterns. Despite these challenges, we are able to present a balanced operating budget for 2023-24.</t>
  </si>
  <si>
    <t>Despite significant impact posed by the COVID-19 pandemic, including international student visa processing delays experienced in 2022-23, we remain confident that a return to in-person recruitment, our reputational enhancement efforts, combined with signals that international student visa processing issues have been resolved, will bring modest growth in enrolment and associated tuition revenue for 2023-24. This is driven by a planned gradual increase in domestic undergraduate and international graduate student intake along with a partial bounce-back in international undergraduate intake.</t>
  </si>
  <si>
    <t>The impact of a continued domestic tuition fee freeze presents challenges to the university and each of its Resource Planning Committees (RPCs). Adjustments to RPC budgets will include some combination of changes to faculty and staff hiring plans, deferral of capital projects, and fewer investments in service improvements and new initiatives.</t>
  </si>
  <si>
    <t>Though Carleton is presently in good financial health, critical environmental factors continue to place pressure on maintaining a balanced budget. This budget represents investments geared toward accomplishing our goals while also ensuring we continue to maintain financial sustainability.</t>
  </si>
  <si>
    <t>carleton_2023_3</t>
  </si>
  <si>
    <t>carleton_2023_4</t>
  </si>
  <si>
    <t>carleton_2023_5</t>
  </si>
  <si>
    <t>carleton_2023_10</t>
  </si>
  <si>
    <t>carleton_2024</t>
  </si>
  <si>
    <t>The post-secondary education sector in Ontario faces numerous challenges as we collectively strive to achieve our goals while maintaining balanced operating budgets. The Council of Ontario Universities has stated: “At least 10 of the province’s 23 publicly assisted universities are now projecting budget deficits [in 2023-24] totaling $175 million, with that number expected to rise to $273 million in 2024-25.”1 This estimate was provided before the repeal of Bill 124, which will have the effect of materially increasing the projected sector-wide budget deficit. These deficits are driven by acute regulatory and policy changes on the part of government which are beyond the control of universities.</t>
  </si>
  <si>
    <t>Unfortunately, the provincial government has decided again to extend the freeze of domestic tuition for Ontario residents. The Ministry recently clarified that this freeze will extend into the next three fiscal years, or through to 2026-27. The impact of the 10% tuition fee cut in 2019-20 and subsequent freeze, up to and including 2023-24, totals an estimated $190 million in cumulative lost tuition revenue for Carleton. This also translates to a reduction in annual lost tuition revenue of approximately $55 million in 2024-25 and onward when compared to the framework in place before 2019-20.</t>
  </si>
  <si>
    <t>Additionally, the sector remains in a corridor model with respect to its operating grant from the Ministry of Colleges and Universities, meaning little opportunity exists for Ministry-provided operating grants to grow with enrolment. In March 2024, however, Carleton received a one-time grant of $7.2 million from the provincial government for unfunded growth in the STEM disciplines, along with an increase of 3%/2%/2% in the operating grant for 2024-25, 2025-26, and 2026-27, respectively. It is not clear whether these increases will become permanent or will be limited only to a three-year term.</t>
  </si>
  <si>
    <t>Prior to the pandemic, enrolment had been steadily and consistently increasing year over year for more than a decade, driven by growth in intake at both the undergraduate and graduate levels. In the fall of 2020, Carleton experienced a decline in new domestic first-year students, followed by a few consecutive years of decline in new first-year international students starting in 2021. The Fall 2023 term intake of new students saw the new domestic first-year student cohort at 87% of the peak intake year (2017), and the new international first-year student cohort stood at 61% of the comparable peak year for that cohort (2018). Successive years of declines have, and will continue, to flow through enrolment levels, affecting tuition revenue. Fortunately, the provincial grant has not been at risk during this period as we have been at or above the funded midpoint in the corridor model.</t>
  </si>
  <si>
    <t>For intake assumptions in 2024-25, we are pleased to see increases in domestic student interest but are also mindful of the financial situation of Ontario universities in general which will precipitate greater competition for domestic students. We have projected modest increases in domestic intake, therefore, both at the undergraduate and graduate levels. Given current geopolitical events coupled with new government regulations and process changes, we anticipate challenges with new international student cohort sizes. We have seen declines in application numbers at both the undergraduate and graduate levels. Caps on international student numbers exempt graduate students and given that demand is growing in some programs geared to international graduate students, we anticipate that the impact won’t be as significant at the graduate level as at the undergraduate level, although we are seeing declines in international graduate student applications at both levels. At the undergraduate level, while all efforts are being made to mitigate losses, the concern for 2024-25 is particularly acute as confusion and delays in processing visas may have significant implications.</t>
  </si>
  <si>
    <t>The University’s single largest operating expenditure is salary and benefits, representing approximately 76% of operating budget spend. As a result, the repeal of Bill 124 is projected to have a material financial impact on the University. Many peer institutions have finalized their approach to addressing the wage issues for faculty and staff post-Bill 124 and a process is now underway at Carleton to settle this issue.</t>
  </si>
  <si>
    <t>For 2023-24, based on our financial outlook at that time, the University mandated a 2% across-the-board cut for all resource planning committees (RPCs). In response to the increasing financial pressure facing the University, driven by mainly exogenous factors, a mandated 3% across-the-board cut was communicated as part of the 2024-25 operating budget process. This decision will level a differential impact on each RPC, depending on program mix and RPC revenue sources. Adjustments to RPC plans will differ based on local priorities but will include some combination of changes to faculty and staff hiring plans, deferral of capital projects, and fewer investments in service improvements and new initiatives.</t>
  </si>
  <si>
    <t>The result is a budgeted operating deficit of $26 million for 2024-25. The long-range financial outlook projects that 6% in annual RPC base budget cuts may be required between now and 2028-29 to balance the University’s operating budget should no new opportunities for revenue growth present themselves.</t>
  </si>
  <si>
    <t>Structural financial stability may come, however, not only through prudent spending and base budget cuts, but also through focused efforts to increase our revenues. Opportunities exist in the mid-term to see: (a) our new programs reach steady state; (b) a full bounce back in international enrolment; (c) the MEng Practice program bringing additional targeted international enrolment; (d) increases in domestic enrolments; and (e) MCU operating grant increases potentially set as permanent, or base, increases. Should these programmatic and regulatory changes be realized by 2028-29, they would have the effect of substantially reducing the projected $80 million base budget deficit.</t>
  </si>
  <si>
    <t>carleton_2024_2</t>
  </si>
  <si>
    <t>carleton_2024_3</t>
  </si>
  <si>
    <t>carleton_2024_4</t>
  </si>
  <si>
    <t>carleton_2024_5</t>
  </si>
  <si>
    <t>carleton_2024_6</t>
  </si>
  <si>
    <t>carleton_2024_7</t>
  </si>
  <si>
    <t>carleton_2024_9</t>
  </si>
  <si>
    <t>carleton_2024_10</t>
  </si>
  <si>
    <t>carleton_2024_11</t>
  </si>
  <si>
    <t>carleton_2025_1</t>
  </si>
  <si>
    <t>carleton_2025</t>
  </si>
  <si>
    <t>Carleton’s 2025-26 operating budget signals a year of financial instability. Since the Ontario government introduced a corridor model for distributing the operating grant in 2017, events such as the 10% domestic tuition fee cut in 2019-20 and subsequent ongoing freeze, the repeal of Bill 124, diplomatic tensions, and policy changes on international student visas imposed by Immigration, Refugees and Citizenship Canada have had a cumulative and deleterious impact on Carleton’s financial position. From a $44 million base operating budget surplus presented in 2018-19, the University now presents a $32 million base operating budget deficit for 2025-26.</t>
  </si>
  <si>
    <t>carleton_2025_2</t>
  </si>
  <si>
    <t>When assessing the financial health of the institution, the leadership team focuses its long-range financial planning on its base budget projection, which communicates the structural financial position of the institution. In 2024-25, the University budgeted a base operating deficit of $32 million, with term-limited investment income improving the fiscal result to a $26 million reported deficit. The base operating deficit is projected to remain flat in 2025-26, despite cutting $24 million in base expenditure budget for the coming year. This result highlights the current plight of Ontario universities: a sector marked by slow and constrained capacity to change coping with a rapidly evolving and unpredictable external environment. During 2024-25, the two most significant structural changes impacting Carleton University’s finances are the decline in international student intake and the retroactive application of Bill 124 salary adjustments. These events have a material flowthrough effect in 2025-26 and onward.</t>
  </si>
  <si>
    <t>The University had planned for a 25% and 10% reduction in undergraduate and graduate international students, respectively, in 2024-25 due to the impairment of Canada’s brand as a destination for international education, along with the operational losses incurred because of a delayed introduction of Provincial Attestation Letter requirements. Actual international intake in 2024-25, however, was materially lower in undergraduate and graduate students than in 2023-24. Early application data lead us to anticipate this trend will continue into 2025-26 with a projected additional 50% international undergraduate student decline and 10% international graduate student decline against 2024-25 levels. These declines continue an international student enrolment trend that began several years ago. In 2024-25, the University registered a 72% drop in international undergraduate student intake since our peak of more than 800 students in the fall of 2018. Compared to fall 2020, our undergraduate international intake has dropped 70%. Based on current projections, we are expecting as of Fall 2025 to have dropped by 86% from the peak in 2018.</t>
  </si>
  <si>
    <t>The repeal of Bill 124 also had a material financial impact on the University both in terms of retroactive salary payments and ongoing salary commitments. Salaries and benefits are the University’s largest operating expenditure, representing over 75% of operating budget expenditures. The Bill 124 salary adjustment, coupled with collective agreement-driven increases, exacerbate the structural budget challenges the University faces as increases in salaries continue to outpace revenue growth. Other financial pressures include the continued expansion of deferred maintenance obligations and an aging Enterprise Resource Planning system.</t>
  </si>
  <si>
    <t>A positive financial outcome for the University, however, occurred through an announcement made recently by the Ministry of Colleges, Universities, Research Excellence and Security (MCURES). On March 24, 2025, the Ministry announced an annual investment of $150M beginning in 2025-26 to support the continued delivery and enhancement of science, technology, engineering and mathematics (STEM) programming at Ontario’s colleges and universities. The allocation rewards institutions where enrolment has increased above the level funded in Strategic Mandate Agreement 3 (SMA3), while also providing support to all institutions that provide STEM programming in the province to help them retain existing STEM enrolments. For Carleton, this will result in $7.8 million in additional, ongoing provincial funding. Additionally, Postsecondary Education Sustainability Fund top-up monies are being allocated to institutions based on their updated financial health risk ratings. Carleton has received a medium risk rating, which will result in a one-time 3.5% increase to our operating funding, or $5.9 million.</t>
  </si>
  <si>
    <t>As revenues decrease and salary costs increase, the University has undertaken a spending reduction campaign across all Resource Planning Committees. The University has reduced its base spending by $30 million through introduction of a Voluntary Retirement Incentive Program (VRIP), reducing general and administrative spending, and making changes to class sizes and offerings. The University is reviewing the impact of staff reductions in areas where mission critical services are located and will make hiring decisions as needed. Inevitably, these budget reductions will impact service levels.</t>
  </si>
  <si>
    <t>Despite these significant efforts, the long-range financial outlook is clear: more organizational restructuring is required to restore financial stability. Continued attention to these priorities will be required to stem the depletion of university resources and the challenge to continue operating as a going concern. Organizational restructuring may begin as early as the current fiscal year. The operating budget presented for approval, however does not include an estimate for the impact of possible restructuring.</t>
  </si>
  <si>
    <t>carleton_2025_3</t>
  </si>
  <si>
    <t>carleton_2025_4</t>
  </si>
  <si>
    <t>carleton_2025_5</t>
  </si>
  <si>
    <t>carleton_2025_6</t>
  </si>
  <si>
    <t>carleton_2025_9</t>
  </si>
  <si>
    <t>Low versus High Resource Dependence</t>
  </si>
  <si>
    <t>lakehead_2021</t>
  </si>
  <si>
    <t>lakehead_2021_2</t>
  </si>
  <si>
    <t>The global context in which we operate remains complex. The impact of COVID-19 continues to evolve. We also continue to operate in a provincial environment focused on fiscal austerity. Universities across Ontario, including Lakehead University, are facing a number of challenges that threaten achievement of long-term enrolment targets. These challenges include changes to how universities are funded within the province of Ontario with an increasing proportion of funding tied to ten performance metrics, evolving demographics in the regions we serve, in some cases a declining post-secondary age population, while the need for reskilling in the current workforce is increasing, and provincial competition continues to grow. These pressures are expected to continue into the future, while Lakehead University continues to strive towards the goal of achieving optimal enrolment over the coming years.</t>
  </si>
  <si>
    <t>lakehead_2021_3</t>
  </si>
  <si>
    <t>Lakehead University’s commitment to continued financial sustainability is evidenced by strong financial performance metrics, sound governance and strong financial management. As required by the Board of Governors, Lakehead University continues to present a balanced operating budget. The budget planning process for 2021-22 fully reflects the integrated budget development model that was launched in 2015-16 following significant consultation to inform a transparent, consultative and accountable integrated budgeting process. Despite significant financial changes and enrolment pressures, Lakehead has continued to respond to mitigate funding shortfalls.</t>
  </si>
  <si>
    <t>lakehead_2021_4</t>
  </si>
  <si>
    <t>In addition to the significant funding challenges that Lakehead has managed, the 2021-22 budget also responds to the extraordinary circumstances of the global pandemic. The 2021-22 budget continues to demonstrate budget caution to ensure that Lakehead remains financially sustainable and viable moving through and beyond the next fiscal year. The strongest strategies to offset funding challenges remain strong program delivery and recruitment efforts combined with ongoing increases in domestic and international student enrolment with further growth projected in subsequent years.</t>
  </si>
  <si>
    <t>Lakehead University</t>
  </si>
  <si>
    <t>lakehead_2022</t>
  </si>
  <si>
    <t>As required by the Board of Governors, Lakehead University presents a balanced operating budget. The budget planning process for 2022-23 fully reflects our integrated budget development model and exhibits a transparent, consultative and accountable integrated budgeting process. Despite significant financial changes and enrolment pressures, Lakehead has been able to mitigate funding shortfalls.</t>
  </si>
  <si>
    <t>lakehead_2022_5</t>
  </si>
  <si>
    <t>lakehead_2023</t>
  </si>
  <si>
    <t>The global context in which we operate continues to remain complex. As we recover from
the impacts of COVID-19 on our operations, most notably through some recovery in
enrolment, we continue to manage financial pressures including a continued freeze on
domestic tuition rates, significant inflationary pressures, and an increasingly competitive
post-secondary environment.</t>
  </si>
  <si>
    <t>On October 12, 2023, the Board of Governors approved a provisional $5.284M operating
budget deficit for 2023-24 while work continues concurrently with the development of an
action plan that mitigates the University's structural deficit and ongoing advocacy with
government.</t>
  </si>
  <si>
    <t>To ensure that Lakehead remains financially sustainable and viable moving through and
beyond the next fiscal year, the 2023-24 budget continues to demonstrate budget caution.
The 2023-24 budget offers a blueprint to manage the fiscal year so that each
faculty/department has a budget foundation to work within. Budget adjustments may
continue into the winter months, depending on enrolment and other financial pressures.
The strongest strategies to offset immediate and longer-term funding challenges remain
strong program delivery combined with proactive recruitment and retention efforts of both
domestic and international student enrolment.</t>
  </si>
  <si>
    <t>lakehead_2023_2</t>
  </si>
  <si>
    <t>lakehead_2023_3</t>
  </si>
  <si>
    <t>lakehead_2023_4</t>
  </si>
  <si>
    <t>lakehead_2024_1</t>
  </si>
  <si>
    <t>lakehead_2024</t>
  </si>
  <si>
    <t>As we plan for the upcoming 2024-25 fiscal year, the global context in which we operate continues to remain complex. Most notable is the significant disruption to international enrolment resulting from changes to federal immigration policy, capping of international undergraduate student visa approvals, and changes to the post-graduate work permit requirements. Lakehead also remains impacted by financial pressures including a continued freeze on domestic tuition rates, and a competitive post-secondary environment.</t>
  </si>
  <si>
    <t>lakehead_2024_2</t>
  </si>
  <si>
    <t>In 2023, in response to the sector-wide financial sustainability challenges, the province struck a Blue Ribbon Panel. While the panel acknowledged the structural challenges facing the sector and made recommendations for significant increases to tuition and grant funding, the government’s response has focused more on operational efficiencies.</t>
  </si>
  <si>
    <t>In February 2024, the government announced $1.3 billion in new funding over the next 3 years. This announcement was welcome news; however, analysts have indicated it represents about 20% of what was needed to stabilize the sector, well short of the Panel’s recommendations.</t>
  </si>
  <si>
    <t>Lakehead University's commitment to financial sustainability continues to be evidenced by strong financial performance metrics, sound governance, and strong financial management. Advocacy efforts with the provincial government have and will continue as we stress the unique position of Lakehead as the only comprehensive university in the north.</t>
  </si>
  <si>
    <t>The budget planning process for 2024-25 fully reflects our integrated budget development model and exhibits a transparent, consultative, and accountable integrated budgeting process. While a structural deficit still exists, the addition of one-time targeted sustainability funding, resulting from the $1.3 billion funding announcement, has contributed to a balanced budget.</t>
  </si>
  <si>
    <t>lakehead_2024_3</t>
  </si>
  <si>
    <t>lakehead_2024_4</t>
  </si>
  <si>
    <t>lakehead_2024_5</t>
  </si>
  <si>
    <t>lakehead_2025_1</t>
  </si>
  <si>
    <t>lakehead_2025</t>
  </si>
  <si>
    <t>Similar to the prior fiscal year, the external environment for the post-secondary education sector remains complex. Last year’s disruption to international enrolment resulting from changes to federal immigration policy continues to be a factor.</t>
  </si>
  <si>
    <t>lakehead_2025_2</t>
  </si>
  <si>
    <t>Development of the 2025/26 budget has been impacted significantly by these changes, most notably the capping of international student visa approvals, which have expanded to include graduate students. Lakehead is experiencing declines in applications due to the reputational damage these policy changes have caused combined with the perceived hostility of the Canadian government towards international students. Lakehead also remains impacted by a continued freeze on domestic tuition rates, and a highly competitive post-secondary environment. As a northern university, Lakehead is disproportionately affected by these external forces.</t>
  </si>
  <si>
    <t>In February 2024, the government announced $1.3 billion in new funding for a 3-year period. This announcement was welcome news; however, analysts have indicated it represents about 20% of what was needed to stabilize the sector, well short of the Blue Ribbon Panel’s recommendations. The Blue Ribbon Panel was struck in 2023 by the province in response to the sector-wide financial sustainability challenges.</t>
  </si>
  <si>
    <t>The addition of one-time targeted sustainability funding, resulting from the $1.3 billion funding announcement in 2024, contributed to a balanced budget for Lakehead in 202425; however, for 2025/26, Lakehead’s portion of the Post Secondary Education Sustainability Fund (PSESF) Top-up funding, which is a component of the $1.3 billion, was reduced to nearly half for 2025/26.</t>
  </si>
  <si>
    <t>The reduction to the PSESF Top-up funding in combination with the decline in international student enrolment has been unexpected and has placed exceptional pressure on budget development.</t>
  </si>
  <si>
    <t>Lakehead University's commitment to financial sustainability continues to be evidenced by strong financial performance metrics, sound governance and strong financial management. Advocacy efforts with the provincial government have continued and will continue as we stress the unique position of Lakehead as the only comprehensive university in the north.</t>
  </si>
  <si>
    <t>lakehead_2025_3</t>
  </si>
  <si>
    <t>lakehead_2025_4</t>
  </si>
  <si>
    <t>lakehead_2025_5</t>
  </si>
  <si>
    <t>lakehead_2025_6</t>
  </si>
  <si>
    <t>laurier_2025</t>
  </si>
  <si>
    <t>laurier_2025_1</t>
  </si>
  <si>
    <r>
      <t>The assumptions and estimates included in the 2025/26 Operating, Ancillary and Capital budgets are based on the information available to management at the time of preparation</t>
    </r>
    <r>
      <rPr>
        <sz val="11"/>
        <color rgb="FFFF0000"/>
        <rFont val="Calibri"/>
        <family val="2"/>
      </rPr>
      <t xml:space="preserve">. </t>
    </r>
    <r>
      <rPr>
        <sz val="11"/>
        <color theme="1"/>
        <rFont val="Calibri"/>
        <family val="2"/>
      </rPr>
      <t>Post-secondary institutions in Canada are facing sector-wide challenges, with continued revenue constraints and significant inflationary pressures contributing to growing financial risks. Universities across Ontario are facing increased scrutiny on fiscal performance through the Ministry of Colleges, Universities, Research Excellence and Security (MCURES) Financial Accountability Framework. </t>
    </r>
  </si>
  <si>
    <t>laurier_2025_2</t>
  </si>
  <si>
    <t>Successfully navigating this difficult environment will require highly disciplined and effective financial management as the university considers both the short-term horizon as articulated in the fiscal year budget and long-term sustainability as depicted in the multi-year budget projections.</t>
  </si>
  <si>
    <t>laurier_2025_4</t>
  </si>
  <si>
    <t>Notwithstanding this recent infusion of government grant funding, Laurier remain in a structural deficit position, with a modest deficit slated to increase rapidly over the next five years even if tuition is permitted to increase in 2027/28 and beyond. Significant constraints on revenue continue in the short term, including an ongoing general freeze in domestic tuition rates and a federal cap on international study permits for undergraduate students. The limitations on revenue mean that Laurier will not be able to keep pace with rising operating costs, make the appropriate level of investments in facilities renewal and information technology systems, or invest in strategic initiatives and programs required to succeed in a highly competitive sector.</t>
  </si>
  <si>
    <t>laurier_2025_5</t>
  </si>
  <si>
    <t>Alongside a challenging revenue outlook, increased scrutiny of universities’ financial performance continues through the MCURES University Financial Accountability Framework. The Framework consists of the five financial health indicators previously reported by Ontario Universities and incorporates debt ratios and the institution’s credit rating into an overall risk assessment. While Laurier’s 2023/24 financial performance resulted in a “low” risk assessment, a significant contributing factor to this assessment was the occurrence of one-time financial impacts such as real estate transactions (reinvested in capital) and the 23/24 one-time-only STEM funding. Without these transactions, Laurier’s performance would have yielded a less favourable risk assessment rating. With the current structural deficit position Laurier must continue efforts to prioritize key investments with consideration for growth, revenue generation, cost containment, and spending to increase priority services and programs while demonstrating the ability to safeguard its fiscal health through Framework risk assessment results.</t>
  </si>
  <si>
    <t>Wilfrid Laurier University</t>
  </si>
  <si>
    <t>laurier_2024_1</t>
  </si>
  <si>
    <t>laurier_2024</t>
  </si>
  <si>
    <t>The assumptions and estimates included in the 2024/25 Operating, Ancillary and Capital budgets are based on the information available to management at the time of preparation. Post-secondary institutions in Canada are facing sector-wide challenges, with continued revenue constraints and significant inflationary pressures contributing to growing financial risks. Universities across Ontario are facing increased scrutiny on fiscal performance through a recently announced MCU Financial Accountability Framework and a series of value-for-money audits by the Auditor General.</t>
  </si>
  <si>
    <t>Laurier is now in a structural deficit position, as the university faces significant constraints on revenue including an ongoing general freeze in domestic tuition rates, modest temporary increases to government grant, and a federal cap on international study permits for undergraduate students. The limitations on revenue mean that Laurier will not be able to keep pace with rising operating costs, make the appropriate level of investments in facilities renewal and information technology systems, or invest in strategic initiatives and programs to succeed in a highly competitive sector.</t>
  </si>
  <si>
    <t>Alongside a challenging revenue outlook, increased scrutiny of Universities’ financial performance was confirmed as the Ministry of Colleges and Universities introduced the University Financial Accountability Framework. The Framework consists of the five financial health indicators previously reported by Ontario Universities and incorporates debt ratios and the institution’s credit rating into an overall risk assessment. Laurier’s 2022/23 financial performance resulted in a “low” risk assessment, however, a significant contributing factor to this assessment was the occurrence of one-time real estate transactions – without these transactions, Laurier’s performance would have yielded a less favourable risk assessment rating.</t>
  </si>
  <si>
    <t>With the current structural deficit position Laurier must continue efforts to prioritize key investments with consideration for growth, revenue generation, cost containment, and spending to increase priority services and programs while demonstrating the ability to safeguard its fiscal health through Framework risk assessment results.</t>
  </si>
  <si>
    <t>In February 2024, Laurier received $11.6 million of funding for the 2023/24 fiscal year as part of the province’s funding approach to stabilize colleges and universities while maintaining a tuition freeze for Ontario students. This funding was provided specifically for STEM program costs for enrolments above currently funded levels. This one-time funding enables Laurier to offset $11.6 million in budgeted expenditures incurred during the 2023/24 year and contribute to a stabilization fund to mitigate future deficits. While this provides some limited, short-term deficit mitigation, without sustained and predictable funding Laurier will continue to be challenged with a growing structural deficit.</t>
  </si>
  <si>
    <t>laurier_2024_2</t>
  </si>
  <si>
    <t>laurier_2024_3</t>
  </si>
  <si>
    <t>laurier_2024_4</t>
  </si>
  <si>
    <t>laurier_2024_5</t>
  </si>
  <si>
    <t>laurier_2024_6</t>
  </si>
  <si>
    <t>laurier_2023_1</t>
  </si>
  <si>
    <t>laurier_2023</t>
  </si>
  <si>
    <t>The 2023/24 budget anticipates a full return to on-campus operations following multiple years of pandemic-driven budget assumptions. In recent years, the organization has been successful in mitigating the cumulative fiscal impacts of tuition cuts, grant and tuition freezes, pandemic-related public health restrictions, and challenges affecting sector efforts in internationalization. The provincial government has recently announced a blue-ribbon panel, composed of business and academic leaders, that will provide advice and recommendations related to sector financial stability beyond 2023/24. For 2023/24, funding constraints are continuing, with a continued tuition freeze for most Ontario students and fixed operating grant funding.</t>
  </si>
  <si>
    <t>With financial challenges escalating, the sector is also subject to increased scrutiny resulting from recent auditor general value-for-money audits. While annual operating budget plans are critical to financial sustainability, the assessment of comprehensive fiscal health inclusive of capital planning, reserve considerations, and debt capacity, will be needed to support Laurier’s significant upcoming growth initiatives. Laurier is poised to embark upon a number of exciting initiatives which will contribute to its strategic mandate and success in a highly competitive sector. The prioritization and focus on key investments with consideration for revenue generation, cost containment and spending to increase priority services and programs, will be critical in optimizing limited resources and safeguarding Laurier’s financial health – key principles in the development of the 2023/24 Budget.</t>
  </si>
  <si>
    <t>laurier_2023_2</t>
  </si>
  <si>
    <t>The assumptions and estimates included in the 2023/24 Operating and Ancillary budgets are based on the information available to management at the time of preparation. Post-secondary institutions in Canada are facing sector-wide challenges; the cumulative impact of tuition cuts, grant and tuition freezes, COVID-19 pandemic impacts and significant inflationary pressures have contributed to growing financial risks. Universities across Ontario are facing increased scrutiny on fiscal performance and a greater focus on financial health indicators is expected as part of the province’s overall performance management framework. This will require demonstration of effective financial planning which considers the short-term needs articulated in a fiscal year budget, as well as longer term strategies that tie into strategic priorities and capital planning. Throughout our history, the strength of the Wilfrid Laurier University community has allowed us to capitalize on opportunities and prevail over challenges to become a comprehensive, multi-campus institution focused on excellence in academics, a student experience second to none, and growing research enterprise. The 2023/24 budget builds upon those strengths as the university embarks on a number of efforts which will contribute to its continued success.</t>
  </si>
  <si>
    <t>Beyond pandemic recovery, Laurier is faced with frozen Ontario tuition and grant values, increasing building renewal needs, continued investment in information technology systems, compounding inflationary pressures and funding requirements for investment in strategic initiatives and programs to succeed in a highly competitive sector.</t>
  </si>
  <si>
    <t>Prioritization and a focus on key investments, with consideration for growth strategies, revenue generation, cost containment and spending to increase priority services and programs will be critical to optimize limited resources and safeguard Laurier’s fiscal health.</t>
  </si>
  <si>
    <t>Financial sustainability is a critical enabler that will equip Laurier with the financial strength and capacity to achieve its strategic objectives. Financial sustainability refers to the balance between the revenues available to institutions to support their academic activities and the expenses they incur in delivering their mission.</t>
  </si>
  <si>
    <t>laurier_2023_5</t>
  </si>
  <si>
    <t>laurier_2023_6</t>
  </si>
  <si>
    <t>laurier_2023_8</t>
  </si>
  <si>
    <t>laurier_2023_9</t>
  </si>
  <si>
    <t>laurier_2022</t>
  </si>
  <si>
    <t>Laurier is poised to embark upon a number of exciting initiatives which will contribute to its success in a highly competitive sector. Consideration of financial decisions must be made in the context of the organization’s strategic mandate, as well as the full financial picture inclusive of capital, reserves, debt, and operating and ancillary services budgets. The Financial Sustainability Project, initiated in fall 2021, will strengthen capabilities in maintaining an up-to-date understanding of this full financial picture. The prioritization and focus on key investments with consideration for revenue generation, cost containment and spending to increase priority services or programs will be critical in optimizing limited resources and safeguarding Laurier’s financial health and has served as key principles in the development of the 2022/23 Budget.</t>
  </si>
  <si>
    <t>laurier_2022_2</t>
  </si>
  <si>
    <t>In this multi-year approach, continued efforts to address a structural deficit are needed to lay the groundwork for Laurier to succeed in a post-pandemic world. Beyond pandemic recovery, Laurier is faced with frozen tuition and grant values, increasing capital infrastructure needs, continued investment in information technology systems, compounding inflationary pressures and funding requirements for investment in strategic initiatives and programs to succeed in a highly competitive sector.</t>
  </si>
  <si>
    <t>Prioritization and a focus on key investments, with consideration for growth strategies, revenue generation, cost containment and spending to increase key services and programs will be critical to optimize limited resources and safeguard the organization’s fiscal health. </t>
  </si>
  <si>
    <t>laurier_2021_4</t>
  </si>
  <si>
    <t>laurier_2021_6</t>
  </si>
  <si>
    <t>laurier_2021</t>
  </si>
  <si>
    <t>laurier_2019</t>
  </si>
  <si>
    <t>The Operating Budget is developed with a focus on ensuring resources are devoted to high impact strategic priorities and are aligned with the institutional mission. In light of policy changes governing tuition fees, it is increasingly important to ensure that resource allocation reflects the strategic direction of the institution, while exercising spending constraint.</t>
  </si>
  <si>
    <t>Discussions regarding future Strategic Mandate Agreements are ongoing and may affect funding levels.</t>
  </si>
  <si>
    <t>The Provincial Government announced the withdrawal of capital funding for the Milton campus. Laurier’s capital allocation had been slated at $90 million. Despite this, Laurier remains committed to expanding into Milton and enhancing its multi-campus presence.</t>
  </si>
  <si>
    <t>laurier_2019_8</t>
  </si>
  <si>
    <t>laurier_2019_14</t>
  </si>
  <si>
    <t>laurier_2019_15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</si>
</sst>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2"/>
      <color theme="1"/>
      <name val="Aptos Narrow"/>
      <family val="2"/>
      <scheme val="minor"/>
    </font>
    <font>
      <b/>
      <sz val="12"/>
      <color theme="1"/>
      <name val="Aptos Narrow"/>
      <scheme val="minor"/>
    </font>
    <font>
      <sz val="12"/>
      <color theme="1"/>
      <name val="Calibri"/>
      <family val="2"/>
    </font>
    <font>
      <sz val="12"/>
      <color theme="1"/>
      <name val="Helvetica"/>
      <family val="2"/>
    </font>
    <font>
      <sz val="11"/>
      <color theme="1"/>
      <name val="Calibri"/>
      <family val="2"/>
    </font>
    <font>
      <sz val="9"/>
      <color rgb="FF211D1E"/>
      <name val="Helvetica"/>
      <family val="2"/>
    </font>
    <font>
      <sz val="5"/>
      <color rgb="FF211D1E"/>
      <name val="Helvetica"/>
      <family val="2"/>
    </font>
    <font>
      <sz val="9"/>
      <color theme="1"/>
      <name val="Helvetica"/>
      <family val="2"/>
    </font>
    <font>
      <vertAlign val="superscript"/>
      <sz val="6"/>
      <color theme="1"/>
      <name val="Helvetica"/>
      <family val="2"/>
    </font>
    <font>
      <i/>
      <sz val="9"/>
      <color theme="1"/>
      <name val="Helvetica"/>
      <family val="2"/>
    </font>
    <font>
      <i/>
      <vertAlign val="superscript"/>
      <sz val="6"/>
      <color theme="1"/>
      <name val="Helvetica"/>
      <family val="2"/>
    </font>
    <font>
      <sz val="8"/>
      <name val="Aptos Narrow"/>
      <family val="2"/>
      <scheme val="minor"/>
    </font>
    <font>
      <sz val="12"/>
      <color rgb="FF000000"/>
      <name val="Aptos Narrow"/>
      <family val="2"/>
      <scheme val="minor"/>
    </font>
    <font>
      <sz val="11"/>
      <color rgb="FFFF0000"/>
      <name val="Calibri"/>
      <family val="2"/>
    </font>
    <font>
      <sz val="14"/>
      <color rgb="FF000000"/>
      <name val="-webkit-standard"/>
    </font>
  </fonts>
  <fills count="9">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1" fillId="3" borderId="0" xfId="0" applyFont="1" applyFill="1"/>
    <xf numFmtId="0" fontId="1" fillId="4" borderId="0" xfId="0" applyFont="1" applyFill="1"/>
    <xf numFmtId="0" fontId="0" fillId="0" borderId="0" xfId="0" applyAlignment="1">
      <alignment horizontal="right"/>
    </xf>
    <xf numFmtId="0" fontId="1" fillId="5" borderId="0" xfId="0" applyFont="1" applyFill="1"/>
    <xf numFmtId="0" fontId="2" fillId="0" borderId="0" xfId="0" applyFont="1" applyAlignment="1">
      <alignment shrinkToFit="1"/>
    </xf>
    <xf numFmtId="0" fontId="3" fillId="0" borderId="0" xfId="0" applyFont="1" applyAlignment="1">
      <alignment shrinkToFit="1"/>
    </xf>
    <xf numFmtId="0" fontId="0" fillId="0" borderId="0" xfId="0" applyAlignment="1">
      <alignment horizontal="right" shrinkToFit="1"/>
    </xf>
    <xf numFmtId="0" fontId="0" fillId="0" borderId="0" xfId="0" applyAlignment="1">
      <alignment shrinkToFit="1"/>
    </xf>
    <xf numFmtId="0" fontId="4" fillId="0" borderId="0" xfId="0" applyFont="1" applyAlignment="1">
      <alignment shrinkToFit="1"/>
    </xf>
    <xf numFmtId="0" fontId="5" fillId="0" borderId="0" xfId="0" applyFont="1" applyAlignment="1">
      <alignment shrinkToFit="1"/>
    </xf>
    <xf numFmtId="0" fontId="1" fillId="2" borderId="0" xfId="0" applyFont="1" applyFill="1" applyAlignment="1">
      <alignment horizontal="left"/>
    </xf>
    <xf numFmtId="0" fontId="0" fillId="2" borderId="0" xfId="0" applyFill="1" applyAlignment="1">
      <alignment horizontal="left"/>
    </xf>
    <xf numFmtId="0" fontId="7" fillId="0" borderId="0" xfId="0" applyFont="1" applyAlignment="1">
      <alignment shrinkToFit="1"/>
    </xf>
    <xf numFmtId="0" fontId="1" fillId="6" borderId="0" xfId="0" applyFont="1" applyFill="1"/>
    <xf numFmtId="0" fontId="12" fillId="0" borderId="0" xfId="0" applyFont="1"/>
    <xf numFmtId="0" fontId="1" fillId="7" borderId="0" xfId="0" applyFont="1" applyFill="1"/>
    <xf numFmtId="0" fontId="1" fillId="2" borderId="0" xfId="0" applyFont="1" applyFill="1"/>
    <xf numFmtId="0" fontId="0" fillId="2" borderId="0" xfId="0" applyFill="1"/>
    <xf numFmtId="0" fontId="0" fillId="8" borderId="0" xfId="0" applyFill="1" applyAlignment="1">
      <alignment horizontal="left"/>
    </xf>
    <xf numFmtId="0" fontId="1" fillId="2" borderId="0" xfId="0" applyFont="1" applyFill="1" applyAlignment="1">
      <alignment horizontal="right"/>
    </xf>
    <xf numFmtId="0" fontId="0" fillId="8" borderId="0" xfId="0" applyFill="1" applyAlignment="1">
      <alignment horizontal="right"/>
    </xf>
    <xf numFmtId="0" fontId="0" fillId="2" borderId="0" xfId="0" applyFill="1" applyAlignment="1">
      <alignment horizontal="right"/>
    </xf>
    <xf numFmtId="0" fontId="0" fillId="0" borderId="0" xfId="0" applyAlignment="1"/>
    <xf numFmtId="0" fontId="4" fillId="0" borderId="0" xfId="0" applyFont="1"/>
    <xf numFmtId="0" fontId="14" fillId="0" borderId="0" xfId="0" applyFont="1"/>
    <xf numFmtId="0" fontId="14" fillId="0" borderId="0" xfId="0" applyFont="1" applyAlignment="1">
      <alignment shrinkToFi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2C0E-A951-D74A-BA67-BBDF09195F67}">
  <sheetPr>
    <pageSetUpPr fitToPage="1"/>
  </sheetPr>
  <dimension ref="A1:U277"/>
  <sheetViews>
    <sheetView tabSelected="1" topLeftCell="A240" zoomScaleNormal="100" workbookViewId="0">
      <selection activeCell="F278" sqref="F278"/>
    </sheetView>
  </sheetViews>
  <sheetFormatPr baseColWidth="10" defaultRowHeight="16"/>
  <cols>
    <col min="1" max="1" width="12.33203125" customWidth="1"/>
    <col min="2" max="2" width="16.33203125" customWidth="1"/>
    <col min="3" max="3" width="14.6640625" customWidth="1"/>
    <col min="4" max="5" width="15" style="13" hidden="1" customWidth="1"/>
    <col min="6" max="6" width="15" style="13" customWidth="1"/>
    <col min="7" max="7" width="15" style="23" customWidth="1"/>
    <col min="8" max="8" width="15" style="13" customWidth="1"/>
    <col min="10" max="10" width="12" customWidth="1"/>
    <col min="11" max="11" width="18" customWidth="1"/>
    <col min="12" max="12" width="16.5" customWidth="1"/>
    <col min="14" max="15" width="19" customWidth="1"/>
    <col min="16" max="16" width="12.5" customWidth="1"/>
    <col min="17" max="17" width="12.1640625" customWidth="1"/>
    <col min="18" max="18" width="12.5" customWidth="1"/>
  </cols>
  <sheetData>
    <row r="1" spans="1:21">
      <c r="A1" s="2" t="s">
        <v>0</v>
      </c>
      <c r="B1" s="2" t="s">
        <v>1</v>
      </c>
      <c r="C1" s="5" t="s">
        <v>2</v>
      </c>
      <c r="D1" s="12" t="s">
        <v>412</v>
      </c>
      <c r="E1" s="12" t="s">
        <v>413</v>
      </c>
      <c r="F1" s="12" t="s">
        <v>393</v>
      </c>
      <c r="G1" s="21" t="s">
        <v>394</v>
      </c>
      <c r="H1" s="12" t="s">
        <v>407</v>
      </c>
      <c r="I1" s="3" t="s">
        <v>5</v>
      </c>
      <c r="J1" s="3" t="s">
        <v>6</v>
      </c>
      <c r="K1" s="3" t="s">
        <v>3</v>
      </c>
      <c r="L1" s="3" t="s">
        <v>12</v>
      </c>
      <c r="M1" s="3" t="s">
        <v>4</v>
      </c>
      <c r="N1" s="3" t="s">
        <v>14</v>
      </c>
      <c r="O1" s="3" t="s">
        <v>15</v>
      </c>
      <c r="P1" s="3" t="s">
        <v>192</v>
      </c>
      <c r="Q1" s="3" t="s">
        <v>193</v>
      </c>
      <c r="R1" s="3" t="s">
        <v>194</v>
      </c>
      <c r="S1" s="3" t="s">
        <v>195</v>
      </c>
      <c r="T1" s="3" t="s">
        <v>215</v>
      </c>
      <c r="U1" s="3" t="s">
        <v>216</v>
      </c>
    </row>
    <row r="2" spans="1:21" ht="28" customHeight="1">
      <c r="A2" s="4" t="s">
        <v>9</v>
      </c>
      <c r="B2" s="4" t="s">
        <v>10</v>
      </c>
      <c r="C2" s="6" t="s">
        <v>16</v>
      </c>
      <c r="D2" s="13">
        <v>1</v>
      </c>
      <c r="E2" s="13" t="s">
        <v>395</v>
      </c>
      <c r="F2" s="13">
        <v>1</v>
      </c>
      <c r="G2" s="22">
        <v>1</v>
      </c>
      <c r="H2" s="13">
        <v>2</v>
      </c>
      <c r="I2" s="4">
        <v>1</v>
      </c>
      <c r="J2" s="4">
        <v>9</v>
      </c>
      <c r="K2" s="4" t="s">
        <v>11</v>
      </c>
      <c r="L2" s="4" t="s">
        <v>13</v>
      </c>
      <c r="M2" s="4">
        <v>2017</v>
      </c>
      <c r="N2" s="4">
        <v>1</v>
      </c>
      <c r="O2" s="4">
        <v>0</v>
      </c>
    </row>
    <row r="3" spans="1:21" ht="20" customHeight="1">
      <c r="A3" s="4" t="s">
        <v>9</v>
      </c>
      <c r="B3" s="4" t="s">
        <v>22</v>
      </c>
      <c r="C3" s="6" t="s">
        <v>17</v>
      </c>
      <c r="D3" s="13">
        <v>1</v>
      </c>
      <c r="E3" s="13" t="s">
        <v>399</v>
      </c>
      <c r="F3" s="13">
        <v>1</v>
      </c>
      <c r="G3" s="22">
        <v>1</v>
      </c>
      <c r="H3" s="13">
        <v>2</v>
      </c>
      <c r="I3" s="4">
        <v>2</v>
      </c>
      <c r="J3" s="4">
        <v>9</v>
      </c>
      <c r="K3" s="4" t="s">
        <v>11</v>
      </c>
      <c r="L3" s="4" t="s">
        <v>13</v>
      </c>
      <c r="M3" s="4">
        <v>2017</v>
      </c>
      <c r="N3" s="4">
        <v>1</v>
      </c>
      <c r="O3" s="4">
        <v>0</v>
      </c>
    </row>
    <row r="4" spans="1:21" ht="22" customHeight="1">
      <c r="A4" s="4" t="s">
        <v>9</v>
      </c>
      <c r="B4" s="4" t="s">
        <v>23</v>
      </c>
      <c r="C4" s="6" t="s">
        <v>18</v>
      </c>
      <c r="D4" s="13">
        <v>1</v>
      </c>
      <c r="E4" s="13" t="s">
        <v>397</v>
      </c>
      <c r="F4" s="13">
        <v>1</v>
      </c>
      <c r="G4" s="22">
        <v>0</v>
      </c>
      <c r="H4" s="20">
        <v>2</v>
      </c>
      <c r="I4" s="4">
        <v>3</v>
      </c>
      <c r="J4" s="4">
        <v>9</v>
      </c>
      <c r="K4" s="4" t="s">
        <v>11</v>
      </c>
      <c r="L4" s="4" t="s">
        <v>13</v>
      </c>
      <c r="M4" s="4">
        <v>2017</v>
      </c>
      <c r="N4" s="4">
        <v>1</v>
      </c>
      <c r="O4" s="4">
        <v>0</v>
      </c>
    </row>
    <row r="5" spans="1:21">
      <c r="A5" s="4" t="s">
        <v>9</v>
      </c>
      <c r="B5" s="4" t="s">
        <v>24</v>
      </c>
      <c r="C5" s="6" t="s">
        <v>19</v>
      </c>
      <c r="D5" s="13">
        <v>1</v>
      </c>
      <c r="E5" s="13" t="s">
        <v>399</v>
      </c>
      <c r="F5" s="13">
        <v>1</v>
      </c>
      <c r="G5" s="22">
        <v>0</v>
      </c>
      <c r="H5" s="13">
        <v>1</v>
      </c>
      <c r="I5" s="4">
        <v>6</v>
      </c>
      <c r="J5" s="4">
        <v>9</v>
      </c>
      <c r="K5" s="4" t="s">
        <v>11</v>
      </c>
      <c r="L5" s="4" t="s">
        <v>13</v>
      </c>
      <c r="M5" s="4">
        <v>2017</v>
      </c>
      <c r="N5" s="4">
        <v>1</v>
      </c>
      <c r="O5" s="4">
        <v>0</v>
      </c>
    </row>
    <row r="6" spans="1:21">
      <c r="A6" s="4" t="s">
        <v>9</v>
      </c>
      <c r="B6" s="4" t="s">
        <v>25</v>
      </c>
      <c r="C6" s="6" t="s">
        <v>20</v>
      </c>
      <c r="D6" s="13">
        <v>1</v>
      </c>
      <c r="E6" s="13" t="s">
        <v>399</v>
      </c>
      <c r="F6" s="13">
        <v>1</v>
      </c>
      <c r="G6" s="22">
        <v>1</v>
      </c>
      <c r="H6" s="13">
        <v>2</v>
      </c>
      <c r="I6" s="4">
        <v>8</v>
      </c>
      <c r="J6" s="4">
        <v>9</v>
      </c>
      <c r="K6" s="4" t="s">
        <v>11</v>
      </c>
      <c r="L6" s="4" t="s">
        <v>13</v>
      </c>
      <c r="M6" s="4">
        <v>2017</v>
      </c>
      <c r="N6" s="4">
        <v>1</v>
      </c>
      <c r="O6" s="4">
        <v>0</v>
      </c>
    </row>
    <row r="7" spans="1:21">
      <c r="A7" s="4" t="s">
        <v>9</v>
      </c>
      <c r="B7" s="4" t="s">
        <v>26</v>
      </c>
      <c r="C7" s="6" t="s">
        <v>21</v>
      </c>
      <c r="D7" s="13">
        <v>0</v>
      </c>
      <c r="F7" s="13">
        <v>1</v>
      </c>
      <c r="G7" s="22">
        <v>0</v>
      </c>
      <c r="H7" s="13">
        <v>1</v>
      </c>
      <c r="I7" s="4">
        <v>9</v>
      </c>
      <c r="J7" s="4">
        <v>9</v>
      </c>
      <c r="K7" s="4" t="s">
        <v>11</v>
      </c>
      <c r="L7" s="4" t="s">
        <v>13</v>
      </c>
      <c r="M7" s="4">
        <v>2017</v>
      </c>
      <c r="N7" s="4">
        <v>1</v>
      </c>
      <c r="O7" s="4">
        <v>0</v>
      </c>
    </row>
    <row r="8" spans="1:21">
      <c r="A8" s="4" t="s">
        <v>8</v>
      </c>
      <c r="B8" s="4" t="s">
        <v>27</v>
      </c>
      <c r="C8" s="6" t="s">
        <v>28</v>
      </c>
      <c r="D8" s="13">
        <v>1</v>
      </c>
      <c r="E8" s="13" t="s">
        <v>395</v>
      </c>
      <c r="F8" s="13">
        <v>1</v>
      </c>
      <c r="G8" s="22">
        <v>1</v>
      </c>
      <c r="H8" s="13">
        <v>2</v>
      </c>
      <c r="I8" s="4">
        <v>1</v>
      </c>
      <c r="J8" s="4">
        <v>9</v>
      </c>
      <c r="K8" s="4" t="s">
        <v>11</v>
      </c>
      <c r="L8" s="4" t="s">
        <v>13</v>
      </c>
      <c r="M8" s="4">
        <v>2018</v>
      </c>
      <c r="N8" s="4">
        <v>1</v>
      </c>
      <c r="O8" s="4">
        <v>0</v>
      </c>
    </row>
    <row r="9" spans="1:21">
      <c r="A9" s="4" t="s">
        <v>8</v>
      </c>
      <c r="B9" s="4" t="s">
        <v>33</v>
      </c>
      <c r="C9" s="6" t="s">
        <v>29</v>
      </c>
      <c r="D9" s="13">
        <v>1</v>
      </c>
      <c r="E9" s="13" t="s">
        <v>399</v>
      </c>
      <c r="F9" s="13">
        <v>1</v>
      </c>
      <c r="G9" s="22">
        <v>1</v>
      </c>
      <c r="H9" s="13">
        <v>2</v>
      </c>
      <c r="I9" s="4">
        <v>2</v>
      </c>
      <c r="J9" s="4">
        <v>9</v>
      </c>
      <c r="K9" s="4" t="s">
        <v>11</v>
      </c>
      <c r="L9" s="4" t="s">
        <v>13</v>
      </c>
      <c r="M9" s="4">
        <v>2018</v>
      </c>
      <c r="N9" s="4">
        <v>1</v>
      </c>
      <c r="O9" s="4">
        <v>0</v>
      </c>
    </row>
    <row r="10" spans="1:21">
      <c r="A10" s="4" t="s">
        <v>8</v>
      </c>
      <c r="B10" s="4" t="s">
        <v>34</v>
      </c>
      <c r="C10" s="6" t="s">
        <v>30</v>
      </c>
      <c r="D10" s="13">
        <v>1</v>
      </c>
      <c r="E10" s="13" t="s">
        <v>399</v>
      </c>
      <c r="F10" s="13">
        <v>1</v>
      </c>
      <c r="G10" s="22">
        <v>0</v>
      </c>
      <c r="H10" s="13">
        <v>1</v>
      </c>
      <c r="I10" s="4">
        <v>6</v>
      </c>
      <c r="J10" s="4">
        <v>9</v>
      </c>
      <c r="K10" s="4" t="s">
        <v>11</v>
      </c>
      <c r="L10" s="4" t="s">
        <v>13</v>
      </c>
      <c r="M10" s="4">
        <v>2018</v>
      </c>
      <c r="N10" s="4">
        <v>1</v>
      </c>
      <c r="O10" s="4">
        <v>0</v>
      </c>
    </row>
    <row r="11" spans="1:21">
      <c r="A11" s="4" t="s">
        <v>8</v>
      </c>
      <c r="B11" s="4" t="s">
        <v>35</v>
      </c>
      <c r="C11" s="6" t="s">
        <v>31</v>
      </c>
      <c r="D11" s="13">
        <v>1</v>
      </c>
      <c r="E11" s="13" t="s">
        <v>399</v>
      </c>
      <c r="F11" s="13">
        <v>1</v>
      </c>
      <c r="G11" s="22">
        <v>1</v>
      </c>
      <c r="H11" s="13">
        <v>2</v>
      </c>
      <c r="I11" s="4">
        <v>7</v>
      </c>
      <c r="J11" s="4">
        <v>9</v>
      </c>
      <c r="K11" s="4" t="s">
        <v>11</v>
      </c>
      <c r="L11" s="4" t="s">
        <v>13</v>
      </c>
      <c r="M11" s="4">
        <v>2018</v>
      </c>
      <c r="N11" s="4">
        <v>1</v>
      </c>
      <c r="O11" s="4">
        <v>0</v>
      </c>
    </row>
    <row r="12" spans="1:21">
      <c r="A12" s="4" t="s">
        <v>8</v>
      </c>
      <c r="B12" s="4" t="s">
        <v>36</v>
      </c>
      <c r="C12" s="6" t="s">
        <v>32</v>
      </c>
      <c r="D12" s="13">
        <v>0</v>
      </c>
      <c r="F12" s="13">
        <v>1</v>
      </c>
      <c r="G12" s="22">
        <v>0</v>
      </c>
      <c r="H12" s="13">
        <v>1</v>
      </c>
      <c r="I12" s="4">
        <v>9</v>
      </c>
      <c r="J12" s="4">
        <v>9</v>
      </c>
      <c r="K12" s="4" t="s">
        <v>11</v>
      </c>
      <c r="L12" s="4" t="s">
        <v>13</v>
      </c>
      <c r="M12" s="4">
        <v>2018</v>
      </c>
      <c r="N12" s="4">
        <v>1</v>
      </c>
      <c r="O12" s="4">
        <v>0</v>
      </c>
    </row>
    <row r="13" spans="1:21">
      <c r="A13" s="4" t="s">
        <v>7</v>
      </c>
      <c r="B13" s="4" t="s">
        <v>37</v>
      </c>
      <c r="C13" s="7" t="s">
        <v>39</v>
      </c>
      <c r="D13" s="13">
        <v>1</v>
      </c>
      <c r="E13" s="13" t="s">
        <v>395</v>
      </c>
      <c r="F13" s="13">
        <v>1</v>
      </c>
      <c r="G13" s="22">
        <v>1</v>
      </c>
      <c r="H13" s="13">
        <v>2</v>
      </c>
      <c r="I13" s="4">
        <v>1</v>
      </c>
      <c r="J13" s="4">
        <v>7</v>
      </c>
      <c r="K13" s="4" t="s">
        <v>11</v>
      </c>
      <c r="L13" s="4" t="s">
        <v>13</v>
      </c>
      <c r="M13" s="4">
        <v>2019</v>
      </c>
      <c r="N13" s="4">
        <v>1</v>
      </c>
      <c r="O13" s="4">
        <v>1</v>
      </c>
    </row>
    <row r="14" spans="1:21">
      <c r="A14" s="4" t="s">
        <v>7</v>
      </c>
      <c r="B14" s="4" t="s">
        <v>44</v>
      </c>
      <c r="C14" s="7" t="s">
        <v>40</v>
      </c>
      <c r="D14" s="13">
        <v>1</v>
      </c>
      <c r="E14" s="13" t="s">
        <v>399</v>
      </c>
      <c r="F14" s="13">
        <v>1</v>
      </c>
      <c r="G14" s="22">
        <v>1</v>
      </c>
      <c r="H14" s="13">
        <v>2</v>
      </c>
      <c r="I14" s="4">
        <v>2</v>
      </c>
      <c r="J14" s="4">
        <v>7</v>
      </c>
      <c r="K14" s="4" t="s">
        <v>11</v>
      </c>
      <c r="L14" s="4" t="s">
        <v>13</v>
      </c>
      <c r="M14" s="4">
        <v>2019</v>
      </c>
      <c r="N14" s="4">
        <v>1</v>
      </c>
      <c r="O14" s="4">
        <v>1</v>
      </c>
    </row>
    <row r="15" spans="1:21">
      <c r="A15" s="4" t="s">
        <v>7</v>
      </c>
      <c r="B15" s="4" t="s">
        <v>45</v>
      </c>
      <c r="C15" s="8" t="s">
        <v>41</v>
      </c>
      <c r="D15" s="13">
        <v>1</v>
      </c>
      <c r="E15" s="13" t="s">
        <v>399</v>
      </c>
      <c r="F15" s="13">
        <v>1</v>
      </c>
      <c r="G15" s="22">
        <v>0</v>
      </c>
      <c r="H15" s="13">
        <v>1</v>
      </c>
      <c r="I15" s="4">
        <v>5</v>
      </c>
      <c r="J15" s="4">
        <v>7</v>
      </c>
      <c r="K15" s="4" t="s">
        <v>11</v>
      </c>
      <c r="L15" s="4" t="s">
        <v>13</v>
      </c>
      <c r="M15" s="4">
        <v>2019</v>
      </c>
      <c r="N15" s="4">
        <v>1</v>
      </c>
      <c r="O15" s="4">
        <v>1</v>
      </c>
    </row>
    <row r="16" spans="1:21">
      <c r="A16" s="4" t="s">
        <v>7</v>
      </c>
      <c r="B16" s="4" t="s">
        <v>46</v>
      </c>
      <c r="C16" s="8" t="s">
        <v>42</v>
      </c>
      <c r="D16" s="13">
        <v>1</v>
      </c>
      <c r="E16" s="13" t="s">
        <v>399</v>
      </c>
      <c r="F16" s="13">
        <v>1</v>
      </c>
      <c r="G16" s="22">
        <v>0</v>
      </c>
      <c r="H16" s="20">
        <v>2</v>
      </c>
      <c r="I16" s="4">
        <v>6</v>
      </c>
      <c r="J16" s="4">
        <v>7</v>
      </c>
      <c r="K16" s="4" t="s">
        <v>11</v>
      </c>
      <c r="L16" s="4" t="s">
        <v>13</v>
      </c>
      <c r="M16" s="4">
        <v>2019</v>
      </c>
      <c r="N16" s="4">
        <v>1</v>
      </c>
      <c r="O16" s="4">
        <v>1</v>
      </c>
    </row>
    <row r="17" spans="1:15">
      <c r="A17" s="4" t="s">
        <v>7</v>
      </c>
      <c r="B17" s="4" t="s">
        <v>47</v>
      </c>
      <c r="C17" s="8" t="s">
        <v>43</v>
      </c>
      <c r="D17" s="13">
        <v>0</v>
      </c>
      <c r="F17" s="13">
        <v>1</v>
      </c>
      <c r="G17" s="22">
        <v>0</v>
      </c>
      <c r="H17" s="13">
        <v>1</v>
      </c>
      <c r="I17" s="4">
        <v>7</v>
      </c>
      <c r="J17" s="4">
        <v>7</v>
      </c>
      <c r="K17" s="4" t="s">
        <v>11</v>
      </c>
      <c r="L17" s="4" t="s">
        <v>13</v>
      </c>
      <c r="M17" s="4">
        <v>2019</v>
      </c>
      <c r="N17" s="4">
        <v>1</v>
      </c>
      <c r="O17" s="4">
        <v>1</v>
      </c>
    </row>
    <row r="18" spans="1:15">
      <c r="A18" s="4" t="s">
        <v>38</v>
      </c>
      <c r="B18" s="4" t="s">
        <v>52</v>
      </c>
      <c r="C18" s="8" t="s">
        <v>48</v>
      </c>
      <c r="D18" s="13">
        <v>1</v>
      </c>
      <c r="E18" s="13" t="s">
        <v>395</v>
      </c>
      <c r="F18" s="13">
        <v>1</v>
      </c>
      <c r="G18" s="22">
        <v>1</v>
      </c>
      <c r="H18" s="13">
        <v>2</v>
      </c>
      <c r="I18" s="4">
        <v>5</v>
      </c>
      <c r="J18" s="4">
        <v>10</v>
      </c>
      <c r="K18" s="4" t="s">
        <v>11</v>
      </c>
      <c r="L18" s="4" t="s">
        <v>13</v>
      </c>
      <c r="M18" s="4">
        <v>2020</v>
      </c>
      <c r="N18" s="4">
        <v>1</v>
      </c>
      <c r="O18" s="4">
        <v>1</v>
      </c>
    </row>
    <row r="19" spans="1:15">
      <c r="A19" s="4" t="s">
        <v>38</v>
      </c>
      <c r="B19" s="4" t="s">
        <v>53</v>
      </c>
      <c r="C19" s="8" t="s">
        <v>49</v>
      </c>
      <c r="D19" s="13">
        <v>1</v>
      </c>
      <c r="E19" s="13" t="s">
        <v>399</v>
      </c>
      <c r="F19" s="13">
        <v>1</v>
      </c>
      <c r="G19" s="22">
        <v>1</v>
      </c>
      <c r="H19" s="13">
        <v>2</v>
      </c>
      <c r="I19" s="4">
        <v>6</v>
      </c>
      <c r="J19" s="4">
        <v>10</v>
      </c>
      <c r="K19" s="4" t="s">
        <v>11</v>
      </c>
      <c r="L19" s="4" t="s">
        <v>13</v>
      </c>
      <c r="M19" s="4">
        <v>2020</v>
      </c>
      <c r="N19" s="4">
        <v>1</v>
      </c>
      <c r="O19" s="4">
        <v>1</v>
      </c>
    </row>
    <row r="20" spans="1:15">
      <c r="A20" s="4" t="s">
        <v>38</v>
      </c>
      <c r="B20" s="4" t="s">
        <v>54</v>
      </c>
      <c r="C20" s="8" t="s">
        <v>269</v>
      </c>
      <c r="D20" s="13">
        <v>1</v>
      </c>
      <c r="E20" s="13" t="s">
        <v>395</v>
      </c>
      <c r="F20" s="13">
        <v>1</v>
      </c>
      <c r="G20" s="22">
        <v>0</v>
      </c>
      <c r="H20" s="20">
        <v>2</v>
      </c>
      <c r="I20" s="4">
        <v>8</v>
      </c>
      <c r="J20" s="4">
        <v>10</v>
      </c>
      <c r="K20" s="4" t="s">
        <v>11</v>
      </c>
      <c r="L20" s="4" t="s">
        <v>13</v>
      </c>
      <c r="M20" s="4">
        <v>2020</v>
      </c>
      <c r="N20" s="4">
        <v>1</v>
      </c>
      <c r="O20" s="4">
        <v>1</v>
      </c>
    </row>
    <row r="21" spans="1:15">
      <c r="A21" s="4" t="s">
        <v>38</v>
      </c>
      <c r="B21" s="4" t="s">
        <v>55</v>
      </c>
      <c r="C21" s="8" t="s">
        <v>50</v>
      </c>
      <c r="D21" s="13">
        <v>1</v>
      </c>
      <c r="E21" s="13" t="s">
        <v>399</v>
      </c>
      <c r="F21" s="13">
        <v>1</v>
      </c>
      <c r="G21" s="22">
        <v>0</v>
      </c>
      <c r="H21" s="13">
        <v>1</v>
      </c>
      <c r="I21" s="4">
        <v>9</v>
      </c>
      <c r="J21" s="4">
        <v>10</v>
      </c>
      <c r="K21" s="4" t="s">
        <v>11</v>
      </c>
      <c r="L21" s="4" t="s">
        <v>13</v>
      </c>
      <c r="M21" s="4">
        <v>2020</v>
      </c>
      <c r="N21" s="4">
        <v>1</v>
      </c>
      <c r="O21" s="4">
        <v>1</v>
      </c>
    </row>
    <row r="22" spans="1:15">
      <c r="A22" s="4" t="s">
        <v>38</v>
      </c>
      <c r="B22" s="4" t="s">
        <v>268</v>
      </c>
      <c r="C22" s="8" t="s">
        <v>51</v>
      </c>
      <c r="D22" s="13">
        <v>1</v>
      </c>
      <c r="E22" s="13" t="s">
        <v>399</v>
      </c>
      <c r="F22" s="13">
        <v>1</v>
      </c>
      <c r="G22" s="22">
        <v>0</v>
      </c>
      <c r="H22" s="20">
        <v>2</v>
      </c>
      <c r="I22" s="4">
        <v>10</v>
      </c>
      <c r="J22" s="4">
        <v>10</v>
      </c>
      <c r="K22" s="4" t="s">
        <v>11</v>
      </c>
      <c r="L22" s="4" t="s">
        <v>13</v>
      </c>
      <c r="M22" s="4">
        <v>2020</v>
      </c>
      <c r="N22" s="4">
        <v>1</v>
      </c>
      <c r="O22" s="4">
        <v>1</v>
      </c>
    </row>
    <row r="23" spans="1:15">
      <c r="A23" s="4" t="s">
        <v>56</v>
      </c>
      <c r="B23" s="4" t="s">
        <v>57</v>
      </c>
      <c r="C23" s="8" t="s">
        <v>58</v>
      </c>
      <c r="D23" s="13">
        <v>1</v>
      </c>
      <c r="E23" s="13" t="s">
        <v>395</v>
      </c>
      <c r="F23" s="13">
        <v>1</v>
      </c>
      <c r="G23" s="22">
        <v>1</v>
      </c>
      <c r="H23" s="13">
        <v>2</v>
      </c>
      <c r="I23" s="4">
        <v>1</v>
      </c>
      <c r="J23" s="4">
        <v>6</v>
      </c>
      <c r="K23" s="4" t="s">
        <v>11</v>
      </c>
      <c r="L23" s="4" t="s">
        <v>13</v>
      </c>
      <c r="M23" s="4">
        <v>2021</v>
      </c>
      <c r="N23" s="4">
        <v>1</v>
      </c>
      <c r="O23" s="4">
        <v>1</v>
      </c>
    </row>
    <row r="24" spans="1:15">
      <c r="A24" s="4" t="s">
        <v>56</v>
      </c>
      <c r="B24" s="4" t="s">
        <v>61</v>
      </c>
      <c r="C24" s="8" t="s">
        <v>49</v>
      </c>
      <c r="D24" s="13">
        <v>1</v>
      </c>
      <c r="E24" s="13" t="s">
        <v>399</v>
      </c>
      <c r="F24" s="13">
        <v>1</v>
      </c>
      <c r="G24" s="22">
        <v>1</v>
      </c>
      <c r="H24" s="13">
        <v>2</v>
      </c>
      <c r="I24" s="4">
        <v>2</v>
      </c>
      <c r="J24" s="4">
        <v>6</v>
      </c>
      <c r="K24" s="4" t="s">
        <v>11</v>
      </c>
      <c r="L24" s="4" t="s">
        <v>13</v>
      </c>
      <c r="M24" s="4">
        <v>2021</v>
      </c>
      <c r="N24" s="4">
        <v>1</v>
      </c>
      <c r="O24" s="4">
        <v>1</v>
      </c>
    </row>
    <row r="25" spans="1:15">
      <c r="A25" s="4" t="s">
        <v>56</v>
      </c>
      <c r="B25" s="4" t="s">
        <v>62</v>
      </c>
      <c r="C25" s="9" t="s">
        <v>59</v>
      </c>
      <c r="D25" s="13">
        <v>1</v>
      </c>
      <c r="E25" s="13" t="s">
        <v>395</v>
      </c>
      <c r="F25" s="13">
        <v>1</v>
      </c>
      <c r="G25" s="22">
        <v>1</v>
      </c>
      <c r="H25" s="13">
        <v>2</v>
      </c>
      <c r="I25" s="4">
        <v>4</v>
      </c>
      <c r="J25" s="4">
        <v>6</v>
      </c>
      <c r="K25" s="4" t="s">
        <v>11</v>
      </c>
      <c r="L25" s="4" t="s">
        <v>13</v>
      </c>
      <c r="M25" s="4">
        <v>2021</v>
      </c>
      <c r="N25" s="4">
        <v>1</v>
      </c>
      <c r="O25" s="4">
        <v>1</v>
      </c>
    </row>
    <row r="26" spans="1:15">
      <c r="A26" s="4" t="s">
        <v>56</v>
      </c>
      <c r="B26" s="4" t="s">
        <v>63</v>
      </c>
      <c r="C26" s="9" t="s">
        <v>60</v>
      </c>
      <c r="D26" s="13">
        <v>1</v>
      </c>
      <c r="E26" s="13" t="s">
        <v>399</v>
      </c>
      <c r="F26" s="13">
        <v>1</v>
      </c>
      <c r="G26" s="22">
        <v>0</v>
      </c>
      <c r="H26" s="13">
        <v>1</v>
      </c>
      <c r="I26" s="4">
        <v>5</v>
      </c>
      <c r="J26" s="4">
        <v>6</v>
      </c>
      <c r="K26" s="4" t="s">
        <v>11</v>
      </c>
      <c r="L26" s="4" t="s">
        <v>13</v>
      </c>
      <c r="M26" s="4">
        <v>2021</v>
      </c>
      <c r="N26" s="4">
        <v>1</v>
      </c>
      <c r="O26" s="4">
        <v>1</v>
      </c>
    </row>
    <row r="27" spans="1:15">
      <c r="A27" s="4" t="s">
        <v>64</v>
      </c>
      <c r="B27" s="4" t="s">
        <v>65</v>
      </c>
      <c r="C27" s="9" t="s">
        <v>58</v>
      </c>
      <c r="D27" s="13">
        <v>1</v>
      </c>
      <c r="E27" s="13" t="s">
        <v>395</v>
      </c>
      <c r="F27" s="13">
        <v>1</v>
      </c>
      <c r="G27" s="22">
        <v>1</v>
      </c>
      <c r="H27" s="13">
        <v>2</v>
      </c>
      <c r="I27" s="4">
        <v>1</v>
      </c>
      <c r="J27" s="4">
        <v>7</v>
      </c>
      <c r="K27" s="4" t="s">
        <v>11</v>
      </c>
      <c r="L27" s="4" t="s">
        <v>13</v>
      </c>
      <c r="M27" s="4">
        <v>2022</v>
      </c>
      <c r="N27" s="4">
        <v>1</v>
      </c>
      <c r="O27" s="4">
        <v>1</v>
      </c>
    </row>
    <row r="28" spans="1:15">
      <c r="A28" s="4" t="s">
        <v>64</v>
      </c>
      <c r="B28" s="4" t="s">
        <v>71</v>
      </c>
      <c r="C28" s="9" t="s">
        <v>49</v>
      </c>
      <c r="D28" s="13">
        <v>1</v>
      </c>
      <c r="E28" s="13" t="s">
        <v>399</v>
      </c>
      <c r="F28" s="13">
        <v>1</v>
      </c>
      <c r="G28" s="22">
        <v>1</v>
      </c>
      <c r="H28" s="13">
        <v>2</v>
      </c>
      <c r="I28" s="4">
        <v>2</v>
      </c>
      <c r="J28" s="4">
        <v>7</v>
      </c>
      <c r="K28" s="4" t="s">
        <v>11</v>
      </c>
      <c r="L28" s="4" t="s">
        <v>13</v>
      </c>
      <c r="M28" s="4">
        <v>2022</v>
      </c>
      <c r="N28" s="4">
        <v>1</v>
      </c>
      <c r="O28" s="4">
        <v>1</v>
      </c>
    </row>
    <row r="29" spans="1:15">
      <c r="A29" s="4" t="s">
        <v>64</v>
      </c>
      <c r="B29" s="4" t="s">
        <v>72</v>
      </c>
      <c r="C29" s="9" t="s">
        <v>66</v>
      </c>
      <c r="D29" s="13">
        <v>1</v>
      </c>
      <c r="E29" s="13" t="s">
        <v>399</v>
      </c>
      <c r="F29" s="13">
        <v>1</v>
      </c>
      <c r="G29" s="22">
        <v>1</v>
      </c>
      <c r="H29" s="13">
        <v>2</v>
      </c>
      <c r="I29" s="4">
        <v>3</v>
      </c>
      <c r="J29" s="4">
        <v>7</v>
      </c>
      <c r="K29" s="4" t="s">
        <v>11</v>
      </c>
      <c r="L29" s="4" t="s">
        <v>13</v>
      </c>
      <c r="M29" s="4">
        <v>2022</v>
      </c>
      <c r="N29" s="4">
        <v>1</v>
      </c>
      <c r="O29" s="4">
        <v>1</v>
      </c>
    </row>
    <row r="30" spans="1:15">
      <c r="A30" s="4" t="s">
        <v>64</v>
      </c>
      <c r="B30" s="4" t="s">
        <v>73</v>
      </c>
      <c r="C30" s="9" t="s">
        <v>67</v>
      </c>
      <c r="D30" s="13">
        <v>1</v>
      </c>
      <c r="E30" s="13" t="s">
        <v>399</v>
      </c>
      <c r="F30" s="13">
        <v>1</v>
      </c>
      <c r="G30" s="22">
        <v>0</v>
      </c>
      <c r="H30" s="20">
        <v>2</v>
      </c>
      <c r="I30" s="4">
        <v>4</v>
      </c>
      <c r="J30" s="4">
        <v>7</v>
      </c>
      <c r="K30" s="4" t="s">
        <v>11</v>
      </c>
      <c r="L30" s="4" t="s">
        <v>13</v>
      </c>
      <c r="M30" s="4">
        <v>2022</v>
      </c>
      <c r="N30" s="4">
        <v>1</v>
      </c>
      <c r="O30" s="4">
        <v>1</v>
      </c>
    </row>
    <row r="31" spans="1:15">
      <c r="A31" s="4" t="s">
        <v>64</v>
      </c>
      <c r="B31" s="4" t="s">
        <v>74</v>
      </c>
      <c r="C31" s="9" t="s">
        <v>68</v>
      </c>
      <c r="D31" s="13">
        <v>1</v>
      </c>
      <c r="E31" s="13" t="s">
        <v>397</v>
      </c>
      <c r="F31" s="13">
        <v>1</v>
      </c>
      <c r="G31" s="22">
        <v>0</v>
      </c>
      <c r="H31" s="20">
        <v>2</v>
      </c>
      <c r="I31" s="4">
        <v>5</v>
      </c>
      <c r="J31" s="4">
        <v>7</v>
      </c>
      <c r="K31" s="4" t="s">
        <v>11</v>
      </c>
      <c r="L31" s="4" t="s">
        <v>13</v>
      </c>
      <c r="M31" s="4">
        <v>2022</v>
      </c>
      <c r="N31" s="4">
        <v>1</v>
      </c>
      <c r="O31" s="4">
        <v>1</v>
      </c>
    </row>
    <row r="32" spans="1:15">
      <c r="A32" s="4" t="s">
        <v>64</v>
      </c>
      <c r="B32" s="4" t="s">
        <v>75</v>
      </c>
      <c r="C32" s="9" t="s">
        <v>69</v>
      </c>
      <c r="D32" s="13">
        <v>1</v>
      </c>
      <c r="E32" s="13" t="s">
        <v>399</v>
      </c>
      <c r="F32" s="13">
        <v>1</v>
      </c>
      <c r="G32" s="22">
        <v>0</v>
      </c>
      <c r="H32" s="13">
        <v>1</v>
      </c>
      <c r="I32" s="4">
        <v>6</v>
      </c>
      <c r="J32" s="4">
        <v>7</v>
      </c>
      <c r="K32" s="4" t="s">
        <v>11</v>
      </c>
      <c r="L32" s="4" t="s">
        <v>13</v>
      </c>
      <c r="M32" s="4">
        <v>2022</v>
      </c>
      <c r="N32" s="4">
        <v>1</v>
      </c>
      <c r="O32" s="4">
        <v>1</v>
      </c>
    </row>
    <row r="33" spans="1:15">
      <c r="A33" s="4" t="s">
        <v>64</v>
      </c>
      <c r="B33" s="4" t="s">
        <v>76</v>
      </c>
      <c r="C33" s="9" t="s">
        <v>70</v>
      </c>
      <c r="D33" s="13">
        <v>1</v>
      </c>
      <c r="E33" s="13" t="s">
        <v>399</v>
      </c>
      <c r="F33" s="13">
        <v>1</v>
      </c>
      <c r="G33" s="22">
        <v>1</v>
      </c>
      <c r="H33" s="13">
        <v>2</v>
      </c>
      <c r="I33" s="4">
        <v>7</v>
      </c>
      <c r="J33" s="4">
        <v>7</v>
      </c>
      <c r="K33" s="4" t="s">
        <v>11</v>
      </c>
      <c r="L33" s="4" t="s">
        <v>13</v>
      </c>
      <c r="M33" s="4">
        <v>2022</v>
      </c>
      <c r="N33" s="4">
        <v>1</v>
      </c>
      <c r="O33" s="4">
        <v>1</v>
      </c>
    </row>
    <row r="34" spans="1:15">
      <c r="A34" s="4" t="s">
        <v>77</v>
      </c>
      <c r="B34" s="4" t="s">
        <v>78</v>
      </c>
      <c r="C34" s="9" t="s">
        <v>79</v>
      </c>
      <c r="D34" s="13">
        <v>1</v>
      </c>
      <c r="E34" s="13" t="s">
        <v>395</v>
      </c>
      <c r="F34" s="13">
        <v>1</v>
      </c>
      <c r="G34" s="22">
        <v>1</v>
      </c>
      <c r="H34" s="13">
        <v>2</v>
      </c>
      <c r="I34" s="4">
        <v>1</v>
      </c>
      <c r="J34" s="4">
        <v>8</v>
      </c>
      <c r="K34" s="4" t="s">
        <v>11</v>
      </c>
      <c r="L34" s="4" t="s">
        <v>13</v>
      </c>
      <c r="M34" s="4">
        <v>2023</v>
      </c>
      <c r="N34" s="4">
        <v>1</v>
      </c>
      <c r="O34" s="4">
        <v>1</v>
      </c>
    </row>
    <row r="35" spans="1:15">
      <c r="A35" s="4" t="s">
        <v>77</v>
      </c>
      <c r="B35" s="4" t="s">
        <v>86</v>
      </c>
      <c r="C35" s="9" t="s">
        <v>80</v>
      </c>
      <c r="D35" s="13">
        <v>1</v>
      </c>
      <c r="E35" s="13" t="s">
        <v>399</v>
      </c>
      <c r="F35" s="13">
        <v>1</v>
      </c>
      <c r="G35" s="22">
        <v>1</v>
      </c>
      <c r="H35" s="13">
        <v>2</v>
      </c>
      <c r="I35" s="4">
        <v>2</v>
      </c>
      <c r="J35" s="4">
        <v>8</v>
      </c>
      <c r="K35" s="4" t="s">
        <v>11</v>
      </c>
      <c r="L35" s="4" t="s">
        <v>13</v>
      </c>
      <c r="M35" s="4">
        <v>2023</v>
      </c>
      <c r="N35" s="4">
        <v>1</v>
      </c>
      <c r="O35" s="4">
        <v>1</v>
      </c>
    </row>
    <row r="36" spans="1:15">
      <c r="A36" s="4" t="s">
        <v>77</v>
      </c>
      <c r="B36" s="4" t="s">
        <v>87</v>
      </c>
      <c r="C36" s="9" t="s">
        <v>81</v>
      </c>
      <c r="D36" s="13">
        <v>1</v>
      </c>
      <c r="E36" s="13" t="s">
        <v>399</v>
      </c>
      <c r="F36" s="13">
        <v>1</v>
      </c>
      <c r="G36" s="22">
        <v>0</v>
      </c>
      <c r="H36" s="20">
        <v>2</v>
      </c>
      <c r="I36" s="4">
        <v>3</v>
      </c>
      <c r="J36" s="4">
        <v>8</v>
      </c>
      <c r="K36" s="4" t="s">
        <v>11</v>
      </c>
      <c r="L36" s="4" t="s">
        <v>13</v>
      </c>
      <c r="M36" s="4">
        <v>2023</v>
      </c>
      <c r="N36" s="4">
        <v>1</v>
      </c>
      <c r="O36" s="4">
        <v>1</v>
      </c>
    </row>
    <row r="37" spans="1:15">
      <c r="A37" s="4" t="s">
        <v>77</v>
      </c>
      <c r="B37" s="4" t="s">
        <v>88</v>
      </c>
      <c r="C37" s="9" t="s">
        <v>82</v>
      </c>
      <c r="D37" s="13">
        <v>1</v>
      </c>
      <c r="E37" s="13" t="s">
        <v>399</v>
      </c>
      <c r="F37" s="13">
        <v>1</v>
      </c>
      <c r="G37" s="22">
        <v>1</v>
      </c>
      <c r="H37" s="13">
        <v>2</v>
      </c>
      <c r="I37" s="4">
        <v>4</v>
      </c>
      <c r="J37" s="4">
        <v>8</v>
      </c>
      <c r="K37" s="4" t="s">
        <v>11</v>
      </c>
      <c r="L37" s="4" t="s">
        <v>13</v>
      </c>
      <c r="M37" s="4">
        <v>2023</v>
      </c>
      <c r="N37" s="4">
        <v>1</v>
      </c>
      <c r="O37" s="4">
        <v>1</v>
      </c>
    </row>
    <row r="38" spans="1:15">
      <c r="A38" s="4" t="s">
        <v>77</v>
      </c>
      <c r="B38" s="4" t="s">
        <v>89</v>
      </c>
      <c r="C38" s="9" t="s">
        <v>83</v>
      </c>
      <c r="D38" s="13">
        <v>1</v>
      </c>
      <c r="E38" s="13" t="s">
        <v>399</v>
      </c>
      <c r="F38" s="13">
        <v>1</v>
      </c>
      <c r="G38" s="22">
        <v>0</v>
      </c>
      <c r="H38" s="20">
        <v>2</v>
      </c>
      <c r="I38" s="4">
        <v>5</v>
      </c>
      <c r="J38" s="4">
        <v>8</v>
      </c>
      <c r="K38" s="4" t="s">
        <v>11</v>
      </c>
      <c r="L38" s="4" t="s">
        <v>13</v>
      </c>
      <c r="M38" s="4">
        <v>2023</v>
      </c>
      <c r="N38" s="4">
        <v>1</v>
      </c>
      <c r="O38" s="4">
        <v>1</v>
      </c>
    </row>
    <row r="39" spans="1:15">
      <c r="A39" s="4" t="s">
        <v>77</v>
      </c>
      <c r="B39" s="4" t="s">
        <v>90</v>
      </c>
      <c r="C39" s="9" t="s">
        <v>84</v>
      </c>
      <c r="D39" s="13">
        <v>1</v>
      </c>
      <c r="E39" s="13" t="s">
        <v>399</v>
      </c>
      <c r="F39" s="13">
        <v>1</v>
      </c>
      <c r="G39" s="22">
        <v>0</v>
      </c>
      <c r="H39" s="13">
        <v>1</v>
      </c>
      <c r="I39" s="4">
        <v>7</v>
      </c>
      <c r="J39" s="4">
        <v>8</v>
      </c>
      <c r="K39" s="4" t="s">
        <v>11</v>
      </c>
      <c r="L39" s="4" t="s">
        <v>13</v>
      </c>
      <c r="M39" s="4">
        <v>2023</v>
      </c>
      <c r="N39" s="4">
        <v>1</v>
      </c>
      <c r="O39" s="4">
        <v>1</v>
      </c>
    </row>
    <row r="40" spans="1:15">
      <c r="A40" s="4" t="s">
        <v>77</v>
      </c>
      <c r="B40" s="4" t="s">
        <v>91</v>
      </c>
      <c r="C40" s="9" t="s">
        <v>85</v>
      </c>
      <c r="D40" s="13">
        <v>1</v>
      </c>
      <c r="E40" s="13" t="s">
        <v>399</v>
      </c>
      <c r="F40" s="13">
        <v>1</v>
      </c>
      <c r="G40" s="22">
        <v>1</v>
      </c>
      <c r="H40" s="13">
        <v>2</v>
      </c>
      <c r="I40" s="4">
        <v>8</v>
      </c>
      <c r="J40" s="4">
        <v>8</v>
      </c>
      <c r="K40" s="4" t="s">
        <v>11</v>
      </c>
      <c r="L40" s="4" t="s">
        <v>13</v>
      </c>
      <c r="M40" s="4">
        <v>2023</v>
      </c>
      <c r="N40" s="4">
        <v>1</v>
      </c>
      <c r="O40" s="4">
        <v>1</v>
      </c>
    </row>
    <row r="41" spans="1:15">
      <c r="A41" s="4" t="s">
        <v>92</v>
      </c>
      <c r="B41" s="4" t="s">
        <v>93</v>
      </c>
      <c r="C41" s="9" t="s">
        <v>94</v>
      </c>
      <c r="D41" s="13">
        <v>1</v>
      </c>
      <c r="E41" s="13" t="s">
        <v>395</v>
      </c>
      <c r="F41" s="13">
        <v>1</v>
      </c>
      <c r="G41" s="22">
        <v>1</v>
      </c>
      <c r="H41" s="13">
        <v>2</v>
      </c>
      <c r="I41" s="4">
        <v>1</v>
      </c>
      <c r="J41" s="4">
        <v>8</v>
      </c>
      <c r="K41" s="4" t="s">
        <v>11</v>
      </c>
      <c r="L41" s="4" t="s">
        <v>13</v>
      </c>
      <c r="M41" s="4">
        <v>2024</v>
      </c>
      <c r="N41" s="4">
        <v>1</v>
      </c>
      <c r="O41" s="4">
        <v>1</v>
      </c>
    </row>
    <row r="42" spans="1:15">
      <c r="A42" s="4" t="s">
        <v>92</v>
      </c>
      <c r="B42" s="4" t="s">
        <v>101</v>
      </c>
      <c r="C42" s="9" t="s">
        <v>95</v>
      </c>
      <c r="D42" s="13">
        <v>1</v>
      </c>
      <c r="E42" s="13" t="s">
        <v>399</v>
      </c>
      <c r="F42" s="13">
        <v>1</v>
      </c>
      <c r="G42" s="22">
        <v>1</v>
      </c>
      <c r="H42" s="13">
        <v>2</v>
      </c>
      <c r="I42" s="4">
        <v>2</v>
      </c>
      <c r="J42" s="4">
        <v>8</v>
      </c>
      <c r="K42" s="4" t="s">
        <v>11</v>
      </c>
      <c r="L42" s="4" t="s">
        <v>13</v>
      </c>
      <c r="M42" s="4">
        <v>2024</v>
      </c>
      <c r="N42" s="4">
        <v>1</v>
      </c>
      <c r="O42" s="4">
        <v>1</v>
      </c>
    </row>
    <row r="43" spans="1:15">
      <c r="A43" s="4" t="s">
        <v>92</v>
      </c>
      <c r="B43" s="4" t="s">
        <v>102</v>
      </c>
      <c r="C43" s="9" t="s">
        <v>96</v>
      </c>
      <c r="D43" s="13">
        <v>1</v>
      </c>
      <c r="E43" s="13" t="s">
        <v>399</v>
      </c>
      <c r="F43" s="13">
        <v>1</v>
      </c>
      <c r="G43" s="22">
        <v>1</v>
      </c>
      <c r="H43" s="13">
        <v>2</v>
      </c>
      <c r="I43" s="4">
        <v>3</v>
      </c>
      <c r="J43" s="4">
        <v>8</v>
      </c>
      <c r="K43" s="4" t="s">
        <v>11</v>
      </c>
      <c r="L43" s="4" t="s">
        <v>13</v>
      </c>
      <c r="M43" s="4">
        <v>2024</v>
      </c>
      <c r="N43" s="4">
        <v>1</v>
      </c>
      <c r="O43" s="4">
        <v>1</v>
      </c>
    </row>
    <row r="44" spans="1:15">
      <c r="A44" s="4" t="s">
        <v>92</v>
      </c>
      <c r="B44" s="4" t="s">
        <v>103</v>
      </c>
      <c r="C44" s="9" t="s">
        <v>83</v>
      </c>
      <c r="D44" s="13">
        <v>1</v>
      </c>
      <c r="E44" s="13" t="s">
        <v>399</v>
      </c>
      <c r="F44" s="13">
        <v>1</v>
      </c>
      <c r="G44" s="22">
        <v>0</v>
      </c>
      <c r="H44" s="20">
        <v>2</v>
      </c>
      <c r="I44" s="4">
        <v>4</v>
      </c>
      <c r="J44" s="4">
        <v>8</v>
      </c>
      <c r="K44" s="4" t="s">
        <v>11</v>
      </c>
      <c r="L44" s="4" t="s">
        <v>13</v>
      </c>
      <c r="M44" s="4">
        <v>2024</v>
      </c>
      <c r="N44" s="4">
        <v>1</v>
      </c>
      <c r="O44" s="4">
        <v>1</v>
      </c>
    </row>
    <row r="45" spans="1:15">
      <c r="A45" s="4" t="s">
        <v>92</v>
      </c>
      <c r="B45" s="4" t="s">
        <v>104</v>
      </c>
      <c r="C45" s="9" t="s">
        <v>97</v>
      </c>
      <c r="D45" s="13">
        <v>1</v>
      </c>
      <c r="E45" s="13" t="s">
        <v>397</v>
      </c>
      <c r="F45" s="13">
        <v>1</v>
      </c>
      <c r="G45" s="22">
        <v>0</v>
      </c>
      <c r="H45" s="20">
        <v>2</v>
      </c>
      <c r="I45" s="4">
        <v>5</v>
      </c>
      <c r="J45" s="4">
        <v>8</v>
      </c>
      <c r="K45" s="4" t="s">
        <v>11</v>
      </c>
      <c r="L45" s="4" t="s">
        <v>13</v>
      </c>
      <c r="M45" s="4">
        <v>2024</v>
      </c>
      <c r="N45" s="4">
        <v>1</v>
      </c>
      <c r="O45" s="4">
        <v>1</v>
      </c>
    </row>
    <row r="46" spans="1:15">
      <c r="A46" s="4" t="s">
        <v>92</v>
      </c>
      <c r="B46" s="4" t="s">
        <v>105</v>
      </c>
      <c r="C46" s="9" t="s">
        <v>98</v>
      </c>
      <c r="D46" s="13">
        <v>1</v>
      </c>
      <c r="E46" s="13" t="s">
        <v>399</v>
      </c>
      <c r="F46" s="13">
        <v>1</v>
      </c>
      <c r="G46" s="22">
        <v>0</v>
      </c>
      <c r="H46" s="13">
        <v>1</v>
      </c>
      <c r="I46" s="4">
        <v>6</v>
      </c>
      <c r="J46" s="4">
        <v>8</v>
      </c>
      <c r="K46" s="4" t="s">
        <v>11</v>
      </c>
      <c r="L46" s="4" t="s">
        <v>13</v>
      </c>
      <c r="M46" s="4">
        <v>2024</v>
      </c>
      <c r="N46" s="4">
        <v>1</v>
      </c>
      <c r="O46" s="4">
        <v>1</v>
      </c>
    </row>
    <row r="47" spans="1:15">
      <c r="A47" s="4" t="s">
        <v>92</v>
      </c>
      <c r="B47" s="4" t="s">
        <v>106</v>
      </c>
      <c r="C47" s="9" t="s">
        <v>99</v>
      </c>
      <c r="D47" s="13">
        <v>1</v>
      </c>
      <c r="E47" s="13" t="s">
        <v>399</v>
      </c>
      <c r="F47" s="13">
        <v>1</v>
      </c>
      <c r="G47" s="22">
        <v>1</v>
      </c>
      <c r="H47" s="13">
        <v>2</v>
      </c>
      <c r="I47" s="4">
        <v>7</v>
      </c>
      <c r="J47" s="4">
        <v>8</v>
      </c>
      <c r="K47" s="4" t="s">
        <v>11</v>
      </c>
      <c r="L47" s="4" t="s">
        <v>13</v>
      </c>
      <c r="M47" s="4">
        <v>2024</v>
      </c>
      <c r="N47" s="4">
        <v>1</v>
      </c>
      <c r="O47" s="4">
        <v>1</v>
      </c>
    </row>
    <row r="48" spans="1:15">
      <c r="A48" s="4" t="s">
        <v>92</v>
      </c>
      <c r="B48" s="4" t="s">
        <v>107</v>
      </c>
      <c r="C48" s="9" t="s">
        <v>100</v>
      </c>
      <c r="D48" s="13">
        <v>1</v>
      </c>
      <c r="E48" s="13" t="s">
        <v>399</v>
      </c>
      <c r="F48" s="13">
        <v>1</v>
      </c>
      <c r="G48" s="22">
        <v>1</v>
      </c>
      <c r="H48" s="13">
        <v>2</v>
      </c>
      <c r="I48" s="4">
        <v>8</v>
      </c>
      <c r="J48" s="4">
        <v>8</v>
      </c>
      <c r="K48" s="4" t="s">
        <v>11</v>
      </c>
      <c r="L48" s="4" t="s">
        <v>13</v>
      </c>
      <c r="M48" s="4">
        <v>2024</v>
      </c>
      <c r="N48" s="4">
        <v>1</v>
      </c>
      <c r="O48" s="4">
        <v>1</v>
      </c>
    </row>
    <row r="49" spans="1:15">
      <c r="A49" s="4" t="s">
        <v>108</v>
      </c>
      <c r="B49" s="4" t="s">
        <v>109</v>
      </c>
      <c r="C49" s="9" t="s">
        <v>110</v>
      </c>
      <c r="D49" s="13">
        <v>1</v>
      </c>
      <c r="E49" s="13" t="s">
        <v>395</v>
      </c>
      <c r="F49" s="13">
        <v>1</v>
      </c>
      <c r="G49" s="22">
        <v>1</v>
      </c>
      <c r="H49" s="13">
        <v>2</v>
      </c>
      <c r="I49" s="4">
        <v>1</v>
      </c>
      <c r="J49" s="4">
        <v>8</v>
      </c>
      <c r="K49" s="4" t="s">
        <v>11</v>
      </c>
      <c r="L49" s="4" t="s">
        <v>13</v>
      </c>
      <c r="M49" s="4">
        <v>2025</v>
      </c>
      <c r="N49" s="4">
        <v>1</v>
      </c>
      <c r="O49" s="4">
        <v>1</v>
      </c>
    </row>
    <row r="50" spans="1:15">
      <c r="A50" s="4" t="s">
        <v>108</v>
      </c>
      <c r="B50" s="4" t="s">
        <v>117</v>
      </c>
      <c r="C50" s="9" t="s">
        <v>111</v>
      </c>
      <c r="D50" s="13">
        <v>1</v>
      </c>
      <c r="E50" s="13" t="s">
        <v>399</v>
      </c>
      <c r="F50" s="13">
        <v>1</v>
      </c>
      <c r="G50" s="22">
        <v>1</v>
      </c>
      <c r="H50" s="13">
        <v>2</v>
      </c>
      <c r="I50" s="4">
        <v>2</v>
      </c>
      <c r="J50" s="4">
        <v>8</v>
      </c>
      <c r="K50" s="4" t="s">
        <v>11</v>
      </c>
      <c r="L50" s="4" t="s">
        <v>13</v>
      </c>
      <c r="M50" s="4">
        <v>2025</v>
      </c>
      <c r="N50" s="4">
        <v>1</v>
      </c>
      <c r="O50" s="4">
        <v>1</v>
      </c>
    </row>
    <row r="51" spans="1:15">
      <c r="A51" s="4" t="s">
        <v>108</v>
      </c>
      <c r="B51" s="4" t="s">
        <v>118</v>
      </c>
      <c r="C51" s="9" t="s">
        <v>112</v>
      </c>
      <c r="D51" s="13">
        <v>1</v>
      </c>
      <c r="E51" s="13" t="s">
        <v>399</v>
      </c>
      <c r="F51" s="13">
        <v>1</v>
      </c>
      <c r="G51" s="22">
        <v>0</v>
      </c>
      <c r="H51" s="20">
        <v>2</v>
      </c>
      <c r="I51" s="4">
        <v>3</v>
      </c>
      <c r="J51" s="4">
        <v>8</v>
      </c>
      <c r="K51" s="4" t="s">
        <v>11</v>
      </c>
      <c r="L51" s="4" t="s">
        <v>13</v>
      </c>
      <c r="M51" s="4">
        <v>2025</v>
      </c>
      <c r="N51" s="4">
        <v>1</v>
      </c>
      <c r="O51" s="4">
        <v>1</v>
      </c>
    </row>
    <row r="52" spans="1:15">
      <c r="A52" s="4" t="s">
        <v>108</v>
      </c>
      <c r="B52" s="4" t="s">
        <v>119</v>
      </c>
      <c r="C52" s="9" t="s">
        <v>113</v>
      </c>
      <c r="D52" s="13">
        <v>1</v>
      </c>
      <c r="E52" s="13" t="s">
        <v>397</v>
      </c>
      <c r="F52" s="13">
        <v>1</v>
      </c>
      <c r="G52" s="22">
        <v>0</v>
      </c>
      <c r="H52" s="20">
        <v>2</v>
      </c>
      <c r="I52" s="4">
        <v>4</v>
      </c>
      <c r="J52" s="4">
        <v>8</v>
      </c>
      <c r="K52" s="4" t="s">
        <v>11</v>
      </c>
      <c r="L52" s="4" t="s">
        <v>13</v>
      </c>
      <c r="M52" s="4">
        <v>2025</v>
      </c>
      <c r="N52" s="4">
        <v>1</v>
      </c>
      <c r="O52" s="4">
        <v>1</v>
      </c>
    </row>
    <row r="53" spans="1:15">
      <c r="A53" s="4" t="s">
        <v>108</v>
      </c>
      <c r="B53" s="4" t="s">
        <v>120</v>
      </c>
      <c r="C53" s="9" t="s">
        <v>114</v>
      </c>
      <c r="D53" s="13">
        <v>1</v>
      </c>
      <c r="E53" s="13" t="s">
        <v>399</v>
      </c>
      <c r="F53" s="13">
        <v>1</v>
      </c>
      <c r="G53" s="22">
        <v>0</v>
      </c>
      <c r="H53" s="13">
        <v>1</v>
      </c>
      <c r="I53" s="4">
        <v>6</v>
      </c>
      <c r="J53" s="4">
        <v>8</v>
      </c>
      <c r="K53" s="4" t="s">
        <v>11</v>
      </c>
      <c r="L53" s="4" t="s">
        <v>13</v>
      </c>
      <c r="M53" s="4">
        <v>2025</v>
      </c>
      <c r="N53" s="4">
        <v>1</v>
      </c>
      <c r="O53" s="4">
        <v>1</v>
      </c>
    </row>
    <row r="54" spans="1:15">
      <c r="A54" s="4" t="s">
        <v>108</v>
      </c>
      <c r="B54" s="4" t="s">
        <v>121</v>
      </c>
      <c r="C54" s="9" t="s">
        <v>115</v>
      </c>
      <c r="D54" s="13">
        <v>1</v>
      </c>
      <c r="E54" s="13" t="s">
        <v>399</v>
      </c>
      <c r="F54" s="13">
        <v>1</v>
      </c>
      <c r="G54" s="22">
        <v>1</v>
      </c>
      <c r="H54" s="13">
        <v>2</v>
      </c>
      <c r="I54" s="4">
        <v>7</v>
      </c>
      <c r="J54" s="4">
        <v>8</v>
      </c>
      <c r="K54" s="4" t="s">
        <v>11</v>
      </c>
      <c r="L54" s="4" t="s">
        <v>13</v>
      </c>
      <c r="M54" s="4">
        <v>2025</v>
      </c>
      <c r="N54" s="4">
        <v>1</v>
      </c>
      <c r="O54" s="4">
        <v>1</v>
      </c>
    </row>
    <row r="55" spans="1:15">
      <c r="A55" s="4" t="s">
        <v>108</v>
      </c>
      <c r="B55" s="4" t="s">
        <v>122</v>
      </c>
      <c r="C55" s="9" t="s">
        <v>116</v>
      </c>
      <c r="D55" s="13">
        <v>1</v>
      </c>
      <c r="E55" s="13" t="s">
        <v>399</v>
      </c>
      <c r="F55" s="13">
        <v>1</v>
      </c>
      <c r="G55" s="22">
        <v>1</v>
      </c>
      <c r="H55" s="13">
        <v>2</v>
      </c>
      <c r="I55" s="4">
        <v>8</v>
      </c>
      <c r="J55" s="4">
        <v>8</v>
      </c>
      <c r="K55" s="4" t="s">
        <v>11</v>
      </c>
      <c r="L55" s="4" t="s">
        <v>13</v>
      </c>
      <c r="M55" s="4">
        <v>2025</v>
      </c>
      <c r="N55" s="4">
        <v>1</v>
      </c>
      <c r="O55" s="4">
        <v>1</v>
      </c>
    </row>
    <row r="56" spans="1:15">
      <c r="A56" s="4" t="s">
        <v>123</v>
      </c>
      <c r="B56" s="4" t="s">
        <v>136</v>
      </c>
      <c r="C56" s="9" t="s">
        <v>125</v>
      </c>
      <c r="D56" s="13">
        <v>1</v>
      </c>
      <c r="E56" s="13" t="s">
        <v>399</v>
      </c>
      <c r="F56" s="13">
        <v>1</v>
      </c>
      <c r="G56" s="22">
        <v>1</v>
      </c>
      <c r="H56" s="13">
        <v>2</v>
      </c>
      <c r="I56" s="4">
        <v>2</v>
      </c>
      <c r="J56" s="4">
        <v>21</v>
      </c>
      <c r="K56" s="4" t="s">
        <v>124</v>
      </c>
      <c r="L56" s="4" t="s">
        <v>13</v>
      </c>
      <c r="M56" s="4">
        <v>2017</v>
      </c>
      <c r="N56" s="4">
        <v>1</v>
      </c>
      <c r="O56" s="4">
        <v>0</v>
      </c>
    </row>
    <row r="57" spans="1:15">
      <c r="A57" s="4" t="s">
        <v>123</v>
      </c>
      <c r="B57" s="4" t="s">
        <v>137</v>
      </c>
      <c r="C57" s="9" t="s">
        <v>126</v>
      </c>
      <c r="D57" s="13">
        <v>1</v>
      </c>
      <c r="E57" s="13" t="s">
        <v>397</v>
      </c>
      <c r="F57" s="13">
        <v>1</v>
      </c>
      <c r="G57" s="22">
        <v>0</v>
      </c>
      <c r="H57" s="13">
        <v>1</v>
      </c>
      <c r="I57" s="4">
        <v>6</v>
      </c>
      <c r="J57" s="4">
        <v>21</v>
      </c>
      <c r="K57" s="4" t="s">
        <v>124</v>
      </c>
      <c r="L57" s="4" t="s">
        <v>13</v>
      </c>
      <c r="M57" s="4">
        <v>2017</v>
      </c>
      <c r="N57" s="4">
        <v>1</v>
      </c>
      <c r="O57" s="4">
        <v>0</v>
      </c>
    </row>
    <row r="58" spans="1:15">
      <c r="A58" s="4" t="s">
        <v>123</v>
      </c>
      <c r="B58" s="4" t="s">
        <v>138</v>
      </c>
      <c r="C58" s="9" t="s">
        <v>127</v>
      </c>
      <c r="D58" s="13">
        <v>1</v>
      </c>
      <c r="E58" s="13" t="s">
        <v>397</v>
      </c>
      <c r="F58" s="13">
        <v>1</v>
      </c>
      <c r="G58" s="22">
        <v>0</v>
      </c>
      <c r="H58" s="13">
        <v>1</v>
      </c>
      <c r="I58" s="4">
        <v>8</v>
      </c>
      <c r="J58" s="4">
        <v>21</v>
      </c>
      <c r="K58" s="4" t="s">
        <v>124</v>
      </c>
      <c r="L58" s="4" t="s">
        <v>13</v>
      </c>
      <c r="M58" s="4">
        <v>2017</v>
      </c>
      <c r="N58" s="4">
        <v>1</v>
      </c>
      <c r="O58" s="4">
        <v>0</v>
      </c>
    </row>
    <row r="59" spans="1:15">
      <c r="A59" s="4" t="s">
        <v>123</v>
      </c>
      <c r="B59" s="4" t="s">
        <v>139</v>
      </c>
      <c r="C59" s="9" t="s">
        <v>128</v>
      </c>
      <c r="D59" s="13">
        <v>0</v>
      </c>
      <c r="F59" s="13">
        <v>1</v>
      </c>
      <c r="G59" s="22">
        <v>0</v>
      </c>
      <c r="H59" s="13">
        <v>1</v>
      </c>
      <c r="I59" s="4">
        <v>10</v>
      </c>
      <c r="J59" s="4">
        <v>21</v>
      </c>
      <c r="K59" s="4" t="s">
        <v>124</v>
      </c>
      <c r="L59" s="4" t="s">
        <v>13</v>
      </c>
      <c r="M59" s="4">
        <v>2017</v>
      </c>
      <c r="N59" s="4">
        <v>1</v>
      </c>
      <c r="O59" s="4">
        <v>0</v>
      </c>
    </row>
    <row r="60" spans="1:15">
      <c r="A60" s="4" t="s">
        <v>123</v>
      </c>
      <c r="B60" s="4" t="s">
        <v>140</v>
      </c>
      <c r="C60" s="9" t="s">
        <v>129</v>
      </c>
      <c r="D60" s="13">
        <v>1</v>
      </c>
      <c r="E60" s="13" t="s">
        <v>397</v>
      </c>
      <c r="F60" s="13">
        <v>1</v>
      </c>
      <c r="G60" s="22">
        <v>0</v>
      </c>
      <c r="H60" s="13">
        <v>1</v>
      </c>
      <c r="I60" s="4">
        <v>11</v>
      </c>
      <c r="J60" s="4">
        <v>21</v>
      </c>
      <c r="K60" s="4" t="s">
        <v>124</v>
      </c>
      <c r="L60" s="4" t="s">
        <v>13</v>
      </c>
      <c r="M60" s="4">
        <v>2017</v>
      </c>
      <c r="N60" s="4">
        <v>1</v>
      </c>
      <c r="O60" s="4">
        <v>0</v>
      </c>
    </row>
    <row r="61" spans="1:15">
      <c r="A61" s="4" t="s">
        <v>123</v>
      </c>
      <c r="B61" s="4" t="s">
        <v>141</v>
      </c>
      <c r="C61" s="9" t="s">
        <v>130</v>
      </c>
      <c r="D61" s="13">
        <v>0</v>
      </c>
      <c r="F61" s="13">
        <v>1</v>
      </c>
      <c r="G61" s="22">
        <v>0</v>
      </c>
      <c r="H61" s="20">
        <v>1</v>
      </c>
      <c r="I61" s="4">
        <v>14</v>
      </c>
      <c r="J61" s="4">
        <v>21</v>
      </c>
      <c r="K61" s="4" t="s">
        <v>124</v>
      </c>
      <c r="L61" s="4" t="s">
        <v>13</v>
      </c>
      <c r="M61" s="4">
        <v>2017</v>
      </c>
      <c r="N61" s="4">
        <v>1</v>
      </c>
      <c r="O61" s="4">
        <v>0</v>
      </c>
    </row>
    <row r="62" spans="1:15">
      <c r="A62" s="4" t="s">
        <v>123</v>
      </c>
      <c r="B62" s="4" t="s">
        <v>142</v>
      </c>
      <c r="C62" s="9" t="s">
        <v>131</v>
      </c>
      <c r="D62" s="13">
        <v>0</v>
      </c>
      <c r="F62" s="13">
        <v>1</v>
      </c>
      <c r="G62" s="22">
        <v>0</v>
      </c>
      <c r="H62" s="13">
        <v>1</v>
      </c>
      <c r="I62" s="4">
        <v>15</v>
      </c>
      <c r="J62" s="4">
        <v>21</v>
      </c>
      <c r="K62" s="4" t="s">
        <v>124</v>
      </c>
      <c r="L62" s="4" t="s">
        <v>13</v>
      </c>
      <c r="M62" s="4">
        <v>2017</v>
      </c>
      <c r="N62" s="4">
        <v>1</v>
      </c>
      <c r="O62" s="4">
        <v>0</v>
      </c>
    </row>
    <row r="63" spans="1:15">
      <c r="A63" s="4" t="s">
        <v>123</v>
      </c>
      <c r="B63" s="4" t="s">
        <v>143</v>
      </c>
      <c r="C63" s="9" t="s">
        <v>132</v>
      </c>
      <c r="D63" s="13">
        <v>1</v>
      </c>
      <c r="E63" s="13" t="s">
        <v>397</v>
      </c>
      <c r="F63" s="13">
        <v>1</v>
      </c>
      <c r="G63" s="22">
        <v>0</v>
      </c>
      <c r="H63" s="13">
        <v>1</v>
      </c>
      <c r="I63" s="4">
        <v>17</v>
      </c>
      <c r="J63" s="4">
        <v>21</v>
      </c>
      <c r="K63" s="4" t="s">
        <v>124</v>
      </c>
      <c r="L63" s="4" t="s">
        <v>13</v>
      </c>
      <c r="M63" s="4">
        <v>2017</v>
      </c>
      <c r="N63" s="4">
        <v>1</v>
      </c>
      <c r="O63" s="4">
        <v>0</v>
      </c>
    </row>
    <row r="64" spans="1:15">
      <c r="A64" s="4" t="s">
        <v>123</v>
      </c>
      <c r="B64" s="4" t="s">
        <v>144</v>
      </c>
      <c r="C64" s="9" t="s">
        <v>133</v>
      </c>
      <c r="D64" s="13">
        <v>1</v>
      </c>
      <c r="E64" s="13" t="s">
        <v>399</v>
      </c>
      <c r="F64" s="13">
        <v>1</v>
      </c>
      <c r="G64" s="22">
        <v>0</v>
      </c>
      <c r="H64" s="20">
        <v>2</v>
      </c>
      <c r="I64" s="4">
        <v>19</v>
      </c>
      <c r="J64" s="4">
        <v>21</v>
      </c>
      <c r="K64" s="4" t="s">
        <v>124</v>
      </c>
      <c r="L64" s="4" t="s">
        <v>13</v>
      </c>
      <c r="M64" s="4">
        <v>2017</v>
      </c>
      <c r="N64" s="4">
        <v>1</v>
      </c>
      <c r="O64" s="4">
        <v>0</v>
      </c>
    </row>
    <row r="65" spans="1:15">
      <c r="A65" s="4" t="s">
        <v>123</v>
      </c>
      <c r="B65" s="4" t="s">
        <v>145</v>
      </c>
      <c r="C65" s="9" t="s">
        <v>134</v>
      </c>
      <c r="D65" s="13">
        <v>1</v>
      </c>
      <c r="E65" s="13" t="s">
        <v>399</v>
      </c>
      <c r="F65" s="13">
        <v>1</v>
      </c>
      <c r="G65" s="22">
        <v>0</v>
      </c>
      <c r="H65" s="13">
        <v>1</v>
      </c>
      <c r="I65" s="4">
        <v>20</v>
      </c>
      <c r="J65" s="4">
        <v>21</v>
      </c>
      <c r="K65" s="4" t="s">
        <v>124</v>
      </c>
      <c r="L65" s="4" t="s">
        <v>13</v>
      </c>
      <c r="M65" s="4">
        <v>2017</v>
      </c>
      <c r="N65" s="4">
        <v>1</v>
      </c>
      <c r="O65" s="4">
        <v>0</v>
      </c>
    </row>
    <row r="66" spans="1:15">
      <c r="A66" s="4" t="s">
        <v>123</v>
      </c>
      <c r="B66" s="4" t="s">
        <v>146</v>
      </c>
      <c r="C66" s="6" t="s">
        <v>135</v>
      </c>
      <c r="D66" s="13">
        <v>1</v>
      </c>
      <c r="E66" s="13" t="s">
        <v>399</v>
      </c>
      <c r="F66" s="13">
        <v>1</v>
      </c>
      <c r="G66" s="22">
        <v>0</v>
      </c>
      <c r="H66" s="20">
        <v>2</v>
      </c>
      <c r="I66" s="4">
        <v>21</v>
      </c>
      <c r="J66" s="4">
        <v>21</v>
      </c>
      <c r="K66" s="4" t="s">
        <v>124</v>
      </c>
      <c r="L66" s="4" t="s">
        <v>13</v>
      </c>
      <c r="M66" s="4">
        <v>2017</v>
      </c>
      <c r="N66" s="4">
        <v>1</v>
      </c>
      <c r="O66" s="4">
        <v>0</v>
      </c>
    </row>
    <row r="67" spans="1:15">
      <c r="A67" s="4" t="s">
        <v>147</v>
      </c>
      <c r="B67" s="4" t="s">
        <v>159</v>
      </c>
      <c r="C67" s="9" t="s">
        <v>148</v>
      </c>
      <c r="D67" s="13">
        <v>1</v>
      </c>
      <c r="E67" s="13" t="s">
        <v>399</v>
      </c>
      <c r="F67" s="13">
        <v>1</v>
      </c>
      <c r="G67" s="22">
        <v>1</v>
      </c>
      <c r="H67" s="13">
        <v>2</v>
      </c>
      <c r="I67" s="4">
        <v>3</v>
      </c>
      <c r="J67" s="4">
        <v>25</v>
      </c>
      <c r="K67" s="4" t="s">
        <v>124</v>
      </c>
      <c r="L67" s="4" t="s">
        <v>13</v>
      </c>
      <c r="M67" s="4">
        <v>2018</v>
      </c>
      <c r="N67" s="4">
        <v>1</v>
      </c>
      <c r="O67" s="4">
        <v>0</v>
      </c>
    </row>
    <row r="68" spans="1:15">
      <c r="A68" s="4" t="s">
        <v>147</v>
      </c>
      <c r="B68" s="4" t="s">
        <v>160</v>
      </c>
      <c r="C68" s="9" t="s">
        <v>149</v>
      </c>
      <c r="D68" s="13">
        <v>1</v>
      </c>
      <c r="E68" s="13" t="s">
        <v>397</v>
      </c>
      <c r="F68" s="13">
        <v>1</v>
      </c>
      <c r="G68" s="22">
        <v>0</v>
      </c>
      <c r="H68" s="13">
        <v>1</v>
      </c>
      <c r="I68" s="4">
        <v>5</v>
      </c>
      <c r="J68" s="4">
        <v>25</v>
      </c>
      <c r="K68" s="4" t="s">
        <v>124</v>
      </c>
      <c r="L68" s="4" t="s">
        <v>13</v>
      </c>
      <c r="M68" s="4">
        <v>2018</v>
      </c>
      <c r="N68" s="4">
        <v>1</v>
      </c>
      <c r="O68" s="4">
        <v>0</v>
      </c>
    </row>
    <row r="69" spans="1:15">
      <c r="A69" s="4" t="s">
        <v>147</v>
      </c>
      <c r="B69" s="4" t="s">
        <v>161</v>
      </c>
      <c r="C69" s="9" t="s">
        <v>150</v>
      </c>
      <c r="D69" s="13">
        <v>1</v>
      </c>
      <c r="E69" s="13" t="s">
        <v>397</v>
      </c>
      <c r="F69" s="13">
        <v>1</v>
      </c>
      <c r="G69" s="22">
        <v>0</v>
      </c>
      <c r="H69" s="13">
        <v>1</v>
      </c>
      <c r="I69" s="4">
        <v>6</v>
      </c>
      <c r="J69" s="4">
        <v>25</v>
      </c>
      <c r="K69" s="4" t="s">
        <v>124</v>
      </c>
      <c r="L69" s="4" t="s">
        <v>13</v>
      </c>
      <c r="M69" s="4">
        <v>2018</v>
      </c>
      <c r="N69" s="4">
        <v>1</v>
      </c>
      <c r="O69" s="4">
        <v>0</v>
      </c>
    </row>
    <row r="70" spans="1:15">
      <c r="A70" s="4" t="s">
        <v>147</v>
      </c>
      <c r="B70" s="4" t="s">
        <v>162</v>
      </c>
      <c r="C70" s="9" t="s">
        <v>151</v>
      </c>
      <c r="D70" s="13">
        <v>1</v>
      </c>
      <c r="E70" s="13" t="s">
        <v>397</v>
      </c>
      <c r="F70" s="13">
        <v>1</v>
      </c>
      <c r="G70" s="22">
        <v>0</v>
      </c>
      <c r="H70" s="13">
        <v>1</v>
      </c>
      <c r="I70" s="4">
        <v>7</v>
      </c>
      <c r="J70" s="4">
        <v>25</v>
      </c>
      <c r="K70" s="4" t="s">
        <v>124</v>
      </c>
      <c r="L70" s="4" t="s">
        <v>13</v>
      </c>
      <c r="M70" s="4">
        <v>2018</v>
      </c>
      <c r="N70" s="4">
        <v>1</v>
      </c>
      <c r="O70" s="4">
        <v>0</v>
      </c>
    </row>
    <row r="71" spans="1:15">
      <c r="A71" s="4" t="s">
        <v>147</v>
      </c>
      <c r="B71" s="4" t="s">
        <v>163</v>
      </c>
      <c r="C71" s="9" t="s">
        <v>152</v>
      </c>
      <c r="D71" s="13">
        <v>1</v>
      </c>
      <c r="E71" s="13" t="s">
        <v>397</v>
      </c>
      <c r="F71" s="13">
        <v>1</v>
      </c>
      <c r="G71" s="22">
        <v>0</v>
      </c>
      <c r="H71" s="13">
        <v>1</v>
      </c>
      <c r="I71" s="4">
        <v>8</v>
      </c>
      <c r="J71" s="4">
        <v>25</v>
      </c>
      <c r="K71" s="4" t="s">
        <v>124</v>
      </c>
      <c r="L71" s="4" t="s">
        <v>13</v>
      </c>
      <c r="M71" s="4">
        <v>2018</v>
      </c>
      <c r="N71" s="4">
        <v>1</v>
      </c>
      <c r="O71" s="4">
        <v>0</v>
      </c>
    </row>
    <row r="72" spans="1:15">
      <c r="A72" s="4" t="s">
        <v>147</v>
      </c>
      <c r="B72" s="4" t="s">
        <v>164</v>
      </c>
      <c r="C72" s="9" t="s">
        <v>153</v>
      </c>
      <c r="D72" s="13">
        <v>0</v>
      </c>
      <c r="F72" s="13">
        <v>1</v>
      </c>
      <c r="G72" s="22">
        <v>0</v>
      </c>
      <c r="H72" s="13">
        <v>1</v>
      </c>
      <c r="I72" s="4">
        <v>14</v>
      </c>
      <c r="J72" s="4">
        <v>25</v>
      </c>
      <c r="K72" s="4" t="s">
        <v>124</v>
      </c>
      <c r="L72" s="4" t="s">
        <v>13</v>
      </c>
      <c r="M72" s="4">
        <v>2018</v>
      </c>
      <c r="N72" s="4">
        <v>1</v>
      </c>
      <c r="O72" s="4">
        <v>0</v>
      </c>
    </row>
    <row r="73" spans="1:15">
      <c r="A73" s="4" t="s">
        <v>147</v>
      </c>
      <c r="B73" s="4" t="s">
        <v>165</v>
      </c>
      <c r="C73" s="9" t="s">
        <v>154</v>
      </c>
      <c r="D73" s="13">
        <v>0</v>
      </c>
      <c r="F73" s="13">
        <v>1</v>
      </c>
      <c r="G73" s="22">
        <v>0</v>
      </c>
      <c r="H73" s="20">
        <v>1</v>
      </c>
      <c r="I73" s="4">
        <v>17</v>
      </c>
      <c r="J73" s="4">
        <v>25</v>
      </c>
      <c r="K73" s="4" t="s">
        <v>124</v>
      </c>
      <c r="L73" s="4" t="s">
        <v>13</v>
      </c>
      <c r="M73" s="4">
        <v>2018</v>
      </c>
      <c r="N73" s="4">
        <v>1</v>
      </c>
      <c r="O73" s="4">
        <v>0</v>
      </c>
    </row>
    <row r="74" spans="1:15">
      <c r="A74" s="4" t="s">
        <v>147</v>
      </c>
      <c r="B74" s="4" t="s">
        <v>166</v>
      </c>
      <c r="C74" s="9" t="s">
        <v>155</v>
      </c>
      <c r="D74" s="13">
        <v>0</v>
      </c>
      <c r="F74" s="13">
        <v>1</v>
      </c>
      <c r="G74" s="22">
        <v>0</v>
      </c>
      <c r="H74" s="13">
        <v>1</v>
      </c>
      <c r="I74" s="4">
        <v>19</v>
      </c>
      <c r="J74" s="4">
        <v>25</v>
      </c>
      <c r="K74" s="4" t="s">
        <v>124</v>
      </c>
      <c r="L74" s="4" t="s">
        <v>13</v>
      </c>
      <c r="M74" s="4">
        <v>2018</v>
      </c>
      <c r="N74" s="4">
        <v>1</v>
      </c>
      <c r="O74" s="4">
        <v>0</v>
      </c>
    </row>
    <row r="75" spans="1:15">
      <c r="A75" s="4" t="s">
        <v>147</v>
      </c>
      <c r="B75" s="4" t="s">
        <v>167</v>
      </c>
      <c r="C75" s="9" t="s">
        <v>156</v>
      </c>
      <c r="D75" s="13">
        <v>1</v>
      </c>
      <c r="E75" s="13" t="s">
        <v>397</v>
      </c>
      <c r="F75" s="13">
        <v>1</v>
      </c>
      <c r="G75" s="22">
        <v>0</v>
      </c>
      <c r="H75" s="13">
        <v>1</v>
      </c>
      <c r="I75" s="4">
        <v>21</v>
      </c>
      <c r="J75" s="4">
        <v>25</v>
      </c>
      <c r="K75" s="4" t="s">
        <v>124</v>
      </c>
      <c r="L75" s="4" t="s">
        <v>13</v>
      </c>
      <c r="M75" s="4">
        <v>2018</v>
      </c>
      <c r="N75" s="4">
        <v>1</v>
      </c>
      <c r="O75" s="4">
        <v>0</v>
      </c>
    </row>
    <row r="76" spans="1:15">
      <c r="A76" s="4" t="s">
        <v>147</v>
      </c>
      <c r="B76" s="4" t="s">
        <v>168</v>
      </c>
      <c r="C76" s="10" t="s">
        <v>391</v>
      </c>
      <c r="D76" s="13">
        <v>1</v>
      </c>
      <c r="E76" s="13" t="s">
        <v>399</v>
      </c>
      <c r="F76" s="13">
        <v>1</v>
      </c>
      <c r="G76" s="22">
        <v>0</v>
      </c>
      <c r="H76" s="13">
        <v>1</v>
      </c>
      <c r="I76" s="4">
        <v>22</v>
      </c>
      <c r="J76" s="4">
        <v>25</v>
      </c>
      <c r="K76" s="4" t="s">
        <v>124</v>
      </c>
      <c r="L76" s="4" t="s">
        <v>13</v>
      </c>
      <c r="M76" s="4">
        <v>2018</v>
      </c>
      <c r="N76" s="4">
        <v>1</v>
      </c>
      <c r="O76" s="4">
        <v>0</v>
      </c>
    </row>
    <row r="77" spans="1:15">
      <c r="A77" s="4" t="s">
        <v>147</v>
      </c>
      <c r="B77" s="4" t="s">
        <v>169</v>
      </c>
      <c r="C77" s="10" t="s">
        <v>157</v>
      </c>
      <c r="D77" s="13">
        <v>1</v>
      </c>
      <c r="E77" s="13" t="s">
        <v>399</v>
      </c>
      <c r="F77" s="13">
        <v>1</v>
      </c>
      <c r="G77" s="22">
        <v>0</v>
      </c>
      <c r="H77" s="13">
        <v>1</v>
      </c>
      <c r="I77" s="4">
        <v>24</v>
      </c>
      <c r="J77" s="4">
        <v>25</v>
      </c>
      <c r="K77" s="4" t="s">
        <v>124</v>
      </c>
      <c r="L77" s="4" t="s">
        <v>13</v>
      </c>
      <c r="M77" s="4">
        <v>2018</v>
      </c>
      <c r="N77" s="4">
        <v>1</v>
      </c>
      <c r="O77" s="4">
        <v>0</v>
      </c>
    </row>
    <row r="78" spans="1:15">
      <c r="A78" s="4" t="s">
        <v>147</v>
      </c>
      <c r="B78" s="4" t="s">
        <v>170</v>
      </c>
      <c r="C78" s="9" t="s">
        <v>158</v>
      </c>
      <c r="D78" s="13">
        <v>1</v>
      </c>
      <c r="E78" s="13" t="s">
        <v>399</v>
      </c>
      <c r="F78" s="13">
        <v>1</v>
      </c>
      <c r="G78" s="22">
        <v>0</v>
      </c>
      <c r="H78" s="20">
        <v>2</v>
      </c>
      <c r="I78" s="4">
        <v>25</v>
      </c>
      <c r="J78" s="4">
        <v>25</v>
      </c>
      <c r="K78" s="4" t="s">
        <v>124</v>
      </c>
      <c r="L78" s="4" t="s">
        <v>13</v>
      </c>
      <c r="M78" s="4">
        <v>2018</v>
      </c>
      <c r="N78" s="4">
        <v>1</v>
      </c>
      <c r="O78" s="4">
        <v>0</v>
      </c>
    </row>
    <row r="79" spans="1:15">
      <c r="A79" s="4" t="s">
        <v>171</v>
      </c>
      <c r="B79" s="4" t="s">
        <v>181</v>
      </c>
      <c r="C79" s="9" t="s">
        <v>172</v>
      </c>
      <c r="D79" s="13">
        <v>1</v>
      </c>
      <c r="E79" s="13" t="s">
        <v>399</v>
      </c>
      <c r="F79" s="13">
        <v>1</v>
      </c>
      <c r="G79" s="22">
        <v>1</v>
      </c>
      <c r="H79" s="13">
        <v>2</v>
      </c>
      <c r="I79" s="4">
        <v>4</v>
      </c>
      <c r="J79" s="4">
        <v>16</v>
      </c>
      <c r="K79" s="4" t="s">
        <v>124</v>
      </c>
      <c r="L79" s="4" t="s">
        <v>13</v>
      </c>
      <c r="M79" s="4">
        <v>2019</v>
      </c>
      <c r="N79" s="4">
        <v>1</v>
      </c>
      <c r="O79" s="4">
        <v>1</v>
      </c>
    </row>
    <row r="80" spans="1:15">
      <c r="A80" s="4" t="s">
        <v>171</v>
      </c>
      <c r="B80" s="4" t="s">
        <v>182</v>
      </c>
      <c r="C80" s="9" t="s">
        <v>400</v>
      </c>
      <c r="D80" s="13">
        <v>1</v>
      </c>
      <c r="E80" s="13" t="s">
        <v>397</v>
      </c>
      <c r="F80" s="13">
        <v>1</v>
      </c>
      <c r="G80" s="22">
        <v>0</v>
      </c>
      <c r="H80" s="13">
        <v>1</v>
      </c>
      <c r="I80" s="4">
        <v>7</v>
      </c>
      <c r="J80" s="4">
        <v>16</v>
      </c>
      <c r="K80" s="4" t="s">
        <v>124</v>
      </c>
      <c r="L80" s="4" t="s">
        <v>13</v>
      </c>
      <c r="M80" s="4">
        <v>2019</v>
      </c>
      <c r="N80" s="4">
        <v>1</v>
      </c>
      <c r="O80" s="4">
        <v>1</v>
      </c>
    </row>
    <row r="81" spans="1:15">
      <c r="A81" s="4" t="s">
        <v>171</v>
      </c>
      <c r="B81" s="4" t="s">
        <v>183</v>
      </c>
      <c r="C81" s="9" t="s">
        <v>173</v>
      </c>
      <c r="D81" s="13">
        <v>1</v>
      </c>
      <c r="E81" s="13" t="s">
        <v>397</v>
      </c>
      <c r="F81" s="13">
        <v>1</v>
      </c>
      <c r="G81" s="22">
        <v>0</v>
      </c>
      <c r="H81" s="13">
        <v>1</v>
      </c>
      <c r="I81" s="4">
        <v>9</v>
      </c>
      <c r="J81" s="4">
        <v>16</v>
      </c>
      <c r="K81" s="4" t="s">
        <v>124</v>
      </c>
      <c r="L81" s="4" t="s">
        <v>13</v>
      </c>
      <c r="M81" s="4">
        <v>2019</v>
      </c>
      <c r="N81" s="4">
        <v>1</v>
      </c>
      <c r="O81" s="4">
        <v>1</v>
      </c>
    </row>
    <row r="82" spans="1:15">
      <c r="A82" s="4" t="s">
        <v>171</v>
      </c>
      <c r="B82" s="4" t="s">
        <v>184</v>
      </c>
      <c r="C82" s="9" t="s">
        <v>174</v>
      </c>
      <c r="D82" s="13">
        <v>1</v>
      </c>
      <c r="E82" s="13" t="s">
        <v>397</v>
      </c>
      <c r="F82" s="13">
        <v>1</v>
      </c>
      <c r="G82" s="22">
        <v>0</v>
      </c>
      <c r="H82" s="13">
        <v>1</v>
      </c>
      <c r="I82" s="4">
        <v>10</v>
      </c>
      <c r="J82" s="4">
        <v>16</v>
      </c>
      <c r="K82" s="4" t="s">
        <v>124</v>
      </c>
      <c r="L82" s="4" t="s">
        <v>13</v>
      </c>
      <c r="M82" s="4">
        <v>2019</v>
      </c>
      <c r="N82" s="4">
        <v>1</v>
      </c>
      <c r="O82" s="4">
        <v>1</v>
      </c>
    </row>
    <row r="83" spans="1:15">
      <c r="A83" s="4" t="s">
        <v>171</v>
      </c>
      <c r="B83" s="4" t="s">
        <v>185</v>
      </c>
      <c r="C83" s="9" t="s">
        <v>175</v>
      </c>
      <c r="D83" s="13">
        <v>1</v>
      </c>
      <c r="E83" s="13" t="s">
        <v>399</v>
      </c>
      <c r="F83" s="13">
        <v>1</v>
      </c>
      <c r="G83" s="22">
        <v>1</v>
      </c>
      <c r="H83" s="13">
        <v>1</v>
      </c>
      <c r="I83" s="4">
        <v>11</v>
      </c>
      <c r="J83" s="4">
        <v>16</v>
      </c>
      <c r="K83" s="4" t="s">
        <v>124</v>
      </c>
      <c r="L83" s="4" t="s">
        <v>13</v>
      </c>
      <c r="M83" s="4">
        <v>2019</v>
      </c>
      <c r="N83" s="4">
        <v>1</v>
      </c>
      <c r="O83" s="4">
        <v>1</v>
      </c>
    </row>
    <row r="84" spans="1:15">
      <c r="A84" s="4" t="s">
        <v>171</v>
      </c>
      <c r="B84" s="4" t="s">
        <v>186</v>
      </c>
      <c r="C84" s="9" t="s">
        <v>176</v>
      </c>
      <c r="D84" s="13">
        <v>1</v>
      </c>
      <c r="E84" s="13" t="s">
        <v>397</v>
      </c>
      <c r="F84" s="13">
        <v>1</v>
      </c>
      <c r="G84" s="22">
        <v>0</v>
      </c>
      <c r="H84" s="13">
        <v>1</v>
      </c>
      <c r="I84" s="4">
        <v>12</v>
      </c>
      <c r="J84" s="4">
        <v>16</v>
      </c>
      <c r="K84" s="4" t="s">
        <v>124</v>
      </c>
      <c r="L84" s="4" t="s">
        <v>13</v>
      </c>
      <c r="M84" s="4">
        <v>2019</v>
      </c>
      <c r="N84" s="4">
        <v>1</v>
      </c>
      <c r="O84" s="4">
        <v>1</v>
      </c>
    </row>
    <row r="85" spans="1:15">
      <c r="A85" s="4" t="s">
        <v>171</v>
      </c>
      <c r="B85" s="4" t="s">
        <v>187</v>
      </c>
      <c r="C85" s="9" t="s">
        <v>177</v>
      </c>
      <c r="D85" s="13">
        <v>1</v>
      </c>
      <c r="E85" s="13" t="s">
        <v>399</v>
      </c>
      <c r="F85" s="13">
        <v>1</v>
      </c>
      <c r="G85" s="22">
        <v>0</v>
      </c>
      <c r="H85" s="20">
        <v>2</v>
      </c>
      <c r="I85" s="4">
        <v>13</v>
      </c>
      <c r="J85" s="4">
        <v>16</v>
      </c>
      <c r="K85" s="4" t="s">
        <v>124</v>
      </c>
      <c r="L85" s="4" t="s">
        <v>13</v>
      </c>
      <c r="M85" s="4">
        <v>2019</v>
      </c>
      <c r="N85" s="4">
        <v>1</v>
      </c>
      <c r="O85" s="4">
        <v>1</v>
      </c>
    </row>
    <row r="86" spans="1:15">
      <c r="A86" s="4" t="s">
        <v>171</v>
      </c>
      <c r="B86" s="4" t="s">
        <v>188</v>
      </c>
      <c r="C86" s="9" t="s">
        <v>178</v>
      </c>
      <c r="D86" s="13">
        <v>1</v>
      </c>
      <c r="E86" s="13" t="s">
        <v>397</v>
      </c>
      <c r="F86" s="13">
        <v>1</v>
      </c>
      <c r="G86" s="22">
        <v>1</v>
      </c>
      <c r="H86" s="13">
        <v>1</v>
      </c>
      <c r="I86" s="4">
        <v>14</v>
      </c>
      <c r="J86" s="4">
        <v>16</v>
      </c>
      <c r="K86" s="4" t="s">
        <v>124</v>
      </c>
      <c r="L86" s="4" t="s">
        <v>13</v>
      </c>
      <c r="M86" s="4">
        <v>2019</v>
      </c>
      <c r="N86" s="4">
        <v>1</v>
      </c>
      <c r="O86" s="4">
        <v>1</v>
      </c>
    </row>
    <row r="87" spans="1:15">
      <c r="A87" s="4" t="s">
        <v>171</v>
      </c>
      <c r="B87" s="4" t="s">
        <v>189</v>
      </c>
      <c r="C87" s="9" t="s">
        <v>179</v>
      </c>
      <c r="D87" s="13">
        <v>0</v>
      </c>
      <c r="F87" s="13">
        <v>1</v>
      </c>
      <c r="G87" s="22">
        <v>1</v>
      </c>
      <c r="H87" s="13">
        <v>1</v>
      </c>
      <c r="I87" s="4">
        <v>15</v>
      </c>
      <c r="J87" s="4">
        <v>16</v>
      </c>
      <c r="K87" s="4" t="s">
        <v>124</v>
      </c>
      <c r="L87" s="4" t="s">
        <v>13</v>
      </c>
      <c r="M87" s="4">
        <v>2019</v>
      </c>
      <c r="N87" s="4">
        <v>1</v>
      </c>
      <c r="O87" s="4">
        <v>1</v>
      </c>
    </row>
    <row r="88" spans="1:15">
      <c r="A88" s="4" t="s">
        <v>171</v>
      </c>
      <c r="B88" s="4" t="s">
        <v>190</v>
      </c>
      <c r="C88" s="9" t="s">
        <v>180</v>
      </c>
      <c r="D88" s="13">
        <v>0</v>
      </c>
      <c r="F88" s="13">
        <v>1</v>
      </c>
      <c r="G88" s="22">
        <v>0</v>
      </c>
      <c r="H88" s="13">
        <v>1</v>
      </c>
      <c r="I88" s="4">
        <v>16</v>
      </c>
      <c r="J88" s="4">
        <v>16</v>
      </c>
      <c r="K88" s="4" t="s">
        <v>124</v>
      </c>
      <c r="L88" s="4" t="s">
        <v>13</v>
      </c>
      <c r="M88" s="4">
        <v>2019</v>
      </c>
      <c r="N88" s="4">
        <v>1</v>
      </c>
      <c r="O88" s="4">
        <v>1</v>
      </c>
    </row>
    <row r="89" spans="1:15">
      <c r="A89" s="4" t="s">
        <v>191</v>
      </c>
      <c r="B89" s="4" t="s">
        <v>204</v>
      </c>
      <c r="C89" s="11" t="s">
        <v>196</v>
      </c>
      <c r="D89" s="13">
        <v>1</v>
      </c>
      <c r="E89" s="13" t="s">
        <v>399</v>
      </c>
      <c r="F89" s="13">
        <v>1</v>
      </c>
      <c r="G89" s="22">
        <v>1</v>
      </c>
      <c r="H89" s="13">
        <v>1</v>
      </c>
      <c r="I89" s="4">
        <v>2</v>
      </c>
      <c r="J89" s="4">
        <v>17</v>
      </c>
      <c r="K89" s="4" t="s">
        <v>124</v>
      </c>
      <c r="L89" s="4" t="s">
        <v>13</v>
      </c>
      <c r="M89" s="4">
        <v>2020</v>
      </c>
      <c r="N89" s="4">
        <v>1</v>
      </c>
      <c r="O89" s="4">
        <v>1</v>
      </c>
    </row>
    <row r="90" spans="1:15">
      <c r="A90" s="4" t="s">
        <v>191</v>
      </c>
      <c r="B90" s="4" t="s">
        <v>205</v>
      </c>
      <c r="C90" s="11" t="s">
        <v>401</v>
      </c>
      <c r="D90" s="13">
        <v>1</v>
      </c>
      <c r="E90" s="13" t="s">
        <v>397</v>
      </c>
      <c r="F90" s="13">
        <v>1</v>
      </c>
      <c r="G90" s="22">
        <v>0</v>
      </c>
      <c r="H90" s="13">
        <v>1</v>
      </c>
      <c r="I90" s="4">
        <v>5</v>
      </c>
      <c r="J90" s="4">
        <v>17</v>
      </c>
      <c r="K90" s="4" t="s">
        <v>124</v>
      </c>
      <c r="L90" s="4" t="s">
        <v>13</v>
      </c>
      <c r="M90" s="4">
        <v>2020</v>
      </c>
      <c r="N90" s="4">
        <v>1</v>
      </c>
      <c r="O90" s="4">
        <v>1</v>
      </c>
    </row>
    <row r="91" spans="1:15">
      <c r="A91" s="4" t="s">
        <v>191</v>
      </c>
      <c r="B91" s="4" t="s">
        <v>206</v>
      </c>
      <c r="C91" s="11" t="s">
        <v>197</v>
      </c>
      <c r="D91" s="13">
        <v>1</v>
      </c>
      <c r="E91" s="13" t="s">
        <v>397</v>
      </c>
      <c r="F91" s="13">
        <v>1</v>
      </c>
      <c r="G91" s="22">
        <v>0</v>
      </c>
      <c r="H91" s="13">
        <v>1</v>
      </c>
      <c r="I91" s="4">
        <v>6</v>
      </c>
      <c r="J91" s="4">
        <v>17</v>
      </c>
      <c r="K91" s="4" t="s">
        <v>124</v>
      </c>
      <c r="L91" s="4" t="s">
        <v>13</v>
      </c>
      <c r="M91" s="4">
        <v>2020</v>
      </c>
      <c r="N91" s="4">
        <v>1</v>
      </c>
      <c r="O91" s="4">
        <v>1</v>
      </c>
    </row>
    <row r="92" spans="1:15">
      <c r="A92" s="4" t="s">
        <v>191</v>
      </c>
      <c r="B92" s="4" t="s">
        <v>207</v>
      </c>
      <c r="C92" s="11" t="s">
        <v>198</v>
      </c>
      <c r="D92" s="13">
        <v>1</v>
      </c>
      <c r="E92" s="13" t="s">
        <v>397</v>
      </c>
      <c r="F92" s="13">
        <v>1</v>
      </c>
      <c r="G92" s="22">
        <v>0</v>
      </c>
      <c r="H92" s="13">
        <v>1</v>
      </c>
      <c r="I92" s="4">
        <v>9</v>
      </c>
      <c r="J92" s="4">
        <v>17</v>
      </c>
      <c r="K92" s="4" t="s">
        <v>124</v>
      </c>
      <c r="L92" s="4" t="s">
        <v>13</v>
      </c>
      <c r="M92" s="4">
        <v>2020</v>
      </c>
      <c r="N92" s="4">
        <v>1</v>
      </c>
      <c r="O92" s="4">
        <v>1</v>
      </c>
    </row>
    <row r="93" spans="1:15">
      <c r="A93" s="4" t="s">
        <v>191</v>
      </c>
      <c r="B93" s="4" t="s">
        <v>208</v>
      </c>
      <c r="C93" s="11" t="s">
        <v>156</v>
      </c>
      <c r="D93" s="13">
        <v>1</v>
      </c>
      <c r="E93" s="13" t="s">
        <v>397</v>
      </c>
      <c r="F93" s="13">
        <v>1</v>
      </c>
      <c r="G93" s="22">
        <v>0</v>
      </c>
      <c r="H93" s="13">
        <v>1</v>
      </c>
      <c r="I93" s="4">
        <v>11</v>
      </c>
      <c r="J93" s="4">
        <v>17</v>
      </c>
      <c r="K93" s="4" t="s">
        <v>124</v>
      </c>
      <c r="L93" s="4" t="s">
        <v>13</v>
      </c>
      <c r="M93" s="4">
        <v>2020</v>
      </c>
      <c r="N93" s="4">
        <v>1</v>
      </c>
      <c r="O93" s="4">
        <v>1</v>
      </c>
    </row>
    <row r="94" spans="1:15">
      <c r="A94" s="4" t="s">
        <v>191</v>
      </c>
      <c r="B94" s="4" t="s">
        <v>209</v>
      </c>
      <c r="C94" s="11" t="s">
        <v>199</v>
      </c>
      <c r="D94" s="13">
        <v>1</v>
      </c>
      <c r="E94" s="13" t="s">
        <v>399</v>
      </c>
      <c r="F94" s="13">
        <v>1</v>
      </c>
      <c r="G94" s="22">
        <v>1</v>
      </c>
      <c r="H94" s="13">
        <v>1</v>
      </c>
      <c r="I94" s="4">
        <v>12</v>
      </c>
      <c r="J94" s="4">
        <v>17</v>
      </c>
      <c r="K94" s="4" t="s">
        <v>124</v>
      </c>
      <c r="L94" s="4" t="s">
        <v>13</v>
      </c>
      <c r="M94" s="4">
        <v>2020</v>
      </c>
      <c r="N94" s="4">
        <v>1</v>
      </c>
      <c r="O94" s="4">
        <v>1</v>
      </c>
    </row>
    <row r="95" spans="1:15">
      <c r="A95" s="4" t="s">
        <v>191</v>
      </c>
      <c r="B95" s="4" t="s">
        <v>210</v>
      </c>
      <c r="C95" s="11" t="s">
        <v>200</v>
      </c>
      <c r="D95" s="13">
        <v>1</v>
      </c>
      <c r="E95" s="13" t="s">
        <v>399</v>
      </c>
      <c r="F95" s="13">
        <v>1</v>
      </c>
      <c r="G95" s="22">
        <v>0</v>
      </c>
      <c r="H95" s="13">
        <v>1</v>
      </c>
      <c r="I95" s="4">
        <v>13</v>
      </c>
      <c r="J95" s="4">
        <v>17</v>
      </c>
      <c r="K95" s="4" t="s">
        <v>124</v>
      </c>
      <c r="L95" s="4" t="s">
        <v>13</v>
      </c>
      <c r="M95" s="4">
        <v>2020</v>
      </c>
      <c r="N95" s="4">
        <v>1</v>
      </c>
      <c r="O95" s="4">
        <v>1</v>
      </c>
    </row>
    <row r="96" spans="1:15">
      <c r="A96" s="4" t="s">
        <v>191</v>
      </c>
      <c r="B96" s="4" t="s">
        <v>211</v>
      </c>
      <c r="C96" s="11" t="s">
        <v>158</v>
      </c>
      <c r="D96" s="13">
        <v>1</v>
      </c>
      <c r="E96" s="13" t="s">
        <v>399</v>
      </c>
      <c r="F96" s="13">
        <v>1</v>
      </c>
      <c r="G96" s="22">
        <v>0</v>
      </c>
      <c r="H96" s="20">
        <v>2</v>
      </c>
      <c r="I96" s="4">
        <v>14</v>
      </c>
      <c r="J96" s="4">
        <v>17</v>
      </c>
      <c r="K96" s="4" t="s">
        <v>124</v>
      </c>
      <c r="L96" s="4" t="s">
        <v>13</v>
      </c>
      <c r="M96" s="4">
        <v>2020</v>
      </c>
      <c r="N96" s="4">
        <v>1</v>
      </c>
      <c r="O96" s="4">
        <v>1</v>
      </c>
    </row>
    <row r="97" spans="1:15">
      <c r="A97" s="4" t="s">
        <v>191</v>
      </c>
      <c r="B97" s="4" t="s">
        <v>212</v>
      </c>
      <c r="C97" s="11" t="s">
        <v>201</v>
      </c>
      <c r="D97" s="13">
        <v>1</v>
      </c>
      <c r="E97" s="13" t="s">
        <v>397</v>
      </c>
      <c r="F97" s="13">
        <v>1</v>
      </c>
      <c r="G97" s="22">
        <v>1</v>
      </c>
      <c r="H97" s="13">
        <v>1</v>
      </c>
      <c r="I97" s="4">
        <v>15</v>
      </c>
      <c r="J97" s="4">
        <v>17</v>
      </c>
      <c r="K97" s="4" t="s">
        <v>124</v>
      </c>
      <c r="L97" s="4" t="s">
        <v>13</v>
      </c>
      <c r="M97" s="4">
        <v>2020</v>
      </c>
      <c r="N97" s="4">
        <v>1</v>
      </c>
      <c r="O97" s="4">
        <v>1</v>
      </c>
    </row>
    <row r="98" spans="1:15">
      <c r="A98" s="4" t="s">
        <v>191</v>
      </c>
      <c r="B98" s="4" t="s">
        <v>213</v>
      </c>
      <c r="C98" s="11" t="s">
        <v>202</v>
      </c>
      <c r="D98" s="13">
        <v>0</v>
      </c>
      <c r="F98" s="13">
        <v>1</v>
      </c>
      <c r="G98" s="22">
        <v>0</v>
      </c>
      <c r="H98" s="13">
        <v>1</v>
      </c>
      <c r="I98" s="4">
        <v>16</v>
      </c>
      <c r="J98" s="4">
        <v>17</v>
      </c>
      <c r="K98" s="4" t="s">
        <v>124</v>
      </c>
      <c r="L98" s="4" t="s">
        <v>13</v>
      </c>
      <c r="M98" s="4">
        <v>2020</v>
      </c>
      <c r="N98" s="4">
        <v>1</v>
      </c>
      <c r="O98" s="4">
        <v>1</v>
      </c>
    </row>
    <row r="99" spans="1:15">
      <c r="A99" s="4" t="s">
        <v>191</v>
      </c>
      <c r="B99" s="4" t="s">
        <v>214</v>
      </c>
      <c r="C99" s="11" t="s">
        <v>203</v>
      </c>
      <c r="D99" s="13">
        <v>0</v>
      </c>
      <c r="F99" s="13">
        <v>1</v>
      </c>
      <c r="G99" s="22">
        <v>0</v>
      </c>
      <c r="H99" s="13">
        <v>1</v>
      </c>
      <c r="I99" s="4">
        <v>17</v>
      </c>
      <c r="J99" s="4">
        <v>17</v>
      </c>
      <c r="K99" s="4" t="s">
        <v>124</v>
      </c>
      <c r="L99" s="4" t="s">
        <v>13</v>
      </c>
      <c r="M99" s="4">
        <v>2020</v>
      </c>
      <c r="N99" s="4">
        <v>1</v>
      </c>
      <c r="O99" s="4">
        <v>1</v>
      </c>
    </row>
    <row r="100" spans="1:15">
      <c r="A100" s="4" t="s">
        <v>217</v>
      </c>
      <c r="B100" s="4" t="s">
        <v>229</v>
      </c>
      <c r="C100" s="11" t="s">
        <v>218</v>
      </c>
      <c r="D100" s="13">
        <v>1</v>
      </c>
      <c r="E100" s="13" t="s">
        <v>397</v>
      </c>
      <c r="F100" s="13">
        <v>1</v>
      </c>
      <c r="G100" s="22">
        <v>0</v>
      </c>
      <c r="H100" s="13">
        <v>1</v>
      </c>
      <c r="I100" s="4">
        <v>6</v>
      </c>
      <c r="J100" s="4">
        <v>22</v>
      </c>
      <c r="K100" s="4" t="s">
        <v>124</v>
      </c>
      <c r="L100" s="4" t="s">
        <v>13</v>
      </c>
      <c r="M100" s="4">
        <v>2021</v>
      </c>
      <c r="N100" s="4">
        <v>1</v>
      </c>
      <c r="O100" s="4">
        <v>1</v>
      </c>
    </row>
    <row r="101" spans="1:15">
      <c r="A101" s="4" t="s">
        <v>217</v>
      </c>
      <c r="B101" s="4" t="s">
        <v>230</v>
      </c>
      <c r="C101" s="11" t="s">
        <v>219</v>
      </c>
      <c r="D101" s="13">
        <v>1</v>
      </c>
      <c r="E101" s="13" t="s">
        <v>397</v>
      </c>
      <c r="F101" s="13">
        <v>1</v>
      </c>
      <c r="G101" s="22">
        <v>0</v>
      </c>
      <c r="H101" s="13">
        <v>1</v>
      </c>
      <c r="I101" s="4">
        <v>8</v>
      </c>
      <c r="J101" s="4">
        <v>22</v>
      </c>
      <c r="K101" s="4" t="s">
        <v>124</v>
      </c>
      <c r="L101" s="4" t="s">
        <v>13</v>
      </c>
      <c r="M101" s="4">
        <v>2021</v>
      </c>
      <c r="N101" s="4">
        <v>1</v>
      </c>
      <c r="O101" s="4">
        <v>1</v>
      </c>
    </row>
    <row r="102" spans="1:15">
      <c r="A102" s="4" t="s">
        <v>217</v>
      </c>
      <c r="B102" s="4" t="s">
        <v>231</v>
      </c>
      <c r="C102" s="11" t="s">
        <v>220</v>
      </c>
      <c r="D102" s="13">
        <v>1</v>
      </c>
      <c r="E102" s="13" t="s">
        <v>397</v>
      </c>
      <c r="F102" s="13">
        <v>1</v>
      </c>
      <c r="G102" s="22">
        <v>0</v>
      </c>
      <c r="H102" s="13">
        <v>1</v>
      </c>
      <c r="I102" s="4">
        <v>9</v>
      </c>
      <c r="J102" s="4">
        <v>22</v>
      </c>
      <c r="K102" s="4" t="s">
        <v>124</v>
      </c>
      <c r="L102" s="4" t="s">
        <v>13</v>
      </c>
      <c r="M102" s="4">
        <v>2021</v>
      </c>
      <c r="N102" s="4">
        <v>1</v>
      </c>
      <c r="O102" s="4">
        <v>1</v>
      </c>
    </row>
    <row r="103" spans="1:15">
      <c r="A103" s="4" t="s">
        <v>217</v>
      </c>
      <c r="B103" s="4" t="s">
        <v>232</v>
      </c>
      <c r="C103" s="11" t="s">
        <v>221</v>
      </c>
      <c r="D103" s="13">
        <v>1</v>
      </c>
      <c r="E103" s="13" t="s">
        <v>397</v>
      </c>
      <c r="F103" s="13">
        <v>1</v>
      </c>
      <c r="G103" s="22">
        <v>0</v>
      </c>
      <c r="H103" s="13">
        <v>1</v>
      </c>
      <c r="I103" s="4">
        <v>12</v>
      </c>
      <c r="J103" s="4">
        <v>22</v>
      </c>
      <c r="K103" s="4" t="s">
        <v>124</v>
      </c>
      <c r="L103" s="4" t="s">
        <v>13</v>
      </c>
      <c r="M103" s="4">
        <v>2021</v>
      </c>
      <c r="N103" s="4">
        <v>1</v>
      </c>
      <c r="O103" s="4">
        <v>1</v>
      </c>
    </row>
    <row r="104" spans="1:15">
      <c r="A104" s="4" t="s">
        <v>217</v>
      </c>
      <c r="B104" s="4" t="s">
        <v>233</v>
      </c>
      <c r="C104" s="11" t="s">
        <v>222</v>
      </c>
      <c r="D104" s="13">
        <v>1</v>
      </c>
      <c r="E104" s="13" t="s">
        <v>395</v>
      </c>
      <c r="F104" s="13">
        <v>1</v>
      </c>
      <c r="G104" s="22">
        <v>0</v>
      </c>
      <c r="H104" s="20">
        <v>2</v>
      </c>
      <c r="I104" s="4">
        <v>13</v>
      </c>
      <c r="J104" s="4">
        <v>22</v>
      </c>
      <c r="K104" s="4" t="s">
        <v>124</v>
      </c>
      <c r="L104" s="4" t="s">
        <v>13</v>
      </c>
      <c r="M104" s="4">
        <v>2021</v>
      </c>
      <c r="N104" s="4">
        <v>1</v>
      </c>
      <c r="O104" s="4">
        <v>1</v>
      </c>
    </row>
    <row r="105" spans="1:15">
      <c r="A105" s="4" t="s">
        <v>217</v>
      </c>
      <c r="B105" s="4" t="s">
        <v>234</v>
      </c>
      <c r="C105" s="9" t="s">
        <v>223</v>
      </c>
      <c r="D105" s="13">
        <v>1</v>
      </c>
      <c r="E105" s="13" t="s">
        <v>397</v>
      </c>
      <c r="F105" s="13">
        <v>1</v>
      </c>
      <c r="G105" s="22">
        <v>0</v>
      </c>
      <c r="H105" s="13">
        <v>1</v>
      </c>
      <c r="I105" s="4">
        <v>15</v>
      </c>
      <c r="J105" s="4">
        <v>22</v>
      </c>
      <c r="K105" s="4" t="s">
        <v>124</v>
      </c>
      <c r="L105" s="4" t="s">
        <v>13</v>
      </c>
      <c r="M105" s="4">
        <v>2021</v>
      </c>
      <c r="N105" s="4">
        <v>1</v>
      </c>
      <c r="O105" s="4">
        <v>1</v>
      </c>
    </row>
    <row r="106" spans="1:15">
      <c r="A106" s="4" t="s">
        <v>217</v>
      </c>
      <c r="B106" s="4" t="s">
        <v>235</v>
      </c>
      <c r="C106" s="9" t="s">
        <v>224</v>
      </c>
      <c r="D106" s="13">
        <v>1</v>
      </c>
      <c r="E106" s="13" t="s">
        <v>399</v>
      </c>
      <c r="F106" s="13">
        <v>1</v>
      </c>
      <c r="G106" s="22">
        <v>0</v>
      </c>
      <c r="H106" s="20">
        <v>2</v>
      </c>
      <c r="I106" s="4">
        <v>16</v>
      </c>
      <c r="J106" s="4">
        <v>22</v>
      </c>
      <c r="K106" s="4" t="s">
        <v>124</v>
      </c>
      <c r="L106" s="4" t="s">
        <v>13</v>
      </c>
      <c r="M106" s="4">
        <v>2021</v>
      </c>
      <c r="N106" s="4">
        <v>1</v>
      </c>
      <c r="O106" s="4">
        <v>1</v>
      </c>
    </row>
    <row r="107" spans="1:15">
      <c r="A107" s="4" t="s">
        <v>217</v>
      </c>
      <c r="B107" s="4" t="s">
        <v>236</v>
      </c>
      <c r="C107" s="9" t="s">
        <v>225</v>
      </c>
      <c r="D107" s="13">
        <v>1</v>
      </c>
      <c r="E107" s="13" t="s">
        <v>399</v>
      </c>
      <c r="F107" s="13">
        <v>1</v>
      </c>
      <c r="G107" s="22">
        <v>0</v>
      </c>
      <c r="H107" s="13">
        <v>1</v>
      </c>
      <c r="I107" s="4">
        <v>18</v>
      </c>
      <c r="J107" s="4">
        <v>22</v>
      </c>
      <c r="K107" s="4" t="s">
        <v>124</v>
      </c>
      <c r="L107" s="4" t="s">
        <v>13</v>
      </c>
      <c r="M107" s="4">
        <v>2021</v>
      </c>
      <c r="N107" s="4">
        <v>1</v>
      </c>
      <c r="O107" s="4">
        <v>1</v>
      </c>
    </row>
    <row r="108" spans="1:15">
      <c r="A108" s="4" t="s">
        <v>217</v>
      </c>
      <c r="B108" s="4" t="s">
        <v>237</v>
      </c>
      <c r="C108" s="9" t="s">
        <v>226</v>
      </c>
      <c r="D108" s="13">
        <v>1</v>
      </c>
      <c r="E108" s="13" t="s">
        <v>399</v>
      </c>
      <c r="F108" s="13">
        <v>1</v>
      </c>
      <c r="G108" s="22">
        <v>0</v>
      </c>
      <c r="H108" s="20">
        <v>2</v>
      </c>
      <c r="I108" s="4">
        <v>19</v>
      </c>
      <c r="J108" s="4">
        <v>22</v>
      </c>
      <c r="K108" s="4" t="s">
        <v>124</v>
      </c>
      <c r="L108" s="4" t="s">
        <v>13</v>
      </c>
      <c r="M108" s="4">
        <v>2021</v>
      </c>
      <c r="N108" s="4">
        <v>1</v>
      </c>
      <c r="O108" s="4">
        <v>1</v>
      </c>
    </row>
    <row r="109" spans="1:15">
      <c r="A109" s="4" t="s">
        <v>217</v>
      </c>
      <c r="B109" s="4" t="s">
        <v>238</v>
      </c>
      <c r="C109" s="9" t="s">
        <v>227</v>
      </c>
      <c r="D109" s="13">
        <v>1</v>
      </c>
      <c r="E109" s="13" t="s">
        <v>397</v>
      </c>
      <c r="F109" s="13">
        <v>1</v>
      </c>
      <c r="G109" s="22">
        <v>1</v>
      </c>
      <c r="H109" s="13">
        <v>1</v>
      </c>
      <c r="I109" s="4">
        <v>20</v>
      </c>
      <c r="J109" s="4">
        <v>22</v>
      </c>
      <c r="K109" s="4" t="s">
        <v>124</v>
      </c>
      <c r="L109" s="4" t="s">
        <v>13</v>
      </c>
      <c r="M109" s="4">
        <v>2021</v>
      </c>
      <c r="N109" s="4">
        <v>1</v>
      </c>
      <c r="O109" s="4">
        <v>1</v>
      </c>
    </row>
    <row r="110" spans="1:15">
      <c r="A110" s="4" t="s">
        <v>217</v>
      </c>
      <c r="B110" s="4" t="s">
        <v>239</v>
      </c>
      <c r="C110" s="9" t="s">
        <v>402</v>
      </c>
      <c r="D110" s="13">
        <v>0</v>
      </c>
      <c r="F110" s="13">
        <v>1</v>
      </c>
      <c r="G110" s="22">
        <v>0</v>
      </c>
      <c r="H110" s="13">
        <v>1</v>
      </c>
      <c r="I110" s="4">
        <v>21</v>
      </c>
      <c r="J110" s="4">
        <v>22</v>
      </c>
      <c r="K110" s="4" t="s">
        <v>124</v>
      </c>
      <c r="L110" s="4" t="s">
        <v>13</v>
      </c>
      <c r="M110" s="4">
        <v>2021</v>
      </c>
      <c r="N110" s="4">
        <v>1</v>
      </c>
      <c r="O110" s="4">
        <v>1</v>
      </c>
    </row>
    <row r="111" spans="1:15">
      <c r="A111" s="4" t="s">
        <v>217</v>
      </c>
      <c r="B111" s="4" t="s">
        <v>240</v>
      </c>
      <c r="C111" s="9" t="s">
        <v>228</v>
      </c>
      <c r="D111" s="13">
        <v>0</v>
      </c>
      <c r="F111" s="13">
        <v>1</v>
      </c>
      <c r="G111" s="22">
        <v>0</v>
      </c>
      <c r="H111" s="13">
        <v>1</v>
      </c>
      <c r="I111" s="4">
        <v>22</v>
      </c>
      <c r="J111" s="4">
        <v>22</v>
      </c>
      <c r="K111" s="4" t="s">
        <v>124</v>
      </c>
      <c r="L111" s="4" t="s">
        <v>13</v>
      </c>
      <c r="M111" s="4">
        <v>2021</v>
      </c>
      <c r="N111" s="4">
        <v>1</v>
      </c>
      <c r="O111" s="4">
        <v>1</v>
      </c>
    </row>
    <row r="112" spans="1:15">
      <c r="A112" s="4" t="s">
        <v>241</v>
      </c>
      <c r="B112" s="4" t="s">
        <v>253</v>
      </c>
      <c r="C112" s="9" t="s">
        <v>403</v>
      </c>
      <c r="D112" s="13">
        <v>1</v>
      </c>
      <c r="E112" s="13" t="s">
        <v>397</v>
      </c>
      <c r="F112" s="13">
        <v>1</v>
      </c>
      <c r="G112" s="22">
        <v>0</v>
      </c>
      <c r="H112" s="13">
        <v>1</v>
      </c>
      <c r="I112" s="4">
        <v>8</v>
      </c>
      <c r="J112" s="4">
        <v>29</v>
      </c>
      <c r="K112" s="4" t="s">
        <v>124</v>
      </c>
      <c r="L112" s="4" t="s">
        <v>13</v>
      </c>
      <c r="M112" s="4">
        <v>2022</v>
      </c>
      <c r="N112" s="4">
        <v>1</v>
      </c>
      <c r="O112" s="4">
        <v>1</v>
      </c>
    </row>
    <row r="113" spans="1:16">
      <c r="A113" s="4" t="s">
        <v>241</v>
      </c>
      <c r="B113" s="4" t="s">
        <v>254</v>
      </c>
      <c r="C113" s="9" t="s">
        <v>219</v>
      </c>
      <c r="D113" s="13">
        <v>1</v>
      </c>
      <c r="E113" s="13" t="s">
        <v>397</v>
      </c>
      <c r="F113" s="13">
        <v>1</v>
      </c>
      <c r="G113" s="22">
        <v>0</v>
      </c>
      <c r="H113" s="13">
        <v>1</v>
      </c>
      <c r="I113" s="4">
        <v>10</v>
      </c>
      <c r="J113" s="4">
        <v>29</v>
      </c>
      <c r="K113" s="4" t="s">
        <v>124</v>
      </c>
      <c r="L113" s="4" t="s">
        <v>13</v>
      </c>
      <c r="M113" s="4">
        <v>2022</v>
      </c>
      <c r="N113" s="4">
        <v>1</v>
      </c>
      <c r="O113" s="4">
        <v>1</v>
      </c>
    </row>
    <row r="114" spans="1:16">
      <c r="A114" s="4" t="s">
        <v>241</v>
      </c>
      <c r="B114" s="4" t="s">
        <v>255</v>
      </c>
      <c r="C114" s="9" t="s">
        <v>220</v>
      </c>
      <c r="D114" s="13">
        <v>1</v>
      </c>
      <c r="E114" s="13" t="s">
        <v>397</v>
      </c>
      <c r="F114" s="13">
        <v>1</v>
      </c>
      <c r="G114" s="22">
        <v>0</v>
      </c>
      <c r="H114" s="13">
        <v>1</v>
      </c>
      <c r="I114" s="4">
        <v>11</v>
      </c>
      <c r="J114" s="4">
        <v>29</v>
      </c>
      <c r="K114" s="4" t="s">
        <v>124</v>
      </c>
      <c r="L114" s="4" t="s">
        <v>13</v>
      </c>
      <c r="M114" s="4">
        <v>2022</v>
      </c>
      <c r="N114" s="4">
        <v>1</v>
      </c>
      <c r="O114" s="4">
        <v>1</v>
      </c>
    </row>
    <row r="115" spans="1:16">
      <c r="A115" s="4" t="s">
        <v>241</v>
      </c>
      <c r="B115" s="4" t="s">
        <v>256</v>
      </c>
      <c r="C115" s="9" t="s">
        <v>242</v>
      </c>
      <c r="D115" s="13">
        <v>1</v>
      </c>
      <c r="E115" s="13" t="s">
        <v>397</v>
      </c>
      <c r="F115" s="13">
        <v>1</v>
      </c>
      <c r="G115" s="22">
        <v>1</v>
      </c>
      <c r="H115" s="13">
        <v>2</v>
      </c>
      <c r="I115" s="4">
        <v>14</v>
      </c>
      <c r="J115" s="4">
        <v>29</v>
      </c>
      <c r="K115" s="4" t="s">
        <v>124</v>
      </c>
      <c r="L115" s="4" t="s">
        <v>13</v>
      </c>
      <c r="M115" s="4">
        <v>2022</v>
      </c>
      <c r="N115" s="4">
        <v>1</v>
      </c>
      <c r="O115" s="4">
        <v>1</v>
      </c>
    </row>
    <row r="116" spans="1:16">
      <c r="A116" s="4" t="s">
        <v>241</v>
      </c>
      <c r="B116" s="4" t="s">
        <v>257</v>
      </c>
      <c r="C116" s="9" t="s">
        <v>243</v>
      </c>
      <c r="D116" s="13">
        <v>1</v>
      </c>
      <c r="E116" s="13" t="s">
        <v>397</v>
      </c>
      <c r="F116" s="13">
        <v>1</v>
      </c>
      <c r="G116" s="22">
        <v>0</v>
      </c>
      <c r="H116" s="13">
        <v>1</v>
      </c>
      <c r="I116" s="4">
        <v>16</v>
      </c>
      <c r="J116" s="4">
        <v>29</v>
      </c>
      <c r="K116" s="4" t="s">
        <v>124</v>
      </c>
      <c r="L116" s="4" t="s">
        <v>13</v>
      </c>
      <c r="M116" s="4">
        <v>2022</v>
      </c>
      <c r="N116" s="4">
        <v>1</v>
      </c>
      <c r="O116" s="4">
        <v>1</v>
      </c>
    </row>
    <row r="117" spans="1:16">
      <c r="A117" s="4" t="s">
        <v>241</v>
      </c>
      <c r="B117" s="4" t="s">
        <v>258</v>
      </c>
      <c r="C117" s="9" t="s">
        <v>244</v>
      </c>
      <c r="D117" s="13">
        <v>1</v>
      </c>
      <c r="E117" s="13" t="s">
        <v>395</v>
      </c>
      <c r="F117" s="13">
        <v>1</v>
      </c>
      <c r="G117" s="22">
        <v>0</v>
      </c>
      <c r="H117" s="20">
        <v>2</v>
      </c>
      <c r="I117" s="4">
        <v>17</v>
      </c>
      <c r="J117" s="4">
        <v>29</v>
      </c>
      <c r="K117" s="4" t="s">
        <v>124</v>
      </c>
      <c r="L117" s="4" t="s">
        <v>13</v>
      </c>
      <c r="M117" s="4">
        <v>2022</v>
      </c>
      <c r="N117" s="4">
        <v>1</v>
      </c>
      <c r="O117" s="4">
        <v>1</v>
      </c>
    </row>
    <row r="118" spans="1:16">
      <c r="A118" s="4" t="s">
        <v>241</v>
      </c>
      <c r="B118" s="4" t="s">
        <v>259</v>
      </c>
      <c r="C118" s="9" t="s">
        <v>245</v>
      </c>
      <c r="D118" s="13">
        <v>1</v>
      </c>
      <c r="E118" s="13" t="s">
        <v>397</v>
      </c>
      <c r="F118" s="13">
        <v>1</v>
      </c>
      <c r="G118" s="22">
        <v>0</v>
      </c>
      <c r="H118" s="13">
        <v>1</v>
      </c>
      <c r="I118" s="4">
        <v>19</v>
      </c>
      <c r="J118" s="4">
        <v>29</v>
      </c>
      <c r="K118" s="4" t="s">
        <v>124</v>
      </c>
      <c r="L118" s="4" t="s">
        <v>13</v>
      </c>
      <c r="M118" s="4">
        <v>2022</v>
      </c>
      <c r="N118" s="4">
        <v>1</v>
      </c>
      <c r="O118" s="4">
        <v>1</v>
      </c>
    </row>
    <row r="119" spans="1:16">
      <c r="A119" s="4" t="s">
        <v>241</v>
      </c>
      <c r="B119" s="4" t="s">
        <v>260</v>
      </c>
      <c r="C119" s="9" t="s">
        <v>246</v>
      </c>
      <c r="D119" s="13">
        <v>1</v>
      </c>
      <c r="E119" s="13" t="s">
        <v>397</v>
      </c>
      <c r="F119" s="13">
        <v>1</v>
      </c>
      <c r="G119" s="22">
        <v>0</v>
      </c>
      <c r="H119" s="13">
        <v>1</v>
      </c>
      <c r="I119" s="4">
        <v>21</v>
      </c>
      <c r="J119" s="4">
        <v>29</v>
      </c>
      <c r="K119" s="4" t="s">
        <v>124</v>
      </c>
      <c r="L119" s="4" t="s">
        <v>13</v>
      </c>
      <c r="M119" s="4">
        <v>2022</v>
      </c>
      <c r="N119" s="4">
        <v>1</v>
      </c>
      <c r="O119" s="4">
        <v>1</v>
      </c>
    </row>
    <row r="120" spans="1:16">
      <c r="A120" s="4" t="s">
        <v>241</v>
      </c>
      <c r="B120" s="4" t="s">
        <v>261</v>
      </c>
      <c r="C120" s="9" t="s">
        <v>247</v>
      </c>
      <c r="D120" s="13">
        <v>1</v>
      </c>
      <c r="E120" s="13" t="s">
        <v>399</v>
      </c>
      <c r="F120" s="13">
        <v>1</v>
      </c>
      <c r="G120" s="22">
        <v>0</v>
      </c>
      <c r="H120" s="20">
        <v>2</v>
      </c>
      <c r="I120" s="4">
        <v>22</v>
      </c>
      <c r="J120" s="4">
        <v>29</v>
      </c>
      <c r="K120" s="4" t="s">
        <v>124</v>
      </c>
      <c r="L120" s="4" t="s">
        <v>13</v>
      </c>
      <c r="M120" s="4">
        <v>2022</v>
      </c>
      <c r="N120" s="4">
        <v>1</v>
      </c>
      <c r="O120" s="4">
        <v>1</v>
      </c>
    </row>
    <row r="121" spans="1:16">
      <c r="A121" s="4" t="s">
        <v>241</v>
      </c>
      <c r="B121" s="4" t="s">
        <v>262</v>
      </c>
      <c r="C121" s="9" t="s">
        <v>248</v>
      </c>
      <c r="D121" s="13">
        <v>1</v>
      </c>
      <c r="E121" s="13" t="s">
        <v>399</v>
      </c>
      <c r="F121" s="13">
        <v>1</v>
      </c>
      <c r="G121" s="22">
        <v>0</v>
      </c>
      <c r="H121" s="20">
        <v>2</v>
      </c>
      <c r="I121" s="4">
        <v>24</v>
      </c>
      <c r="J121" s="4">
        <v>29</v>
      </c>
      <c r="K121" s="4" t="s">
        <v>124</v>
      </c>
      <c r="L121" s="4" t="s">
        <v>13</v>
      </c>
      <c r="M121" s="4">
        <v>2022</v>
      </c>
      <c r="N121" s="4">
        <v>1</v>
      </c>
      <c r="O121" s="4">
        <v>1</v>
      </c>
    </row>
    <row r="122" spans="1:16">
      <c r="A122" s="4" t="s">
        <v>241</v>
      </c>
      <c r="B122" s="4" t="s">
        <v>263</v>
      </c>
      <c r="C122" s="9" t="s">
        <v>249</v>
      </c>
      <c r="D122" s="13">
        <v>1</v>
      </c>
      <c r="E122" s="13" t="s">
        <v>397</v>
      </c>
      <c r="F122" s="13">
        <v>1</v>
      </c>
      <c r="G122" s="22">
        <v>0</v>
      </c>
      <c r="H122" s="13">
        <v>1</v>
      </c>
      <c r="I122" s="4">
        <v>25</v>
      </c>
      <c r="J122" s="4">
        <v>29</v>
      </c>
      <c r="K122" s="4" t="s">
        <v>124</v>
      </c>
      <c r="L122" s="4" t="s">
        <v>13</v>
      </c>
      <c r="M122" s="4">
        <v>2022</v>
      </c>
      <c r="N122" s="4">
        <v>1</v>
      </c>
      <c r="O122" s="4">
        <v>1</v>
      </c>
    </row>
    <row r="123" spans="1:16">
      <c r="A123" s="4" t="s">
        <v>241</v>
      </c>
      <c r="B123" s="4" t="s">
        <v>264</v>
      </c>
      <c r="C123" s="9" t="s">
        <v>250</v>
      </c>
      <c r="D123" s="13">
        <v>1</v>
      </c>
      <c r="E123" s="13" t="s">
        <v>399</v>
      </c>
      <c r="F123" s="13">
        <v>1</v>
      </c>
      <c r="G123" s="22">
        <v>0</v>
      </c>
      <c r="H123" s="20">
        <v>2</v>
      </c>
      <c r="I123" s="4">
        <v>26</v>
      </c>
      <c r="J123" s="4">
        <v>29</v>
      </c>
      <c r="K123" s="4" t="s">
        <v>124</v>
      </c>
      <c r="L123" s="4" t="s">
        <v>13</v>
      </c>
      <c r="M123" s="4">
        <v>2022</v>
      </c>
      <c r="N123" s="4">
        <v>1</v>
      </c>
      <c r="O123" s="4">
        <v>1</v>
      </c>
    </row>
    <row r="124" spans="1:16">
      <c r="A124" s="4" t="s">
        <v>241</v>
      </c>
      <c r="B124" s="4" t="s">
        <v>265</v>
      </c>
      <c r="C124" s="9" t="s">
        <v>251</v>
      </c>
      <c r="D124" s="13">
        <v>1</v>
      </c>
      <c r="E124" s="13" t="s">
        <v>397</v>
      </c>
      <c r="F124" s="13">
        <v>1</v>
      </c>
      <c r="G124" s="22">
        <v>1</v>
      </c>
      <c r="H124" s="20">
        <v>1</v>
      </c>
      <c r="I124" s="4">
        <v>27</v>
      </c>
      <c r="J124" s="4">
        <v>29</v>
      </c>
      <c r="K124" s="4" t="s">
        <v>124</v>
      </c>
      <c r="L124" s="4" t="s">
        <v>13</v>
      </c>
      <c r="M124" s="4">
        <v>2022</v>
      </c>
      <c r="N124" s="4">
        <v>1</v>
      </c>
      <c r="O124" s="4">
        <v>1</v>
      </c>
    </row>
    <row r="125" spans="1:16">
      <c r="A125" s="4" t="s">
        <v>241</v>
      </c>
      <c r="B125" s="4" t="s">
        <v>266</v>
      </c>
      <c r="C125" s="9" t="s">
        <v>404</v>
      </c>
      <c r="D125" s="13">
        <v>0</v>
      </c>
      <c r="F125" s="13">
        <v>1</v>
      </c>
      <c r="G125" s="22">
        <v>0</v>
      </c>
      <c r="H125" s="13">
        <v>1</v>
      </c>
      <c r="I125" s="4">
        <v>28</v>
      </c>
      <c r="J125" s="4">
        <v>29</v>
      </c>
      <c r="K125" s="4" t="s">
        <v>124</v>
      </c>
      <c r="L125" s="4" t="s">
        <v>13</v>
      </c>
      <c r="M125" s="4">
        <v>2022</v>
      </c>
      <c r="N125" s="4">
        <v>1</v>
      </c>
      <c r="O125" s="4">
        <v>1</v>
      </c>
    </row>
    <row r="126" spans="1:16">
      <c r="A126" s="4" t="s">
        <v>241</v>
      </c>
      <c r="B126" s="4" t="s">
        <v>267</v>
      </c>
      <c r="C126" s="9" t="s">
        <v>252</v>
      </c>
      <c r="D126" s="13">
        <v>0</v>
      </c>
      <c r="F126" s="13">
        <v>1</v>
      </c>
      <c r="G126" s="22">
        <v>0</v>
      </c>
      <c r="H126" s="13">
        <v>1</v>
      </c>
      <c r="I126" s="4">
        <v>29</v>
      </c>
      <c r="J126" s="4">
        <v>29</v>
      </c>
      <c r="K126" s="4" t="s">
        <v>124</v>
      </c>
      <c r="L126" s="4" t="s">
        <v>13</v>
      </c>
      <c r="M126" s="4">
        <v>2022</v>
      </c>
      <c r="N126" s="4">
        <v>1</v>
      </c>
      <c r="O126" s="4">
        <v>1</v>
      </c>
    </row>
    <row r="127" spans="1:16">
      <c r="A127" s="4" t="s">
        <v>275</v>
      </c>
      <c r="B127" s="4" t="s">
        <v>276</v>
      </c>
      <c r="C127" s="9" t="s">
        <v>277</v>
      </c>
      <c r="D127" s="13">
        <v>1</v>
      </c>
      <c r="E127" s="13" t="s">
        <v>399</v>
      </c>
      <c r="F127" s="13">
        <v>1</v>
      </c>
      <c r="G127" s="22">
        <v>0</v>
      </c>
      <c r="H127" s="13">
        <v>1</v>
      </c>
      <c r="I127" s="4">
        <v>6</v>
      </c>
      <c r="J127" s="4">
        <v>38</v>
      </c>
      <c r="K127" s="4" t="s">
        <v>124</v>
      </c>
      <c r="L127" s="4" t="s">
        <v>13</v>
      </c>
      <c r="M127" s="4">
        <v>2023</v>
      </c>
      <c r="N127" s="4">
        <v>1</v>
      </c>
      <c r="O127" s="4">
        <v>1</v>
      </c>
      <c r="P127" s="4"/>
    </row>
    <row r="128" spans="1:16">
      <c r="A128" s="4" t="s">
        <v>275</v>
      </c>
      <c r="B128" s="4" t="s">
        <v>278</v>
      </c>
      <c r="C128" s="14" t="s">
        <v>405</v>
      </c>
      <c r="D128" s="13">
        <v>1</v>
      </c>
      <c r="E128" s="13" t="s">
        <v>397</v>
      </c>
      <c r="F128" s="13">
        <v>1</v>
      </c>
      <c r="G128" s="22">
        <v>0</v>
      </c>
      <c r="H128" s="13">
        <v>1</v>
      </c>
      <c r="I128" s="4">
        <v>12</v>
      </c>
      <c r="J128" s="4">
        <v>38</v>
      </c>
      <c r="K128" s="4" t="s">
        <v>124</v>
      </c>
      <c r="L128" s="4" t="s">
        <v>13</v>
      </c>
      <c r="M128" s="4">
        <v>2023</v>
      </c>
      <c r="N128" s="4">
        <v>1</v>
      </c>
      <c r="O128" s="4">
        <v>1</v>
      </c>
      <c r="P128" s="4"/>
    </row>
    <row r="129" spans="1:16">
      <c r="A129" s="4" t="s">
        <v>275</v>
      </c>
      <c r="B129" s="4" t="s">
        <v>279</v>
      </c>
      <c r="C129" s="9" t="s">
        <v>280</v>
      </c>
      <c r="D129" s="13">
        <v>1</v>
      </c>
      <c r="E129" s="13" t="s">
        <v>397</v>
      </c>
      <c r="F129" s="13">
        <v>1</v>
      </c>
      <c r="G129" s="22">
        <v>0</v>
      </c>
      <c r="H129" s="13">
        <v>1</v>
      </c>
      <c r="I129" s="4">
        <v>14</v>
      </c>
      <c r="J129" s="4">
        <v>38</v>
      </c>
      <c r="K129" s="4" t="s">
        <v>124</v>
      </c>
      <c r="L129" s="4" t="s">
        <v>13</v>
      </c>
      <c r="M129" s="4">
        <v>2023</v>
      </c>
      <c r="N129" s="4">
        <v>1</v>
      </c>
      <c r="O129" s="4">
        <v>1</v>
      </c>
      <c r="P129" s="4"/>
    </row>
    <row r="130" spans="1:16">
      <c r="A130" s="4" t="s">
        <v>275</v>
      </c>
      <c r="B130" s="4" t="s">
        <v>281</v>
      </c>
      <c r="C130" s="9" t="s">
        <v>282</v>
      </c>
      <c r="D130" s="13">
        <v>1</v>
      </c>
      <c r="E130" s="13" t="s">
        <v>397</v>
      </c>
      <c r="F130" s="13">
        <v>1</v>
      </c>
      <c r="G130" s="22">
        <v>0</v>
      </c>
      <c r="H130" s="13">
        <v>1</v>
      </c>
      <c r="I130" s="4">
        <v>15</v>
      </c>
      <c r="J130" s="4">
        <v>38</v>
      </c>
      <c r="K130" s="4" t="s">
        <v>124</v>
      </c>
      <c r="L130" s="4" t="s">
        <v>13</v>
      </c>
      <c r="M130" s="4">
        <v>2023</v>
      </c>
      <c r="N130" s="4">
        <v>1</v>
      </c>
      <c r="O130" s="4">
        <v>1</v>
      </c>
      <c r="P130" s="4"/>
    </row>
    <row r="131" spans="1:16">
      <c r="A131" s="4" t="s">
        <v>275</v>
      </c>
      <c r="B131" s="4" t="s">
        <v>283</v>
      </c>
      <c r="C131" s="9" t="s">
        <v>284</v>
      </c>
      <c r="D131" s="13">
        <v>1</v>
      </c>
      <c r="E131" s="13" t="s">
        <v>397</v>
      </c>
      <c r="F131" s="13">
        <v>1</v>
      </c>
      <c r="G131" s="22">
        <v>0</v>
      </c>
      <c r="H131" s="13">
        <v>1</v>
      </c>
      <c r="I131" s="4">
        <v>19</v>
      </c>
      <c r="J131" s="4">
        <v>38</v>
      </c>
      <c r="K131" s="4" t="s">
        <v>124</v>
      </c>
      <c r="L131" s="4" t="s">
        <v>13</v>
      </c>
      <c r="M131" s="4">
        <v>2023</v>
      </c>
      <c r="N131" s="4">
        <v>1</v>
      </c>
      <c r="O131" s="4">
        <v>1</v>
      </c>
      <c r="P131" s="4"/>
    </row>
    <row r="132" spans="1:16">
      <c r="A132" s="4" t="s">
        <v>275</v>
      </c>
      <c r="B132" s="4" t="s">
        <v>285</v>
      </c>
      <c r="C132" s="14" t="s">
        <v>286</v>
      </c>
      <c r="D132" s="13">
        <v>1</v>
      </c>
      <c r="E132" s="13" t="s">
        <v>397</v>
      </c>
      <c r="F132" s="13">
        <v>1</v>
      </c>
      <c r="G132" s="22">
        <v>0</v>
      </c>
      <c r="H132" s="13">
        <v>1</v>
      </c>
      <c r="I132" s="4">
        <v>23</v>
      </c>
      <c r="J132" s="4">
        <v>38</v>
      </c>
      <c r="K132" s="4" t="s">
        <v>124</v>
      </c>
      <c r="L132" s="4" t="s">
        <v>13</v>
      </c>
      <c r="M132" s="4">
        <v>2023</v>
      </c>
      <c r="N132" s="4">
        <v>1</v>
      </c>
      <c r="O132" s="4">
        <v>1</v>
      </c>
      <c r="P132" s="4"/>
    </row>
    <row r="133" spans="1:16">
      <c r="A133" s="4" t="s">
        <v>275</v>
      </c>
      <c r="B133" s="4" t="s">
        <v>287</v>
      </c>
      <c r="C133" s="14" t="s">
        <v>288</v>
      </c>
      <c r="D133" s="13">
        <v>1</v>
      </c>
      <c r="E133" s="13" t="s">
        <v>395</v>
      </c>
      <c r="F133" s="13">
        <v>1</v>
      </c>
      <c r="G133" s="22">
        <v>0</v>
      </c>
      <c r="H133" s="20">
        <v>2</v>
      </c>
      <c r="I133" s="4">
        <v>26</v>
      </c>
      <c r="J133" s="4">
        <v>38</v>
      </c>
      <c r="K133" s="4" t="s">
        <v>124</v>
      </c>
      <c r="L133" s="4" t="s">
        <v>13</v>
      </c>
      <c r="M133" s="4">
        <v>2023</v>
      </c>
      <c r="N133" s="4">
        <v>1</v>
      </c>
      <c r="O133" s="4">
        <v>1</v>
      </c>
      <c r="P133" s="4"/>
    </row>
    <row r="134" spans="1:16">
      <c r="A134" s="4" t="s">
        <v>275</v>
      </c>
      <c r="B134" s="4" t="s">
        <v>289</v>
      </c>
      <c r="C134" s="14" t="s">
        <v>290</v>
      </c>
      <c r="D134" s="13">
        <v>1</v>
      </c>
      <c r="E134" s="13" t="s">
        <v>395</v>
      </c>
      <c r="F134" s="13">
        <v>1</v>
      </c>
      <c r="G134" s="22">
        <v>0</v>
      </c>
      <c r="H134" s="20">
        <v>2</v>
      </c>
      <c r="I134" s="4">
        <v>27</v>
      </c>
      <c r="J134" s="4">
        <v>38</v>
      </c>
      <c r="K134" s="4" t="s">
        <v>124</v>
      </c>
      <c r="L134" s="4" t="s">
        <v>13</v>
      </c>
      <c r="M134" s="4">
        <v>2023</v>
      </c>
      <c r="N134" s="4">
        <v>1</v>
      </c>
      <c r="O134" s="4">
        <v>1</v>
      </c>
      <c r="P134" s="4"/>
    </row>
    <row r="135" spans="1:16">
      <c r="A135" s="4" t="s">
        <v>275</v>
      </c>
      <c r="B135" s="4" t="s">
        <v>291</v>
      </c>
      <c r="C135" s="14" t="s">
        <v>292</v>
      </c>
      <c r="D135" s="13">
        <v>1</v>
      </c>
      <c r="E135" s="13" t="s">
        <v>397</v>
      </c>
      <c r="F135" s="13">
        <v>1</v>
      </c>
      <c r="G135" s="22">
        <v>0</v>
      </c>
      <c r="H135" s="13">
        <v>1</v>
      </c>
      <c r="I135" s="4">
        <v>28</v>
      </c>
      <c r="J135" s="4">
        <v>38</v>
      </c>
      <c r="K135" s="4" t="s">
        <v>124</v>
      </c>
      <c r="L135" s="4" t="s">
        <v>13</v>
      </c>
      <c r="M135" s="4">
        <v>2023</v>
      </c>
      <c r="N135" s="4">
        <v>1</v>
      </c>
      <c r="O135" s="4">
        <v>1</v>
      </c>
      <c r="P135" s="4"/>
    </row>
    <row r="136" spans="1:16">
      <c r="A136" s="4" t="s">
        <v>275</v>
      </c>
      <c r="B136" s="4" t="s">
        <v>293</v>
      </c>
      <c r="C136" s="14" t="s">
        <v>294</v>
      </c>
      <c r="D136" s="13">
        <v>1</v>
      </c>
      <c r="E136" s="13" t="s">
        <v>399</v>
      </c>
      <c r="F136" s="13">
        <v>1</v>
      </c>
      <c r="G136" s="22">
        <v>1</v>
      </c>
      <c r="H136" s="20">
        <v>1</v>
      </c>
      <c r="I136" s="4">
        <v>29</v>
      </c>
      <c r="J136" s="4">
        <v>38</v>
      </c>
      <c r="K136" s="4" t="s">
        <v>124</v>
      </c>
      <c r="L136" s="4" t="s">
        <v>13</v>
      </c>
      <c r="M136" s="4">
        <v>2023</v>
      </c>
      <c r="N136" s="4">
        <v>1</v>
      </c>
      <c r="O136" s="4">
        <v>1</v>
      </c>
      <c r="P136" s="4"/>
    </row>
    <row r="137" spans="1:16">
      <c r="A137" s="4" t="s">
        <v>275</v>
      </c>
      <c r="B137" s="4" t="s">
        <v>295</v>
      </c>
      <c r="C137" s="14" t="s">
        <v>296</v>
      </c>
      <c r="D137" s="13">
        <v>1</v>
      </c>
      <c r="E137" s="13" t="s">
        <v>397</v>
      </c>
      <c r="F137" s="13">
        <v>1</v>
      </c>
      <c r="G137" s="22">
        <v>1</v>
      </c>
      <c r="H137" s="20">
        <v>1</v>
      </c>
      <c r="I137" s="4">
        <v>30</v>
      </c>
      <c r="J137" s="4">
        <v>38</v>
      </c>
      <c r="K137" s="4" t="s">
        <v>124</v>
      </c>
      <c r="L137" s="4" t="s">
        <v>13</v>
      </c>
      <c r="M137" s="4">
        <v>2023</v>
      </c>
      <c r="N137" s="4">
        <v>1</v>
      </c>
      <c r="O137" s="4">
        <v>1</v>
      </c>
      <c r="P137" s="4"/>
    </row>
    <row r="138" spans="1:16">
      <c r="A138" s="4" t="s">
        <v>275</v>
      </c>
      <c r="B138" s="4" t="s">
        <v>297</v>
      </c>
      <c r="C138" s="14" t="s">
        <v>298</v>
      </c>
      <c r="D138" s="13">
        <v>1</v>
      </c>
      <c r="E138" s="13" t="s">
        <v>397</v>
      </c>
      <c r="F138" s="13">
        <v>1</v>
      </c>
      <c r="G138" s="22">
        <v>0</v>
      </c>
      <c r="H138" s="13">
        <v>1</v>
      </c>
      <c r="I138" s="4">
        <v>31</v>
      </c>
      <c r="J138" s="4">
        <v>38</v>
      </c>
      <c r="K138" s="4" t="s">
        <v>124</v>
      </c>
      <c r="L138" s="4" t="s">
        <v>13</v>
      </c>
      <c r="M138" s="4">
        <v>2023</v>
      </c>
      <c r="N138" s="4">
        <v>1</v>
      </c>
      <c r="O138" s="4">
        <v>1</v>
      </c>
      <c r="P138" s="4"/>
    </row>
    <row r="139" spans="1:16">
      <c r="A139" s="4" t="s">
        <v>275</v>
      </c>
      <c r="B139" s="4" t="s">
        <v>299</v>
      </c>
      <c r="C139" s="14" t="s">
        <v>300</v>
      </c>
      <c r="D139" s="13">
        <v>1</v>
      </c>
      <c r="E139" s="13" t="s">
        <v>399</v>
      </c>
      <c r="F139" s="13">
        <v>1</v>
      </c>
      <c r="G139" s="22">
        <v>0</v>
      </c>
      <c r="H139" s="13">
        <v>1</v>
      </c>
      <c r="I139" s="4">
        <v>32</v>
      </c>
      <c r="J139" s="4">
        <v>38</v>
      </c>
      <c r="K139" s="4" t="s">
        <v>124</v>
      </c>
      <c r="L139" s="4" t="s">
        <v>13</v>
      </c>
      <c r="M139" s="4">
        <v>2023</v>
      </c>
      <c r="N139" s="4">
        <v>1</v>
      </c>
      <c r="O139" s="4">
        <v>1</v>
      </c>
      <c r="P139" s="4"/>
    </row>
    <row r="140" spans="1:16">
      <c r="A140" s="4" t="s">
        <v>275</v>
      </c>
      <c r="B140" s="4" t="s">
        <v>301</v>
      </c>
      <c r="C140" s="9" t="s">
        <v>302</v>
      </c>
      <c r="D140" s="13">
        <v>1</v>
      </c>
      <c r="E140" s="13" t="s">
        <v>399</v>
      </c>
      <c r="F140" s="13">
        <v>1</v>
      </c>
      <c r="G140" s="22">
        <v>0</v>
      </c>
      <c r="H140" s="13">
        <v>1</v>
      </c>
      <c r="I140" s="4">
        <v>33</v>
      </c>
      <c r="J140" s="4">
        <v>38</v>
      </c>
      <c r="K140" s="4" t="s">
        <v>124</v>
      </c>
      <c r="L140" s="4" t="s">
        <v>13</v>
      </c>
      <c r="M140" s="4">
        <v>2023</v>
      </c>
      <c r="N140" s="4">
        <v>1</v>
      </c>
      <c r="O140" s="4">
        <v>1</v>
      </c>
      <c r="P140" s="4"/>
    </row>
    <row r="141" spans="1:16">
      <c r="A141" s="4" t="s">
        <v>275</v>
      </c>
      <c r="B141" s="4" t="s">
        <v>303</v>
      </c>
      <c r="C141" s="14" t="s">
        <v>304</v>
      </c>
      <c r="D141" s="13">
        <v>1</v>
      </c>
      <c r="E141" s="13" t="s">
        <v>399</v>
      </c>
      <c r="F141" s="13">
        <v>1</v>
      </c>
      <c r="G141" s="22">
        <v>0</v>
      </c>
      <c r="H141" s="20">
        <v>2</v>
      </c>
      <c r="I141" s="4">
        <v>34</v>
      </c>
      <c r="J141" s="4">
        <v>38</v>
      </c>
      <c r="K141" s="4" t="s">
        <v>124</v>
      </c>
      <c r="L141" s="4" t="s">
        <v>13</v>
      </c>
      <c r="M141" s="4">
        <v>2023</v>
      </c>
      <c r="N141" s="4">
        <v>1</v>
      </c>
      <c r="O141" s="4">
        <v>1</v>
      </c>
      <c r="P141" s="4"/>
    </row>
    <row r="142" spans="1:16">
      <c r="A142" s="4" t="s">
        <v>275</v>
      </c>
      <c r="B142" s="4" t="s">
        <v>305</v>
      </c>
      <c r="C142" s="14" t="s">
        <v>306</v>
      </c>
      <c r="D142" s="13">
        <v>1</v>
      </c>
      <c r="E142" s="13" t="s">
        <v>397</v>
      </c>
      <c r="F142" s="13">
        <v>1</v>
      </c>
      <c r="G142" s="22">
        <v>1</v>
      </c>
      <c r="H142" s="20">
        <v>1</v>
      </c>
      <c r="I142" s="4">
        <v>35</v>
      </c>
      <c r="J142" s="4">
        <v>38</v>
      </c>
      <c r="K142" s="4" t="s">
        <v>124</v>
      </c>
      <c r="L142" s="4" t="s">
        <v>13</v>
      </c>
      <c r="M142" s="4">
        <v>2023</v>
      </c>
      <c r="N142" s="4">
        <v>1</v>
      </c>
      <c r="O142" s="4">
        <v>1</v>
      </c>
      <c r="P142" s="4"/>
    </row>
    <row r="143" spans="1:16">
      <c r="A143" s="4" t="s">
        <v>275</v>
      </c>
      <c r="B143" s="4" t="s">
        <v>307</v>
      </c>
      <c r="C143" s="14" t="s">
        <v>308</v>
      </c>
      <c r="D143" s="13">
        <v>0</v>
      </c>
      <c r="F143" s="13">
        <v>1</v>
      </c>
      <c r="G143" s="22">
        <v>0</v>
      </c>
      <c r="H143" s="13">
        <v>1</v>
      </c>
      <c r="I143" s="4">
        <v>36</v>
      </c>
      <c r="J143" s="4">
        <v>38</v>
      </c>
      <c r="K143" s="4" t="s">
        <v>124</v>
      </c>
      <c r="L143" s="4" t="s">
        <v>13</v>
      </c>
      <c r="M143" s="4">
        <v>2023</v>
      </c>
      <c r="N143" s="4">
        <v>1</v>
      </c>
      <c r="O143" s="4">
        <v>1</v>
      </c>
      <c r="P143" s="4"/>
    </row>
    <row r="144" spans="1:16">
      <c r="A144" s="4" t="s">
        <v>275</v>
      </c>
      <c r="B144" s="4" t="s">
        <v>309</v>
      </c>
      <c r="C144" s="14" t="s">
        <v>310</v>
      </c>
      <c r="D144" s="13">
        <v>0</v>
      </c>
      <c r="F144" s="13">
        <v>1</v>
      </c>
      <c r="G144" s="22">
        <v>0</v>
      </c>
      <c r="H144" s="13">
        <v>1</v>
      </c>
      <c r="I144" s="4">
        <v>37</v>
      </c>
      <c r="J144" s="4">
        <v>38</v>
      </c>
      <c r="K144" s="4" t="s">
        <v>124</v>
      </c>
      <c r="L144" s="4" t="s">
        <v>13</v>
      </c>
      <c r="M144" s="4">
        <v>2023</v>
      </c>
      <c r="N144" s="4">
        <v>1</v>
      </c>
      <c r="O144" s="4">
        <v>1</v>
      </c>
      <c r="P144" s="4"/>
    </row>
    <row r="145" spans="1:16">
      <c r="A145" s="4" t="s">
        <v>275</v>
      </c>
      <c r="B145" s="4" t="s">
        <v>311</v>
      </c>
      <c r="C145" s="14" t="s">
        <v>312</v>
      </c>
      <c r="D145" s="13">
        <v>0</v>
      </c>
      <c r="F145" s="13">
        <v>1</v>
      </c>
      <c r="G145" s="22">
        <v>0</v>
      </c>
      <c r="H145" s="13">
        <v>1</v>
      </c>
      <c r="I145" s="4">
        <v>38</v>
      </c>
      <c r="J145" s="4">
        <v>38</v>
      </c>
      <c r="K145" s="4" t="s">
        <v>124</v>
      </c>
      <c r="L145" s="4" t="s">
        <v>13</v>
      </c>
      <c r="M145" s="4">
        <v>2023</v>
      </c>
      <c r="N145" s="4">
        <v>1</v>
      </c>
      <c r="O145" s="4">
        <v>1</v>
      </c>
      <c r="P145" s="4"/>
    </row>
    <row r="146" spans="1:16">
      <c r="A146" s="4" t="s">
        <v>313</v>
      </c>
      <c r="B146" s="4" t="s">
        <v>314</v>
      </c>
      <c r="C146" s="14" t="s">
        <v>315</v>
      </c>
      <c r="D146" s="13">
        <v>1</v>
      </c>
      <c r="E146" s="13" t="s">
        <v>399</v>
      </c>
      <c r="F146" s="13">
        <v>1</v>
      </c>
      <c r="G146" s="22">
        <v>0</v>
      </c>
      <c r="H146" s="13">
        <v>1</v>
      </c>
      <c r="I146" s="4">
        <v>3</v>
      </c>
      <c r="J146" s="4">
        <v>41</v>
      </c>
      <c r="K146" s="4" t="s">
        <v>124</v>
      </c>
      <c r="L146" s="4" t="s">
        <v>13</v>
      </c>
      <c r="M146" s="4">
        <v>2024</v>
      </c>
      <c r="N146" s="4">
        <v>1</v>
      </c>
      <c r="O146" s="4">
        <v>1</v>
      </c>
      <c r="P146" s="4"/>
    </row>
    <row r="147" spans="1:16">
      <c r="A147" s="4" t="s">
        <v>313</v>
      </c>
      <c r="B147" s="4" t="s">
        <v>316</v>
      </c>
      <c r="C147" s="14" t="s">
        <v>317</v>
      </c>
      <c r="D147" s="13">
        <v>1</v>
      </c>
      <c r="E147" s="13" t="s">
        <v>399</v>
      </c>
      <c r="F147" s="13">
        <v>1</v>
      </c>
      <c r="G147" s="22">
        <v>0</v>
      </c>
      <c r="H147" s="13">
        <v>1</v>
      </c>
      <c r="I147" s="4">
        <v>4</v>
      </c>
      <c r="J147" s="4">
        <v>41</v>
      </c>
      <c r="K147" s="4" t="s">
        <v>124</v>
      </c>
      <c r="L147" s="4" t="s">
        <v>13</v>
      </c>
      <c r="M147" s="4">
        <v>2024</v>
      </c>
      <c r="N147" s="4">
        <v>1</v>
      </c>
      <c r="O147" s="4">
        <v>1</v>
      </c>
      <c r="P147" s="4"/>
    </row>
    <row r="148" spans="1:16">
      <c r="A148" s="4" t="s">
        <v>313</v>
      </c>
      <c r="B148" s="4" t="s">
        <v>318</v>
      </c>
      <c r="C148" s="14" t="s">
        <v>319</v>
      </c>
      <c r="D148" s="13">
        <v>1</v>
      </c>
      <c r="E148" s="13" t="s">
        <v>399</v>
      </c>
      <c r="F148" s="13">
        <v>1</v>
      </c>
      <c r="G148" s="22">
        <v>0</v>
      </c>
      <c r="H148" s="20">
        <v>2</v>
      </c>
      <c r="I148" s="4">
        <v>8</v>
      </c>
      <c r="J148" s="4">
        <v>41</v>
      </c>
      <c r="K148" s="4" t="s">
        <v>124</v>
      </c>
      <c r="L148" s="4" t="s">
        <v>13</v>
      </c>
      <c r="M148" s="4">
        <v>2024</v>
      </c>
      <c r="N148" s="4">
        <v>1</v>
      </c>
      <c r="O148" s="4">
        <v>1</v>
      </c>
      <c r="P148" s="4"/>
    </row>
    <row r="149" spans="1:16">
      <c r="A149" s="4" t="s">
        <v>313</v>
      </c>
      <c r="B149" s="4" t="s">
        <v>320</v>
      </c>
      <c r="C149" s="14" t="s">
        <v>321</v>
      </c>
      <c r="D149" s="13">
        <v>1</v>
      </c>
      <c r="E149" s="13" t="s">
        <v>395</v>
      </c>
      <c r="F149" s="13">
        <v>1</v>
      </c>
      <c r="G149" s="22">
        <v>1</v>
      </c>
      <c r="H149" s="13">
        <v>2</v>
      </c>
      <c r="I149" s="4">
        <v>11</v>
      </c>
      <c r="J149" s="4">
        <v>41</v>
      </c>
      <c r="K149" s="4" t="s">
        <v>124</v>
      </c>
      <c r="L149" s="4" t="s">
        <v>13</v>
      </c>
      <c r="M149" s="4">
        <v>2024</v>
      </c>
      <c r="N149" s="4">
        <v>1</v>
      </c>
      <c r="O149" s="4">
        <v>1</v>
      </c>
      <c r="P149" s="4"/>
    </row>
    <row r="150" spans="1:16">
      <c r="A150" s="4" t="s">
        <v>313</v>
      </c>
      <c r="B150" s="4" t="s">
        <v>322</v>
      </c>
      <c r="C150" s="9" t="s">
        <v>323</v>
      </c>
      <c r="D150" s="13">
        <v>1</v>
      </c>
      <c r="E150" s="13" t="s">
        <v>399</v>
      </c>
      <c r="F150" s="13">
        <v>1</v>
      </c>
      <c r="G150" s="22">
        <v>0</v>
      </c>
      <c r="H150" s="13">
        <v>1</v>
      </c>
      <c r="I150" s="4">
        <v>12</v>
      </c>
      <c r="J150" s="4">
        <v>41</v>
      </c>
      <c r="K150" s="4" t="s">
        <v>124</v>
      </c>
      <c r="L150" s="4" t="s">
        <v>13</v>
      </c>
      <c r="M150" s="4">
        <v>2024</v>
      </c>
      <c r="N150" s="4">
        <v>1</v>
      </c>
      <c r="O150" s="4">
        <v>1</v>
      </c>
      <c r="P150" s="4"/>
    </row>
    <row r="151" spans="1:16">
      <c r="A151" s="4" t="s">
        <v>313</v>
      </c>
      <c r="B151" s="4" t="s">
        <v>324</v>
      </c>
      <c r="C151" s="14" t="s">
        <v>325</v>
      </c>
      <c r="D151" s="13">
        <v>1</v>
      </c>
      <c r="E151" s="13" t="s">
        <v>399</v>
      </c>
      <c r="F151" s="13">
        <v>1</v>
      </c>
      <c r="G151" s="22">
        <v>0</v>
      </c>
      <c r="H151" s="20">
        <v>2</v>
      </c>
      <c r="I151" s="4">
        <v>14</v>
      </c>
      <c r="J151" s="4">
        <v>41</v>
      </c>
      <c r="K151" s="4" t="s">
        <v>124</v>
      </c>
      <c r="L151" s="4" t="s">
        <v>13</v>
      </c>
      <c r="M151" s="4">
        <v>2024</v>
      </c>
      <c r="N151" s="4">
        <v>1</v>
      </c>
      <c r="O151" s="4">
        <v>1</v>
      </c>
      <c r="P151" s="4"/>
    </row>
    <row r="152" spans="1:16">
      <c r="A152" s="4" t="s">
        <v>313</v>
      </c>
      <c r="B152" s="4" t="s">
        <v>326</v>
      </c>
      <c r="C152" s="14" t="s">
        <v>327</v>
      </c>
      <c r="D152" s="13">
        <v>1</v>
      </c>
      <c r="E152" s="13" t="s">
        <v>397</v>
      </c>
      <c r="F152" s="13">
        <v>1</v>
      </c>
      <c r="G152" s="22">
        <v>0</v>
      </c>
      <c r="H152" s="13">
        <v>1</v>
      </c>
      <c r="I152" s="4">
        <v>15</v>
      </c>
      <c r="J152" s="4">
        <v>41</v>
      </c>
      <c r="K152" s="4" t="s">
        <v>124</v>
      </c>
      <c r="L152" s="4" t="s">
        <v>13</v>
      </c>
      <c r="M152" s="4">
        <v>2024</v>
      </c>
      <c r="N152" s="4">
        <v>1</v>
      </c>
      <c r="O152" s="4">
        <v>1</v>
      </c>
      <c r="P152" s="4"/>
    </row>
    <row r="153" spans="1:16">
      <c r="A153" s="4" t="s">
        <v>313</v>
      </c>
      <c r="B153" s="4" t="s">
        <v>328</v>
      </c>
      <c r="C153" s="14" t="s">
        <v>330</v>
      </c>
      <c r="D153" s="13">
        <v>1</v>
      </c>
      <c r="E153" s="13" t="s">
        <v>397</v>
      </c>
      <c r="F153" s="13">
        <v>1</v>
      </c>
      <c r="G153" s="22">
        <v>0</v>
      </c>
      <c r="H153" s="13">
        <v>1</v>
      </c>
      <c r="I153" s="4">
        <v>17</v>
      </c>
      <c r="J153" s="4">
        <v>41</v>
      </c>
      <c r="K153" s="4" t="s">
        <v>124</v>
      </c>
      <c r="L153" s="4" t="s">
        <v>13</v>
      </c>
      <c r="M153" s="4">
        <v>2024</v>
      </c>
      <c r="N153" s="4">
        <v>1</v>
      </c>
      <c r="O153" s="4">
        <v>1</v>
      </c>
      <c r="P153" s="4"/>
    </row>
    <row r="154" spans="1:16">
      <c r="A154" s="4" t="s">
        <v>313</v>
      </c>
      <c r="B154" s="4" t="s">
        <v>329</v>
      </c>
      <c r="C154" s="14" t="s">
        <v>331</v>
      </c>
      <c r="D154" s="13">
        <v>1</v>
      </c>
      <c r="E154" s="13" t="s">
        <v>397</v>
      </c>
      <c r="F154" s="13">
        <v>1</v>
      </c>
      <c r="G154" s="22">
        <v>0</v>
      </c>
      <c r="H154" s="13">
        <v>1</v>
      </c>
      <c r="I154" s="4">
        <v>18</v>
      </c>
      <c r="J154" s="4">
        <v>41</v>
      </c>
      <c r="K154" s="4" t="s">
        <v>124</v>
      </c>
      <c r="L154" s="4" t="s">
        <v>13</v>
      </c>
      <c r="M154" s="4">
        <v>2024</v>
      </c>
      <c r="N154" s="4">
        <v>1</v>
      </c>
      <c r="O154" s="4">
        <v>1</v>
      </c>
      <c r="P154" s="4"/>
    </row>
    <row r="155" spans="1:16">
      <c r="A155" s="4" t="s">
        <v>313</v>
      </c>
      <c r="B155" s="4" t="s">
        <v>332</v>
      </c>
      <c r="C155" s="14" t="s">
        <v>333</v>
      </c>
      <c r="D155" s="13">
        <v>0</v>
      </c>
      <c r="F155" s="13">
        <v>1</v>
      </c>
      <c r="G155" s="22">
        <v>0</v>
      </c>
      <c r="H155" s="13">
        <v>1</v>
      </c>
      <c r="I155" s="4">
        <v>21</v>
      </c>
      <c r="J155" s="4">
        <v>41</v>
      </c>
      <c r="K155" s="4" t="s">
        <v>124</v>
      </c>
      <c r="L155" s="4" t="s">
        <v>13</v>
      </c>
      <c r="M155" s="4">
        <v>2024</v>
      </c>
      <c r="N155" s="4">
        <v>1</v>
      </c>
      <c r="O155" s="4">
        <v>1</v>
      </c>
      <c r="P155" s="4"/>
    </row>
    <row r="156" spans="1:16">
      <c r="A156" s="4" t="s">
        <v>313</v>
      </c>
      <c r="B156" s="4" t="s">
        <v>334</v>
      </c>
      <c r="C156" s="14" t="s">
        <v>335</v>
      </c>
      <c r="D156" s="13">
        <v>1</v>
      </c>
      <c r="E156" s="13" t="s">
        <v>399</v>
      </c>
      <c r="F156" s="13">
        <v>1</v>
      </c>
      <c r="G156" s="22">
        <v>0</v>
      </c>
      <c r="H156" s="20">
        <v>2</v>
      </c>
      <c r="I156" s="4">
        <v>29</v>
      </c>
      <c r="J156" s="4">
        <v>41</v>
      </c>
      <c r="K156" s="4" t="s">
        <v>124</v>
      </c>
      <c r="L156" s="4" t="s">
        <v>13</v>
      </c>
      <c r="M156" s="4">
        <v>2024</v>
      </c>
      <c r="N156" s="4">
        <v>1</v>
      </c>
      <c r="O156" s="4">
        <v>1</v>
      </c>
      <c r="P156" s="4"/>
    </row>
    <row r="157" spans="1:16">
      <c r="A157" s="4" t="s">
        <v>313</v>
      </c>
      <c r="B157" s="4" t="s">
        <v>336</v>
      </c>
      <c r="C157" s="14" t="s">
        <v>298</v>
      </c>
      <c r="D157" s="13">
        <v>1</v>
      </c>
      <c r="E157" s="13" t="s">
        <v>397</v>
      </c>
      <c r="F157" s="13">
        <v>1</v>
      </c>
      <c r="G157" s="22">
        <v>0</v>
      </c>
      <c r="H157" s="13">
        <v>1</v>
      </c>
      <c r="I157" s="4">
        <v>31</v>
      </c>
      <c r="J157" s="4">
        <v>41</v>
      </c>
      <c r="K157" s="4" t="s">
        <v>124</v>
      </c>
      <c r="L157" s="4" t="s">
        <v>13</v>
      </c>
      <c r="M157" s="4">
        <v>2024</v>
      </c>
      <c r="N157" s="4">
        <v>1</v>
      </c>
      <c r="O157" s="4">
        <v>1</v>
      </c>
      <c r="P157" s="4"/>
    </row>
    <row r="158" spans="1:16">
      <c r="A158" s="4" t="s">
        <v>313</v>
      </c>
      <c r="B158" s="4" t="s">
        <v>337</v>
      </c>
      <c r="C158" s="14" t="s">
        <v>339</v>
      </c>
      <c r="D158" s="13">
        <v>1</v>
      </c>
      <c r="E158" s="13" t="s">
        <v>399</v>
      </c>
      <c r="F158" s="13">
        <v>1</v>
      </c>
      <c r="G158" s="22">
        <v>0</v>
      </c>
      <c r="H158" s="13">
        <v>1</v>
      </c>
      <c r="I158" s="4">
        <v>32</v>
      </c>
      <c r="J158" s="4">
        <v>41</v>
      </c>
      <c r="K158" s="4" t="s">
        <v>124</v>
      </c>
      <c r="L158" s="4" t="s">
        <v>13</v>
      </c>
      <c r="M158" s="4">
        <v>2024</v>
      </c>
      <c r="N158" s="4">
        <v>1</v>
      </c>
      <c r="O158" s="4">
        <v>1</v>
      </c>
      <c r="P158" s="4"/>
    </row>
    <row r="159" spans="1:16">
      <c r="A159" s="4" t="s">
        <v>313</v>
      </c>
      <c r="B159" s="4" t="s">
        <v>338</v>
      </c>
      <c r="C159" s="14" t="s">
        <v>340</v>
      </c>
      <c r="D159" s="13">
        <v>1</v>
      </c>
      <c r="E159" s="13" t="s">
        <v>399</v>
      </c>
      <c r="F159" s="13">
        <v>1</v>
      </c>
      <c r="G159" s="22">
        <v>0</v>
      </c>
      <c r="H159" s="20">
        <v>2</v>
      </c>
      <c r="I159" s="4">
        <v>33</v>
      </c>
      <c r="J159" s="4">
        <v>41</v>
      </c>
      <c r="K159" s="4" t="s">
        <v>124</v>
      </c>
      <c r="L159" s="4" t="s">
        <v>13</v>
      </c>
      <c r="M159" s="4">
        <v>2024</v>
      </c>
      <c r="N159" s="4">
        <v>1</v>
      </c>
      <c r="O159" s="4">
        <v>1</v>
      </c>
      <c r="P159" s="4"/>
    </row>
    <row r="160" spans="1:16">
      <c r="A160" s="4" t="s">
        <v>313</v>
      </c>
      <c r="B160" s="4" t="s">
        <v>406</v>
      </c>
      <c r="C160" s="14" t="s">
        <v>304</v>
      </c>
      <c r="D160" s="13">
        <v>1</v>
      </c>
      <c r="E160" s="13" t="s">
        <v>399</v>
      </c>
      <c r="F160" s="13">
        <v>1</v>
      </c>
      <c r="G160" s="22">
        <v>0</v>
      </c>
      <c r="H160" s="20">
        <v>2</v>
      </c>
      <c r="I160" s="4">
        <v>34</v>
      </c>
      <c r="J160" s="4">
        <v>41</v>
      </c>
      <c r="K160" s="4" t="s">
        <v>124</v>
      </c>
      <c r="L160" s="4" t="s">
        <v>13</v>
      </c>
      <c r="M160" s="4">
        <v>2024</v>
      </c>
      <c r="N160" s="4">
        <v>1</v>
      </c>
      <c r="O160" s="4">
        <v>1</v>
      </c>
      <c r="P160" s="4"/>
    </row>
    <row r="161" spans="1:16">
      <c r="A161" s="4" t="s">
        <v>313</v>
      </c>
      <c r="B161" s="4" t="s">
        <v>341</v>
      </c>
      <c r="C161" s="14" t="s">
        <v>306</v>
      </c>
      <c r="D161" s="13">
        <v>1</v>
      </c>
      <c r="E161" s="13" t="s">
        <v>397</v>
      </c>
      <c r="F161" s="13">
        <v>1</v>
      </c>
      <c r="G161" s="22">
        <v>1</v>
      </c>
      <c r="H161" s="13">
        <v>1</v>
      </c>
      <c r="I161" s="4">
        <v>38</v>
      </c>
      <c r="J161" s="4">
        <v>41</v>
      </c>
      <c r="K161" s="4" t="s">
        <v>124</v>
      </c>
      <c r="L161" s="4" t="s">
        <v>13</v>
      </c>
      <c r="M161" s="4">
        <v>2024</v>
      </c>
      <c r="N161" s="4">
        <v>1</v>
      </c>
      <c r="O161" s="4">
        <v>1</v>
      </c>
      <c r="P161" s="4"/>
    </row>
    <row r="162" spans="1:16">
      <c r="A162" s="4" t="s">
        <v>313</v>
      </c>
      <c r="B162" s="4" t="s">
        <v>342</v>
      </c>
      <c r="C162" s="14" t="s">
        <v>344</v>
      </c>
      <c r="D162" s="13">
        <v>0</v>
      </c>
      <c r="F162" s="13">
        <v>1</v>
      </c>
      <c r="G162" s="22">
        <v>0</v>
      </c>
      <c r="H162" s="13">
        <v>1</v>
      </c>
      <c r="I162" s="4">
        <v>39</v>
      </c>
      <c r="J162" s="4">
        <v>41</v>
      </c>
      <c r="K162" s="4" t="s">
        <v>124</v>
      </c>
      <c r="L162" s="4" t="s">
        <v>13</v>
      </c>
      <c r="M162" s="4">
        <v>2024</v>
      </c>
      <c r="N162" s="4">
        <v>1</v>
      </c>
      <c r="O162" s="4">
        <v>1</v>
      </c>
      <c r="P162" s="4"/>
    </row>
    <row r="163" spans="1:16">
      <c r="A163" s="4" t="s">
        <v>313</v>
      </c>
      <c r="B163" s="4" t="s">
        <v>343</v>
      </c>
      <c r="C163" s="14" t="s">
        <v>310</v>
      </c>
      <c r="D163" s="13">
        <v>0</v>
      </c>
      <c r="F163" s="13">
        <v>1</v>
      </c>
      <c r="G163" s="22">
        <v>0</v>
      </c>
      <c r="H163" s="13">
        <v>1</v>
      </c>
      <c r="I163" s="4">
        <v>40</v>
      </c>
      <c r="J163" s="4">
        <v>41</v>
      </c>
      <c r="K163" s="4" t="s">
        <v>124</v>
      </c>
      <c r="L163" s="4" t="s">
        <v>13</v>
      </c>
      <c r="M163" s="4">
        <v>2024</v>
      </c>
      <c r="N163" s="4">
        <v>1</v>
      </c>
      <c r="O163" s="4">
        <v>1</v>
      </c>
      <c r="P163" s="4"/>
    </row>
    <row r="164" spans="1:16">
      <c r="A164" s="4" t="s">
        <v>313</v>
      </c>
      <c r="B164" s="4" t="s">
        <v>345</v>
      </c>
      <c r="C164" s="14" t="s">
        <v>346</v>
      </c>
      <c r="D164" s="13">
        <v>0</v>
      </c>
      <c r="F164" s="13">
        <v>1</v>
      </c>
      <c r="G164" s="22">
        <v>0</v>
      </c>
      <c r="H164" s="13">
        <v>1</v>
      </c>
      <c r="I164" s="4">
        <v>41</v>
      </c>
      <c r="J164" s="4">
        <v>41</v>
      </c>
      <c r="K164" s="4" t="s">
        <v>124</v>
      </c>
      <c r="L164" s="4" t="s">
        <v>13</v>
      </c>
      <c r="M164" s="4">
        <v>2024</v>
      </c>
      <c r="N164" s="4">
        <v>1</v>
      </c>
      <c r="O164" s="4">
        <v>1</v>
      </c>
      <c r="P164" s="4"/>
    </row>
    <row r="165" spans="1:16">
      <c r="A165" s="4" t="s">
        <v>347</v>
      </c>
      <c r="B165" s="4" t="s">
        <v>348</v>
      </c>
      <c r="C165" s="9" t="s">
        <v>349</v>
      </c>
      <c r="D165" s="13">
        <v>0</v>
      </c>
      <c r="F165" s="13">
        <v>1</v>
      </c>
      <c r="G165" s="22">
        <v>0</v>
      </c>
      <c r="H165" s="13">
        <v>1</v>
      </c>
      <c r="I165" s="4">
        <v>1</v>
      </c>
      <c r="J165" s="4">
        <v>46</v>
      </c>
      <c r="K165" s="4" t="s">
        <v>124</v>
      </c>
      <c r="L165" s="4" t="s">
        <v>13</v>
      </c>
      <c r="M165" s="4">
        <v>2025</v>
      </c>
      <c r="N165" s="4">
        <v>1</v>
      </c>
      <c r="O165" s="4">
        <v>1</v>
      </c>
      <c r="P165" s="4"/>
    </row>
    <row r="166" spans="1:16">
      <c r="A166" s="4" t="s">
        <v>347</v>
      </c>
      <c r="B166" s="4" t="s">
        <v>350</v>
      </c>
      <c r="C166" s="14" t="s">
        <v>351</v>
      </c>
      <c r="D166" s="13">
        <v>0</v>
      </c>
      <c r="F166" s="13">
        <v>1</v>
      </c>
      <c r="G166" s="22">
        <v>0</v>
      </c>
      <c r="H166" s="13">
        <v>1</v>
      </c>
      <c r="I166" s="4">
        <v>2</v>
      </c>
      <c r="J166" s="4">
        <v>46</v>
      </c>
      <c r="K166" s="4" t="s">
        <v>124</v>
      </c>
      <c r="L166" s="4" t="s">
        <v>13</v>
      </c>
      <c r="M166" s="4">
        <v>2025</v>
      </c>
      <c r="N166" s="4">
        <v>1</v>
      </c>
      <c r="O166" s="4">
        <v>1</v>
      </c>
      <c r="P166" s="4"/>
    </row>
    <row r="167" spans="1:16">
      <c r="A167" s="4" t="s">
        <v>347</v>
      </c>
      <c r="B167" s="4" t="s">
        <v>352</v>
      </c>
      <c r="C167" s="14" t="s">
        <v>353</v>
      </c>
      <c r="D167" s="13">
        <v>0</v>
      </c>
      <c r="F167" s="13">
        <v>1</v>
      </c>
      <c r="G167" s="22">
        <v>0</v>
      </c>
      <c r="H167" s="13">
        <v>1</v>
      </c>
      <c r="I167" s="4">
        <v>3</v>
      </c>
      <c r="J167" s="4">
        <v>46</v>
      </c>
      <c r="K167" s="4" t="s">
        <v>124</v>
      </c>
      <c r="L167" s="4" t="s">
        <v>13</v>
      </c>
      <c r="M167" s="4">
        <v>2025</v>
      </c>
      <c r="N167" s="4">
        <v>1</v>
      </c>
      <c r="O167" s="4">
        <v>1</v>
      </c>
      <c r="P167" s="4"/>
    </row>
    <row r="168" spans="1:16">
      <c r="A168" s="4" t="s">
        <v>347</v>
      </c>
      <c r="B168" s="4" t="s">
        <v>354</v>
      </c>
      <c r="C168" s="14" t="s">
        <v>355</v>
      </c>
      <c r="D168" s="13">
        <v>1</v>
      </c>
      <c r="E168" s="13" t="s">
        <v>399</v>
      </c>
      <c r="F168" s="13">
        <v>1</v>
      </c>
      <c r="G168" s="22">
        <v>1</v>
      </c>
      <c r="H168" s="20">
        <v>1</v>
      </c>
      <c r="I168" s="4">
        <v>4</v>
      </c>
      <c r="J168" s="4">
        <v>46</v>
      </c>
      <c r="K168" s="4" t="s">
        <v>124</v>
      </c>
      <c r="L168" s="4" t="s">
        <v>13</v>
      </c>
      <c r="M168" s="4">
        <v>2025</v>
      </c>
      <c r="N168" s="4">
        <v>1</v>
      </c>
      <c r="O168" s="4">
        <v>1</v>
      </c>
      <c r="P168" s="4"/>
    </row>
    <row r="169" spans="1:16">
      <c r="A169" s="4" t="s">
        <v>347</v>
      </c>
      <c r="B169" s="4" t="s">
        <v>356</v>
      </c>
      <c r="C169" s="14" t="s">
        <v>357</v>
      </c>
      <c r="D169" s="13">
        <v>1</v>
      </c>
      <c r="E169" s="13" t="s">
        <v>397</v>
      </c>
      <c r="F169" s="13">
        <v>1</v>
      </c>
      <c r="G169" s="22">
        <v>0</v>
      </c>
      <c r="H169" s="13">
        <v>1</v>
      </c>
      <c r="I169" s="4">
        <v>5</v>
      </c>
      <c r="J169" s="4">
        <v>46</v>
      </c>
      <c r="K169" s="4" t="s">
        <v>124</v>
      </c>
      <c r="L169" s="4" t="s">
        <v>13</v>
      </c>
      <c r="M169" s="4">
        <v>2025</v>
      </c>
      <c r="N169" s="4">
        <v>1</v>
      </c>
      <c r="O169" s="4">
        <v>1</v>
      </c>
      <c r="P169" s="4"/>
    </row>
    <row r="170" spans="1:16">
      <c r="A170" s="4" t="s">
        <v>347</v>
      </c>
      <c r="B170" s="4" t="s">
        <v>358</v>
      </c>
      <c r="C170" s="14" t="s">
        <v>359</v>
      </c>
      <c r="D170" s="13">
        <v>1</v>
      </c>
      <c r="E170" s="13" t="s">
        <v>399</v>
      </c>
      <c r="F170" s="13">
        <v>1</v>
      </c>
      <c r="G170" s="22">
        <v>0</v>
      </c>
      <c r="H170" s="13">
        <v>1</v>
      </c>
      <c r="I170" s="4">
        <v>6</v>
      </c>
      <c r="J170" s="4">
        <v>46</v>
      </c>
      <c r="K170" s="4" t="s">
        <v>124</v>
      </c>
      <c r="L170" s="4" t="s">
        <v>13</v>
      </c>
      <c r="M170" s="4">
        <v>2025</v>
      </c>
      <c r="N170" s="4">
        <v>1</v>
      </c>
      <c r="O170" s="4">
        <v>1</v>
      </c>
      <c r="P170" s="4"/>
    </row>
    <row r="171" spans="1:16">
      <c r="A171" s="4" t="s">
        <v>347</v>
      </c>
      <c r="B171" s="4" t="s">
        <v>360</v>
      </c>
      <c r="C171" s="14" t="s">
        <v>361</v>
      </c>
      <c r="D171" s="13">
        <v>1</v>
      </c>
      <c r="E171" s="13" t="s">
        <v>399</v>
      </c>
      <c r="F171" s="13">
        <v>1</v>
      </c>
      <c r="G171" s="22">
        <v>0</v>
      </c>
      <c r="H171" s="13">
        <v>1</v>
      </c>
      <c r="I171" s="4">
        <v>7</v>
      </c>
      <c r="J171" s="4">
        <v>46</v>
      </c>
      <c r="K171" s="4" t="s">
        <v>124</v>
      </c>
      <c r="L171" s="4" t="s">
        <v>13</v>
      </c>
      <c r="M171" s="4">
        <v>2025</v>
      </c>
      <c r="N171" s="4">
        <v>1</v>
      </c>
      <c r="O171" s="4">
        <v>1</v>
      </c>
      <c r="P171" s="4"/>
    </row>
    <row r="172" spans="1:16">
      <c r="A172" s="4" t="s">
        <v>347</v>
      </c>
      <c r="B172" s="4" t="s">
        <v>362</v>
      </c>
      <c r="C172" s="9" t="s">
        <v>363</v>
      </c>
      <c r="D172" s="13">
        <v>1</v>
      </c>
      <c r="E172" s="13" t="s">
        <v>397</v>
      </c>
      <c r="F172" s="13">
        <v>1</v>
      </c>
      <c r="G172" s="22">
        <v>0</v>
      </c>
      <c r="H172" s="13">
        <v>1</v>
      </c>
      <c r="I172" s="4">
        <v>16</v>
      </c>
      <c r="J172" s="4">
        <v>46</v>
      </c>
      <c r="K172" s="4" t="s">
        <v>124</v>
      </c>
      <c r="L172" s="4" t="s">
        <v>13</v>
      </c>
      <c r="M172" s="4">
        <v>2025</v>
      </c>
      <c r="N172" s="4">
        <v>1</v>
      </c>
      <c r="O172" s="4">
        <v>1</v>
      </c>
      <c r="P172" s="4"/>
    </row>
    <row r="173" spans="1:16">
      <c r="A173" s="4" t="s">
        <v>347</v>
      </c>
      <c r="B173" s="4" t="s">
        <v>364</v>
      </c>
      <c r="C173" s="9" t="s">
        <v>365</v>
      </c>
      <c r="D173" s="13">
        <v>1</v>
      </c>
      <c r="E173" s="13" t="s">
        <v>397</v>
      </c>
      <c r="F173" s="13">
        <v>1</v>
      </c>
      <c r="G173" s="22">
        <v>0</v>
      </c>
      <c r="H173" s="13">
        <v>1</v>
      </c>
      <c r="I173" s="4">
        <v>18</v>
      </c>
      <c r="J173" s="4">
        <v>46</v>
      </c>
      <c r="K173" s="4" t="s">
        <v>124</v>
      </c>
      <c r="L173" s="4" t="s">
        <v>13</v>
      </c>
      <c r="M173" s="4">
        <v>2025</v>
      </c>
      <c r="N173" s="4">
        <v>1</v>
      </c>
      <c r="O173" s="4">
        <v>1</v>
      </c>
      <c r="P173" s="4"/>
    </row>
    <row r="174" spans="1:16">
      <c r="A174" s="4" t="s">
        <v>347</v>
      </c>
      <c r="B174" s="4" t="s">
        <v>366</v>
      </c>
      <c r="C174" s="9" t="s">
        <v>367</v>
      </c>
      <c r="D174" s="13">
        <v>1</v>
      </c>
      <c r="E174" s="13" t="s">
        <v>399</v>
      </c>
      <c r="F174" s="13">
        <v>1</v>
      </c>
      <c r="G174" s="22">
        <v>0</v>
      </c>
      <c r="H174" s="20">
        <v>2</v>
      </c>
      <c r="I174" s="4">
        <v>23</v>
      </c>
      <c r="J174" s="4">
        <v>46</v>
      </c>
      <c r="K174" s="4" t="s">
        <v>124</v>
      </c>
      <c r="L174" s="4" t="s">
        <v>13</v>
      </c>
      <c r="M174" s="4">
        <v>2025</v>
      </c>
      <c r="N174" s="4">
        <v>1</v>
      </c>
      <c r="O174" s="4">
        <v>1</v>
      </c>
      <c r="P174" s="4"/>
    </row>
    <row r="175" spans="1:16">
      <c r="A175" s="4" t="s">
        <v>347</v>
      </c>
      <c r="B175" s="4" t="s">
        <v>368</v>
      </c>
      <c r="C175" s="9" t="s">
        <v>369</v>
      </c>
      <c r="D175" s="13">
        <v>1</v>
      </c>
      <c r="E175" s="13" t="s">
        <v>399</v>
      </c>
      <c r="F175" s="13">
        <v>1</v>
      </c>
      <c r="G175" s="22">
        <v>1</v>
      </c>
      <c r="H175" s="13">
        <v>1</v>
      </c>
      <c r="I175" s="4">
        <v>26</v>
      </c>
      <c r="J175" s="4">
        <v>46</v>
      </c>
      <c r="K175" s="4" t="s">
        <v>124</v>
      </c>
      <c r="L175" s="4" t="s">
        <v>13</v>
      </c>
      <c r="M175" s="4">
        <v>2025</v>
      </c>
      <c r="N175" s="4">
        <v>1</v>
      </c>
      <c r="O175" s="4">
        <v>1</v>
      </c>
      <c r="P175" s="4"/>
    </row>
    <row r="176" spans="1:16">
      <c r="A176" s="4" t="s">
        <v>347</v>
      </c>
      <c r="B176" s="4" t="s">
        <v>370</v>
      </c>
      <c r="C176" s="9" t="s">
        <v>371</v>
      </c>
      <c r="D176" s="13">
        <v>1</v>
      </c>
      <c r="E176" s="13" t="s">
        <v>399</v>
      </c>
      <c r="F176" s="13">
        <v>1</v>
      </c>
      <c r="G176" s="22">
        <v>0</v>
      </c>
      <c r="H176" s="20">
        <v>2</v>
      </c>
      <c r="I176" s="4">
        <v>28</v>
      </c>
      <c r="J176" s="4">
        <v>46</v>
      </c>
      <c r="K176" s="4" t="s">
        <v>124</v>
      </c>
      <c r="L176" s="4" t="s">
        <v>13</v>
      </c>
      <c r="M176" s="4">
        <v>2025</v>
      </c>
      <c r="N176" s="4">
        <v>1</v>
      </c>
      <c r="O176" s="4">
        <v>1</v>
      </c>
      <c r="P176" s="4"/>
    </row>
    <row r="177" spans="1:16">
      <c r="A177" s="4" t="s">
        <v>347</v>
      </c>
      <c r="B177" s="4" t="s">
        <v>372</v>
      </c>
      <c r="C177" s="9" t="s">
        <v>373</v>
      </c>
      <c r="D177" s="13">
        <v>1</v>
      </c>
      <c r="E177" s="13" t="s">
        <v>399</v>
      </c>
      <c r="F177" s="13">
        <v>1</v>
      </c>
      <c r="G177" s="22">
        <v>0</v>
      </c>
      <c r="H177" s="13">
        <v>1</v>
      </c>
      <c r="I177" s="4">
        <v>30</v>
      </c>
      <c r="J177" s="4">
        <v>46</v>
      </c>
      <c r="K177" s="4" t="s">
        <v>124</v>
      </c>
      <c r="L177" s="4" t="s">
        <v>13</v>
      </c>
      <c r="M177" s="4">
        <v>2025</v>
      </c>
      <c r="N177" s="4">
        <v>1</v>
      </c>
      <c r="O177" s="4">
        <v>1</v>
      </c>
      <c r="P177" s="4"/>
    </row>
    <row r="178" spans="1:16">
      <c r="A178" s="4" t="s">
        <v>347</v>
      </c>
      <c r="B178" s="4" t="s">
        <v>374</v>
      </c>
      <c r="C178" s="9" t="s">
        <v>375</v>
      </c>
      <c r="D178" s="13">
        <v>1</v>
      </c>
      <c r="E178" s="13" t="s">
        <v>397</v>
      </c>
      <c r="F178" s="13">
        <v>1</v>
      </c>
      <c r="G178" s="22">
        <v>0</v>
      </c>
      <c r="H178" s="13">
        <v>1</v>
      </c>
      <c r="I178" s="4">
        <v>35</v>
      </c>
      <c r="J178" s="4">
        <v>46</v>
      </c>
      <c r="K178" s="4" t="s">
        <v>124</v>
      </c>
      <c r="L178" s="4" t="s">
        <v>13</v>
      </c>
      <c r="M178" s="4">
        <v>2025</v>
      </c>
      <c r="N178" s="4">
        <v>1</v>
      </c>
      <c r="O178" s="4">
        <v>1</v>
      </c>
      <c r="P178" s="4"/>
    </row>
    <row r="179" spans="1:16">
      <c r="A179" s="4" t="s">
        <v>347</v>
      </c>
      <c r="B179" s="4" t="s">
        <v>376</v>
      </c>
      <c r="C179" s="9" t="s">
        <v>377</v>
      </c>
      <c r="D179" s="13">
        <v>1</v>
      </c>
      <c r="E179" s="13" t="s">
        <v>399</v>
      </c>
      <c r="F179" s="13">
        <v>1</v>
      </c>
      <c r="G179" s="22">
        <v>0</v>
      </c>
      <c r="H179" s="13">
        <v>1</v>
      </c>
      <c r="I179" s="4">
        <v>36</v>
      </c>
      <c r="J179" s="4">
        <v>46</v>
      </c>
      <c r="K179" s="4" t="s">
        <v>124</v>
      </c>
      <c r="L179" s="4" t="s">
        <v>13</v>
      </c>
      <c r="M179" s="4">
        <v>2025</v>
      </c>
      <c r="N179" s="4">
        <v>1</v>
      </c>
      <c r="O179" s="4">
        <v>1</v>
      </c>
      <c r="P179" s="4"/>
    </row>
    <row r="180" spans="1:16">
      <c r="A180" s="4" t="s">
        <v>347</v>
      </c>
      <c r="B180" s="4" t="s">
        <v>378</v>
      </c>
      <c r="C180" s="9" t="s">
        <v>379</v>
      </c>
      <c r="D180" s="13">
        <v>1</v>
      </c>
      <c r="E180" s="13" t="s">
        <v>399</v>
      </c>
      <c r="F180" s="13">
        <v>1</v>
      </c>
      <c r="G180" s="22">
        <v>0</v>
      </c>
      <c r="H180" s="13">
        <v>1</v>
      </c>
      <c r="I180" s="4">
        <v>37</v>
      </c>
      <c r="J180" s="4">
        <v>46</v>
      </c>
      <c r="K180" s="4" t="s">
        <v>124</v>
      </c>
      <c r="L180" s="4" t="s">
        <v>13</v>
      </c>
      <c r="M180" s="4">
        <v>2025</v>
      </c>
      <c r="N180" s="4">
        <v>1</v>
      </c>
      <c r="O180" s="4">
        <v>1</v>
      </c>
      <c r="P180" s="4"/>
    </row>
    <row r="181" spans="1:16">
      <c r="A181" s="4" t="s">
        <v>347</v>
      </c>
      <c r="B181" s="4" t="s">
        <v>380</v>
      </c>
      <c r="C181" s="9" t="s">
        <v>381</v>
      </c>
      <c r="D181" s="13">
        <v>1</v>
      </c>
      <c r="E181" s="13" t="s">
        <v>397</v>
      </c>
      <c r="F181" s="13">
        <v>1</v>
      </c>
      <c r="G181" s="22">
        <v>0</v>
      </c>
      <c r="H181" s="13">
        <v>1</v>
      </c>
      <c r="I181" s="4">
        <v>38</v>
      </c>
      <c r="J181" s="4">
        <v>46</v>
      </c>
      <c r="K181" s="4" t="s">
        <v>124</v>
      </c>
      <c r="L181" s="4" t="s">
        <v>13</v>
      </c>
      <c r="M181" s="4">
        <v>2025</v>
      </c>
      <c r="N181" s="4">
        <v>1</v>
      </c>
      <c r="O181" s="4">
        <v>1</v>
      </c>
      <c r="P181" s="4"/>
    </row>
    <row r="182" spans="1:16" ht="30" customHeight="1">
      <c r="A182" s="4" t="s">
        <v>347</v>
      </c>
      <c r="B182" s="4" t="s">
        <v>385</v>
      </c>
      <c r="C182" s="9" t="s">
        <v>382</v>
      </c>
      <c r="D182" s="13">
        <v>1</v>
      </c>
      <c r="E182" s="13" t="s">
        <v>397</v>
      </c>
      <c r="F182" s="13">
        <v>1</v>
      </c>
      <c r="G182" s="22">
        <v>1</v>
      </c>
      <c r="H182" s="20">
        <v>1</v>
      </c>
      <c r="I182" s="4">
        <v>43</v>
      </c>
      <c r="J182" s="4">
        <v>46</v>
      </c>
      <c r="K182" s="4" t="s">
        <v>124</v>
      </c>
      <c r="L182" s="4" t="s">
        <v>13</v>
      </c>
      <c r="M182" s="4">
        <v>2025</v>
      </c>
      <c r="N182" s="4">
        <v>1</v>
      </c>
      <c r="O182" s="4">
        <v>1</v>
      </c>
      <c r="P182" s="4"/>
    </row>
    <row r="183" spans="1:16">
      <c r="A183" s="4" t="s">
        <v>347</v>
      </c>
      <c r="B183" s="4" t="s">
        <v>388</v>
      </c>
      <c r="C183" s="9" t="s">
        <v>383</v>
      </c>
      <c r="D183" s="13">
        <v>0</v>
      </c>
      <c r="F183" s="13">
        <v>1</v>
      </c>
      <c r="G183" s="22">
        <v>0</v>
      </c>
      <c r="H183" s="13">
        <v>1</v>
      </c>
      <c r="I183" s="4">
        <v>44</v>
      </c>
      <c r="J183" s="4">
        <v>46</v>
      </c>
      <c r="K183" s="4" t="s">
        <v>124</v>
      </c>
      <c r="L183" s="4" t="s">
        <v>13</v>
      </c>
      <c r="M183" s="4">
        <v>2025</v>
      </c>
      <c r="N183" s="4">
        <v>1</v>
      </c>
      <c r="O183" s="4">
        <v>1</v>
      </c>
      <c r="P183" s="4"/>
    </row>
    <row r="184" spans="1:16">
      <c r="A184" s="4" t="s">
        <v>347</v>
      </c>
      <c r="B184" s="4" t="s">
        <v>389</v>
      </c>
      <c r="C184" s="9" t="s">
        <v>384</v>
      </c>
      <c r="D184" s="13">
        <v>0</v>
      </c>
      <c r="F184" s="13">
        <v>1</v>
      </c>
      <c r="G184" s="22">
        <v>0</v>
      </c>
      <c r="H184" s="13">
        <v>1</v>
      </c>
      <c r="I184" s="4">
        <v>45</v>
      </c>
      <c r="J184" s="4">
        <v>46</v>
      </c>
      <c r="K184" s="4" t="s">
        <v>124</v>
      </c>
      <c r="L184" s="4" t="s">
        <v>13</v>
      </c>
      <c r="M184" s="4">
        <v>2025</v>
      </c>
      <c r="N184" s="4">
        <v>1</v>
      </c>
      <c r="O184" s="4">
        <v>1</v>
      </c>
      <c r="P184" s="4"/>
    </row>
    <row r="185" spans="1:16">
      <c r="A185" s="4" t="s">
        <v>347</v>
      </c>
      <c r="B185" s="4" t="s">
        <v>390</v>
      </c>
      <c r="C185" s="9" t="s">
        <v>386</v>
      </c>
      <c r="D185" s="13">
        <v>0</v>
      </c>
      <c r="F185" s="13">
        <v>1</v>
      </c>
      <c r="G185" s="22">
        <v>0</v>
      </c>
      <c r="H185" s="13">
        <v>1</v>
      </c>
      <c r="I185" s="4">
        <v>46</v>
      </c>
      <c r="J185" s="4">
        <v>46</v>
      </c>
      <c r="K185" s="4" t="s">
        <v>124</v>
      </c>
      <c r="L185" s="4" t="s">
        <v>13</v>
      </c>
      <c r="M185" s="4">
        <v>2025</v>
      </c>
      <c r="N185" s="4">
        <v>1</v>
      </c>
      <c r="O185" s="4">
        <v>1</v>
      </c>
      <c r="P185" s="4"/>
    </row>
    <row r="186" spans="1:16">
      <c r="A186" s="4" t="s">
        <v>414</v>
      </c>
      <c r="B186" s="4" t="s">
        <v>416</v>
      </c>
      <c r="C186" s="9" t="s">
        <v>417</v>
      </c>
      <c r="D186" s="13">
        <v>0</v>
      </c>
      <c r="F186" s="13">
        <v>1</v>
      </c>
      <c r="G186" s="23">
        <v>0</v>
      </c>
      <c r="H186" s="13">
        <v>1</v>
      </c>
      <c r="I186" s="4">
        <v>5</v>
      </c>
      <c r="J186" s="4">
        <v>11</v>
      </c>
      <c r="K186" s="4" t="s">
        <v>415</v>
      </c>
      <c r="L186" s="4" t="s">
        <v>13</v>
      </c>
      <c r="M186" s="4">
        <v>2019</v>
      </c>
      <c r="N186" s="4">
        <v>1</v>
      </c>
      <c r="O186" s="4">
        <v>1</v>
      </c>
    </row>
    <row r="187" spans="1:16">
      <c r="A187" s="4" t="s">
        <v>414</v>
      </c>
      <c r="B187" s="4" t="s">
        <v>418</v>
      </c>
      <c r="C187" s="9" t="s">
        <v>419</v>
      </c>
      <c r="D187" s="13">
        <v>0</v>
      </c>
      <c r="F187" s="13">
        <v>1</v>
      </c>
      <c r="G187" s="23">
        <v>0</v>
      </c>
      <c r="I187" s="4">
        <v>6</v>
      </c>
      <c r="J187" s="4">
        <v>11</v>
      </c>
      <c r="K187" s="4" t="s">
        <v>415</v>
      </c>
      <c r="L187" s="4" t="s">
        <v>13</v>
      </c>
      <c r="M187" s="4">
        <v>2019</v>
      </c>
      <c r="N187" s="4">
        <v>1</v>
      </c>
      <c r="O187" s="4">
        <v>1</v>
      </c>
    </row>
    <row r="188" spans="1:16" ht="17" customHeight="1">
      <c r="A188" s="4" t="s">
        <v>414</v>
      </c>
      <c r="B188" s="4" t="s">
        <v>472</v>
      </c>
      <c r="C188" s="9" t="s">
        <v>475</v>
      </c>
      <c r="F188" s="13">
        <v>1</v>
      </c>
      <c r="G188" s="23">
        <v>1</v>
      </c>
      <c r="I188" s="4">
        <v>8</v>
      </c>
      <c r="J188" s="4">
        <v>11</v>
      </c>
      <c r="K188" s="4" t="s">
        <v>415</v>
      </c>
      <c r="L188" s="4" t="s">
        <v>13</v>
      </c>
      <c r="M188" s="4">
        <v>2019</v>
      </c>
      <c r="N188" s="4">
        <v>1</v>
      </c>
      <c r="O188" s="4">
        <v>1</v>
      </c>
    </row>
    <row r="189" spans="1:16" ht="17" customHeight="1">
      <c r="A189" s="4" t="s">
        <v>414</v>
      </c>
      <c r="B189" s="4" t="s">
        <v>473</v>
      </c>
      <c r="C189" s="9" t="s">
        <v>474</v>
      </c>
      <c r="F189" s="13">
        <v>1</v>
      </c>
      <c r="G189" s="23">
        <v>1</v>
      </c>
      <c r="I189" s="4">
        <v>9</v>
      </c>
      <c r="J189" s="4">
        <v>11</v>
      </c>
      <c r="K189" s="4" t="s">
        <v>415</v>
      </c>
      <c r="L189" s="4" t="s">
        <v>13</v>
      </c>
      <c r="M189" s="4">
        <v>2019</v>
      </c>
      <c r="N189" s="4">
        <v>1</v>
      </c>
      <c r="O189" s="4">
        <v>1</v>
      </c>
    </row>
    <row r="190" spans="1:16">
      <c r="A190" s="4" t="s">
        <v>414</v>
      </c>
      <c r="B190" s="4" t="s">
        <v>476</v>
      </c>
      <c r="C190" s="9" t="s">
        <v>477</v>
      </c>
      <c r="F190" s="13">
        <v>1</v>
      </c>
      <c r="G190" s="23">
        <v>0</v>
      </c>
      <c r="I190" s="4">
        <v>10</v>
      </c>
      <c r="J190" s="4">
        <v>11</v>
      </c>
      <c r="K190" s="4" t="s">
        <v>415</v>
      </c>
      <c r="L190" s="4" t="s">
        <v>13</v>
      </c>
      <c r="M190" s="4">
        <v>2019</v>
      </c>
      <c r="N190" s="4">
        <v>1</v>
      </c>
      <c r="O190" s="4">
        <v>1</v>
      </c>
    </row>
    <row r="191" spans="1:16">
      <c r="A191" s="4" t="s">
        <v>420</v>
      </c>
      <c r="B191" s="4" t="s">
        <v>421</v>
      </c>
      <c r="C191" s="9" t="s">
        <v>422</v>
      </c>
      <c r="D191" s="13">
        <v>0</v>
      </c>
      <c r="F191" s="13">
        <v>1</v>
      </c>
      <c r="G191" s="23">
        <v>1</v>
      </c>
      <c r="I191" s="4">
        <v>1</v>
      </c>
      <c r="J191" s="4">
        <v>15</v>
      </c>
      <c r="K191" s="4" t="s">
        <v>415</v>
      </c>
      <c r="L191" s="4" t="s">
        <v>13</v>
      </c>
      <c r="M191" s="4">
        <v>2025</v>
      </c>
      <c r="N191" s="4">
        <v>1</v>
      </c>
      <c r="O191" s="4">
        <v>1</v>
      </c>
    </row>
    <row r="192" spans="1:16">
      <c r="A192" s="4" t="s">
        <v>420</v>
      </c>
      <c r="B192" s="4" t="s">
        <v>423</v>
      </c>
      <c r="C192" s="9" t="s">
        <v>424</v>
      </c>
      <c r="D192" s="13">
        <v>0</v>
      </c>
      <c r="F192" s="13">
        <v>1</v>
      </c>
      <c r="G192" s="23">
        <v>0</v>
      </c>
      <c r="I192" s="4">
        <v>2</v>
      </c>
      <c r="J192" s="4">
        <v>15</v>
      </c>
      <c r="K192" s="4" t="s">
        <v>415</v>
      </c>
      <c r="L192" s="4" t="s">
        <v>13</v>
      </c>
      <c r="M192" s="4">
        <v>2025</v>
      </c>
      <c r="N192" s="4">
        <v>1</v>
      </c>
      <c r="O192" s="4">
        <v>1</v>
      </c>
    </row>
    <row r="193" spans="1:15">
      <c r="A193" s="4" t="s">
        <v>420</v>
      </c>
      <c r="B193" s="4" t="s">
        <v>425</v>
      </c>
      <c r="C193" s="9" t="s">
        <v>426</v>
      </c>
      <c r="D193" s="13">
        <v>1</v>
      </c>
      <c r="E193" s="13" t="s">
        <v>399</v>
      </c>
      <c r="F193" s="13">
        <v>1</v>
      </c>
      <c r="G193" s="23">
        <v>1</v>
      </c>
      <c r="I193" s="4">
        <v>4</v>
      </c>
      <c r="J193" s="4">
        <v>15</v>
      </c>
      <c r="K193" s="4" t="s">
        <v>415</v>
      </c>
      <c r="L193" s="4" t="s">
        <v>13</v>
      </c>
      <c r="M193" s="4">
        <v>2025</v>
      </c>
      <c r="N193" s="4">
        <v>1</v>
      </c>
      <c r="O193" s="4">
        <v>1</v>
      </c>
    </row>
    <row r="194" spans="1:15">
      <c r="A194" s="4" t="s">
        <v>420</v>
      </c>
      <c r="B194" s="4" t="s">
        <v>427</v>
      </c>
      <c r="C194" s="9" t="s">
        <v>428</v>
      </c>
      <c r="D194" s="13">
        <v>1</v>
      </c>
      <c r="E194" s="13" t="s">
        <v>395</v>
      </c>
      <c r="F194" s="13">
        <v>1</v>
      </c>
      <c r="G194" s="23">
        <v>1</v>
      </c>
      <c r="I194" s="4">
        <v>5</v>
      </c>
      <c r="J194" s="4">
        <v>15</v>
      </c>
      <c r="K194" s="4" t="s">
        <v>415</v>
      </c>
      <c r="L194" s="4" t="s">
        <v>13</v>
      </c>
      <c r="M194" s="4">
        <v>2025</v>
      </c>
      <c r="N194" s="4">
        <v>1</v>
      </c>
      <c r="O194" s="4">
        <v>1</v>
      </c>
    </row>
    <row r="195" spans="1:15">
      <c r="A195" s="4" t="s">
        <v>420</v>
      </c>
      <c r="B195" s="4" t="s">
        <v>429</v>
      </c>
      <c r="C195" s="9" t="s">
        <v>430</v>
      </c>
      <c r="D195" s="13">
        <v>1</v>
      </c>
      <c r="E195" s="13" t="s">
        <v>399</v>
      </c>
      <c r="F195" s="13">
        <v>1</v>
      </c>
      <c r="G195" s="23">
        <v>1</v>
      </c>
      <c r="I195" s="4">
        <v>6</v>
      </c>
      <c r="J195" s="4">
        <v>15</v>
      </c>
      <c r="K195" s="4" t="s">
        <v>415</v>
      </c>
      <c r="L195" s="4" t="s">
        <v>13</v>
      </c>
      <c r="M195" s="4">
        <v>2025</v>
      </c>
      <c r="N195" s="4">
        <v>1</v>
      </c>
      <c r="O195" s="4">
        <v>1</v>
      </c>
    </row>
    <row r="196" spans="1:15">
      <c r="A196" s="4" t="s">
        <v>420</v>
      </c>
      <c r="B196" s="4" t="s">
        <v>431</v>
      </c>
      <c r="C196" s="9" t="s">
        <v>432</v>
      </c>
      <c r="D196" s="13">
        <v>1</v>
      </c>
      <c r="E196" s="13" t="s">
        <v>395</v>
      </c>
      <c r="F196" s="13">
        <v>1</v>
      </c>
      <c r="G196" s="23">
        <v>1</v>
      </c>
      <c r="I196" s="4">
        <v>7</v>
      </c>
      <c r="J196" s="4">
        <v>15</v>
      </c>
      <c r="K196" s="4" t="s">
        <v>415</v>
      </c>
      <c r="L196" s="4" t="s">
        <v>13</v>
      </c>
      <c r="M196" s="4">
        <v>2025</v>
      </c>
      <c r="N196" s="4">
        <v>1</v>
      </c>
      <c r="O196" s="4">
        <v>1</v>
      </c>
    </row>
    <row r="197" spans="1:15">
      <c r="A197" s="4" t="s">
        <v>420</v>
      </c>
      <c r="B197" s="4" t="s">
        <v>433</v>
      </c>
      <c r="C197" s="9" t="s">
        <v>434</v>
      </c>
      <c r="D197" s="13">
        <v>1</v>
      </c>
      <c r="E197" s="13" t="s">
        <v>395</v>
      </c>
      <c r="F197" s="13">
        <v>1</v>
      </c>
      <c r="G197" s="23">
        <v>1</v>
      </c>
      <c r="I197" s="4">
        <v>8</v>
      </c>
      <c r="J197" s="4">
        <v>15</v>
      </c>
      <c r="K197" s="4" t="s">
        <v>415</v>
      </c>
      <c r="L197" s="4" t="s">
        <v>13</v>
      </c>
      <c r="M197" s="4">
        <v>2025</v>
      </c>
      <c r="N197" s="4">
        <v>1</v>
      </c>
      <c r="O197" s="4">
        <v>1</v>
      </c>
    </row>
    <row r="198" spans="1:15">
      <c r="A198" s="4" t="s">
        <v>420</v>
      </c>
      <c r="B198" s="4" t="s">
        <v>435</v>
      </c>
      <c r="C198" s="9" t="s">
        <v>436</v>
      </c>
      <c r="D198" s="13">
        <v>1</v>
      </c>
      <c r="E198" s="13" t="s">
        <v>395</v>
      </c>
      <c r="F198" s="13">
        <v>1</v>
      </c>
      <c r="G198" s="23">
        <v>1</v>
      </c>
      <c r="I198" s="4">
        <v>9</v>
      </c>
      <c r="J198" s="4">
        <v>15</v>
      </c>
      <c r="K198" s="4" t="s">
        <v>415</v>
      </c>
      <c r="L198" s="4" t="s">
        <v>13</v>
      </c>
      <c r="M198" s="4">
        <v>2025</v>
      </c>
      <c r="N198" s="4">
        <v>1</v>
      </c>
      <c r="O198" s="4">
        <v>1</v>
      </c>
    </row>
    <row r="199" spans="1:15">
      <c r="A199" s="4" t="s">
        <v>420</v>
      </c>
      <c r="B199" s="4" t="s">
        <v>437</v>
      </c>
      <c r="C199" s="9" t="s">
        <v>438</v>
      </c>
      <c r="D199" s="13">
        <v>1</v>
      </c>
      <c r="E199" s="13" t="s">
        <v>399</v>
      </c>
      <c r="F199" s="13">
        <v>1</v>
      </c>
      <c r="G199" s="23">
        <v>1</v>
      </c>
      <c r="I199" s="4">
        <v>10</v>
      </c>
      <c r="J199" s="4">
        <v>15</v>
      </c>
      <c r="K199" s="4" t="s">
        <v>415</v>
      </c>
      <c r="L199" s="4" t="s">
        <v>13</v>
      </c>
      <c r="M199" s="4">
        <v>2025</v>
      </c>
      <c r="N199" s="4">
        <v>1</v>
      </c>
      <c r="O199" s="4">
        <v>1</v>
      </c>
    </row>
    <row r="200" spans="1:15">
      <c r="A200" s="4" t="s">
        <v>420</v>
      </c>
      <c r="B200" s="4" t="s">
        <v>439</v>
      </c>
      <c r="C200" s="9" t="s">
        <v>440</v>
      </c>
      <c r="D200" s="13">
        <v>1</v>
      </c>
      <c r="E200" s="13" t="s">
        <v>395</v>
      </c>
      <c r="F200" s="13">
        <v>1</v>
      </c>
      <c r="G200" s="23">
        <v>1</v>
      </c>
      <c r="I200" s="4">
        <v>11</v>
      </c>
      <c r="J200" s="4">
        <v>15</v>
      </c>
      <c r="K200" s="4" t="s">
        <v>415</v>
      </c>
      <c r="L200" s="4" t="s">
        <v>13</v>
      </c>
      <c r="M200" s="4">
        <v>2025</v>
      </c>
      <c r="N200" s="4">
        <v>1</v>
      </c>
      <c r="O200" s="4">
        <v>1</v>
      </c>
    </row>
    <row r="201" spans="1:15">
      <c r="A201" s="4" t="s">
        <v>420</v>
      </c>
      <c r="B201" s="4" t="s">
        <v>441</v>
      </c>
      <c r="C201" s="9" t="s">
        <v>442</v>
      </c>
      <c r="D201" s="13">
        <v>1</v>
      </c>
      <c r="E201" s="13" t="s">
        <v>443</v>
      </c>
      <c r="F201" s="13">
        <v>1</v>
      </c>
      <c r="G201" s="23">
        <v>1</v>
      </c>
      <c r="I201" s="4">
        <v>12</v>
      </c>
      <c r="J201" s="4">
        <v>15</v>
      </c>
      <c r="K201" s="4" t="s">
        <v>415</v>
      </c>
      <c r="L201" s="4" t="s">
        <v>13</v>
      </c>
      <c r="M201" s="4">
        <v>2025</v>
      </c>
      <c r="N201" s="4">
        <v>1</v>
      </c>
      <c r="O201" s="4">
        <v>1</v>
      </c>
    </row>
    <row r="202" spans="1:15">
      <c r="A202" s="4" t="s">
        <v>420</v>
      </c>
      <c r="B202" s="4" t="s">
        <v>444</v>
      </c>
      <c r="C202" s="9" t="s">
        <v>445</v>
      </c>
      <c r="D202" s="13">
        <v>1</v>
      </c>
      <c r="E202" s="13" t="s">
        <v>395</v>
      </c>
      <c r="F202" s="13">
        <v>1</v>
      </c>
      <c r="G202" s="23">
        <v>1</v>
      </c>
      <c r="I202" s="4">
        <v>13</v>
      </c>
      <c r="J202" s="4">
        <v>15</v>
      </c>
      <c r="K202" s="4" t="s">
        <v>415</v>
      </c>
      <c r="L202" s="4" t="s">
        <v>13</v>
      </c>
      <c r="M202" s="4">
        <v>2025</v>
      </c>
      <c r="N202" s="4">
        <v>1</v>
      </c>
      <c r="O202" s="4">
        <v>1</v>
      </c>
    </row>
    <row r="203" spans="1:15">
      <c r="A203" s="4" t="s">
        <v>420</v>
      </c>
      <c r="B203" s="4" t="s">
        <v>446</v>
      </c>
      <c r="C203" s="9" t="s">
        <v>447</v>
      </c>
      <c r="D203" s="13">
        <v>1</v>
      </c>
      <c r="E203" s="13" t="s">
        <v>399</v>
      </c>
      <c r="F203" s="13">
        <v>1</v>
      </c>
      <c r="G203" s="23">
        <v>1</v>
      </c>
      <c r="I203" s="4">
        <v>14</v>
      </c>
      <c r="J203" s="4">
        <v>15</v>
      </c>
      <c r="K203" s="4" t="s">
        <v>415</v>
      </c>
      <c r="L203" s="4" t="s">
        <v>13</v>
      </c>
      <c r="M203" s="4">
        <v>2025</v>
      </c>
      <c r="N203" s="4">
        <v>1</v>
      </c>
      <c r="O203" s="4">
        <v>1</v>
      </c>
    </row>
    <row r="204" spans="1:15">
      <c r="A204" s="4" t="s">
        <v>420</v>
      </c>
      <c r="B204" s="4" t="s">
        <v>448</v>
      </c>
      <c r="C204" s="9" t="s">
        <v>449</v>
      </c>
      <c r="D204" s="13">
        <v>1</v>
      </c>
      <c r="E204" s="13" t="s">
        <v>395</v>
      </c>
      <c r="F204" s="13">
        <v>1</v>
      </c>
      <c r="G204" s="23">
        <v>1</v>
      </c>
      <c r="I204" s="4">
        <v>15</v>
      </c>
      <c r="J204" s="4">
        <v>15</v>
      </c>
      <c r="K204" s="4" t="s">
        <v>415</v>
      </c>
      <c r="L204" s="4" t="s">
        <v>13</v>
      </c>
      <c r="M204" s="4">
        <v>2025</v>
      </c>
      <c r="N204" s="4">
        <v>1</v>
      </c>
      <c r="O204" s="4">
        <v>1</v>
      </c>
    </row>
    <row r="205" spans="1:15">
      <c r="A205" s="4" t="s">
        <v>450</v>
      </c>
      <c r="B205" s="4" t="s">
        <v>452</v>
      </c>
      <c r="C205" s="9" t="s">
        <v>453</v>
      </c>
      <c r="D205" s="13">
        <v>0</v>
      </c>
      <c r="F205" s="13">
        <v>1</v>
      </c>
      <c r="G205" s="23">
        <v>1</v>
      </c>
      <c r="I205" s="4">
        <v>2</v>
      </c>
      <c r="J205" s="4">
        <v>7</v>
      </c>
      <c r="K205" s="4" t="s">
        <v>451</v>
      </c>
      <c r="L205" s="4" t="s">
        <v>13</v>
      </c>
      <c r="M205" s="4">
        <v>2019</v>
      </c>
      <c r="N205" s="4">
        <v>1</v>
      </c>
      <c r="O205" s="4">
        <v>1</v>
      </c>
    </row>
    <row r="206" spans="1:15">
      <c r="A206" s="4" t="s">
        <v>450</v>
      </c>
      <c r="B206" s="4" t="s">
        <v>454</v>
      </c>
      <c r="C206" s="9" t="s">
        <v>455</v>
      </c>
      <c r="D206" s="13">
        <v>1</v>
      </c>
      <c r="E206" s="13" t="s">
        <v>397</v>
      </c>
      <c r="F206" s="13">
        <v>1</v>
      </c>
      <c r="G206" s="23">
        <v>1</v>
      </c>
      <c r="I206" s="4">
        <v>5</v>
      </c>
      <c r="J206" s="4">
        <v>7</v>
      </c>
      <c r="K206" s="4" t="s">
        <v>451</v>
      </c>
      <c r="L206" s="4" t="s">
        <v>13</v>
      </c>
      <c r="M206" s="4">
        <v>2019</v>
      </c>
      <c r="N206" s="4">
        <v>1</v>
      </c>
      <c r="O206" s="4">
        <v>1</v>
      </c>
    </row>
    <row r="207" spans="1:15">
      <c r="A207" s="4" t="s">
        <v>450</v>
      </c>
      <c r="B207" s="4" t="s">
        <v>456</v>
      </c>
      <c r="C207" s="9" t="s">
        <v>457</v>
      </c>
      <c r="D207" s="13">
        <v>1</v>
      </c>
      <c r="E207" s="13" t="s">
        <v>399</v>
      </c>
      <c r="F207" s="13">
        <v>1</v>
      </c>
      <c r="G207" s="23">
        <v>0</v>
      </c>
      <c r="I207" s="4">
        <v>7</v>
      </c>
      <c r="J207" s="4">
        <v>7</v>
      </c>
      <c r="K207" s="4" t="s">
        <v>451</v>
      </c>
      <c r="L207" s="4" t="s">
        <v>13</v>
      </c>
      <c r="M207" s="4">
        <v>2019</v>
      </c>
      <c r="N207" s="4">
        <v>1</v>
      </c>
      <c r="O207" s="4">
        <v>1</v>
      </c>
    </row>
    <row r="208" spans="1:15">
      <c r="A208" s="4" t="s">
        <v>458</v>
      </c>
      <c r="B208" s="4" t="s">
        <v>459</v>
      </c>
      <c r="C208" s="9" t="s">
        <v>460</v>
      </c>
      <c r="D208" s="13">
        <v>1</v>
      </c>
      <c r="E208" s="13" t="s">
        <v>399</v>
      </c>
      <c r="F208" s="13">
        <v>1</v>
      </c>
      <c r="G208" s="23">
        <v>0</v>
      </c>
      <c r="I208" s="4">
        <v>4</v>
      </c>
      <c r="J208" s="4">
        <v>5</v>
      </c>
      <c r="K208" s="4" t="s">
        <v>451</v>
      </c>
      <c r="L208" s="4" t="s">
        <v>13</v>
      </c>
      <c r="M208" s="4">
        <v>2020</v>
      </c>
      <c r="N208" s="4">
        <v>1</v>
      </c>
      <c r="O208" s="4">
        <v>1</v>
      </c>
    </row>
    <row r="209" spans="1:15">
      <c r="A209" s="4" t="s">
        <v>458</v>
      </c>
      <c r="B209" s="4" t="s">
        <v>461</v>
      </c>
      <c r="C209" s="9" t="s">
        <v>462</v>
      </c>
      <c r="D209" s="13">
        <v>1</v>
      </c>
      <c r="E209" s="13" t="s">
        <v>399</v>
      </c>
      <c r="F209" s="13">
        <v>1</v>
      </c>
      <c r="G209" s="23">
        <v>0</v>
      </c>
      <c r="I209" s="4">
        <v>5</v>
      </c>
      <c r="J209" s="4">
        <v>5</v>
      </c>
      <c r="K209" s="4" t="s">
        <v>451</v>
      </c>
      <c r="L209" s="4" t="s">
        <v>13</v>
      </c>
      <c r="M209" s="4">
        <v>2020</v>
      </c>
      <c r="N209" s="4">
        <v>1</v>
      </c>
      <c r="O209" s="4">
        <v>1</v>
      </c>
    </row>
    <row r="210" spans="1:15">
      <c r="A210" s="4" t="s">
        <v>463</v>
      </c>
      <c r="B210" s="4" t="s">
        <v>464</v>
      </c>
      <c r="C210" s="9" t="s">
        <v>465</v>
      </c>
      <c r="D210" s="13">
        <v>1</v>
      </c>
      <c r="E210" s="13" t="s">
        <v>399</v>
      </c>
      <c r="F210" s="13">
        <v>1</v>
      </c>
      <c r="G210" s="23">
        <v>1</v>
      </c>
      <c r="I210" s="4">
        <v>2</v>
      </c>
      <c r="J210" s="4">
        <v>8</v>
      </c>
      <c r="K210" s="4" t="s">
        <v>451</v>
      </c>
      <c r="L210" s="4" t="s">
        <v>13</v>
      </c>
      <c r="M210" s="4">
        <v>2021</v>
      </c>
      <c r="N210" s="4">
        <v>1</v>
      </c>
      <c r="O210" s="4">
        <v>1</v>
      </c>
    </row>
    <row r="211" spans="1:15">
      <c r="A211" s="4" t="s">
        <v>463</v>
      </c>
      <c r="B211" s="4" t="s">
        <v>466</v>
      </c>
      <c r="C211" s="9" t="s">
        <v>467</v>
      </c>
      <c r="D211" s="13">
        <v>1</v>
      </c>
      <c r="E211" s="13" t="s">
        <v>399</v>
      </c>
      <c r="F211" s="13">
        <v>1</v>
      </c>
      <c r="G211" s="23">
        <v>0</v>
      </c>
      <c r="I211" s="4">
        <v>4</v>
      </c>
      <c r="J211" s="4">
        <v>8</v>
      </c>
      <c r="K211" s="4" t="s">
        <v>451</v>
      </c>
      <c r="L211" s="4" t="s">
        <v>13</v>
      </c>
      <c r="M211" s="4">
        <v>2021</v>
      </c>
      <c r="N211" s="4">
        <v>1</v>
      </c>
      <c r="O211" s="4">
        <v>1</v>
      </c>
    </row>
    <row r="212" spans="1:15">
      <c r="A212" s="4" t="s">
        <v>463</v>
      </c>
      <c r="B212" s="4" t="s">
        <v>468</v>
      </c>
      <c r="C212" s="9" t="s">
        <v>469</v>
      </c>
      <c r="D212" s="13">
        <v>0</v>
      </c>
      <c r="F212" s="13">
        <v>1</v>
      </c>
      <c r="G212" s="23">
        <v>0</v>
      </c>
      <c r="I212" s="4">
        <v>6</v>
      </c>
      <c r="J212" s="4">
        <v>8</v>
      </c>
      <c r="K212" s="4" t="s">
        <v>451</v>
      </c>
      <c r="L212" s="4" t="s">
        <v>13</v>
      </c>
      <c r="M212" s="4">
        <v>2021</v>
      </c>
      <c r="N212" s="4">
        <v>1</v>
      </c>
      <c r="O212" s="4">
        <v>1</v>
      </c>
    </row>
    <row r="213" spans="1:15">
      <c r="A213" s="4" t="s">
        <v>463</v>
      </c>
      <c r="B213" s="4" t="s">
        <v>470</v>
      </c>
      <c r="C213" s="9" t="s">
        <v>471</v>
      </c>
      <c r="D213" s="13">
        <v>1</v>
      </c>
      <c r="E213" s="13" t="s">
        <v>397</v>
      </c>
      <c r="F213" s="13">
        <v>1</v>
      </c>
      <c r="G213" s="23">
        <v>0</v>
      </c>
      <c r="I213" s="4">
        <v>7</v>
      </c>
      <c r="J213" s="4">
        <v>8</v>
      </c>
      <c r="K213" s="4" t="s">
        <v>451</v>
      </c>
      <c r="L213" s="4" t="s">
        <v>13</v>
      </c>
      <c r="M213" s="4">
        <v>2021</v>
      </c>
      <c r="N213" s="4">
        <v>1</v>
      </c>
      <c r="O213" s="4">
        <v>1</v>
      </c>
    </row>
    <row r="214" spans="1:15">
      <c r="A214" s="4" t="s">
        <v>478</v>
      </c>
      <c r="B214" s="4" t="s">
        <v>479</v>
      </c>
      <c r="C214" t="s">
        <v>480</v>
      </c>
      <c r="F214" s="13">
        <v>1</v>
      </c>
      <c r="G214" s="23">
        <v>0</v>
      </c>
      <c r="I214" s="4">
        <v>1</v>
      </c>
      <c r="J214" s="4">
        <v>8</v>
      </c>
      <c r="K214" s="4" t="s">
        <v>451</v>
      </c>
      <c r="L214" s="4" t="s">
        <v>13</v>
      </c>
      <c r="M214" s="4">
        <v>2022</v>
      </c>
      <c r="N214" s="4">
        <v>1</v>
      </c>
      <c r="O214" s="4">
        <v>1</v>
      </c>
    </row>
    <row r="215" spans="1:15">
      <c r="A215" s="4" t="s">
        <v>478</v>
      </c>
      <c r="B215" s="4" t="s">
        <v>481</v>
      </c>
      <c r="C215" s="9" t="s">
        <v>482</v>
      </c>
      <c r="F215" s="13">
        <v>1</v>
      </c>
      <c r="G215" s="23">
        <v>1</v>
      </c>
      <c r="I215" s="4">
        <v>2</v>
      </c>
      <c r="J215" s="4">
        <v>8</v>
      </c>
      <c r="K215" s="4" t="s">
        <v>451</v>
      </c>
      <c r="L215" s="4" t="s">
        <v>13</v>
      </c>
      <c r="M215" s="4">
        <v>2022</v>
      </c>
      <c r="N215" s="4">
        <v>1</v>
      </c>
      <c r="O215" s="4">
        <v>1</v>
      </c>
    </row>
    <row r="216" spans="1:15">
      <c r="A216" s="4" t="s">
        <v>478</v>
      </c>
      <c r="B216" s="4" t="s">
        <v>485</v>
      </c>
      <c r="C216" s="9" t="s">
        <v>483</v>
      </c>
      <c r="F216" s="13">
        <v>1</v>
      </c>
      <c r="G216" s="23">
        <v>0</v>
      </c>
      <c r="I216" s="4">
        <v>5</v>
      </c>
      <c r="J216" s="4">
        <v>8</v>
      </c>
      <c r="K216" s="4" t="s">
        <v>451</v>
      </c>
      <c r="L216" s="4" t="s">
        <v>13</v>
      </c>
      <c r="M216" s="4">
        <v>2022</v>
      </c>
      <c r="N216" s="4">
        <v>1</v>
      </c>
      <c r="O216" s="4">
        <v>1</v>
      </c>
    </row>
    <row r="217" spans="1:15">
      <c r="A217" s="4" t="s">
        <v>478</v>
      </c>
      <c r="B217" s="4" t="s">
        <v>486</v>
      </c>
      <c r="C217" s="9" t="s">
        <v>484</v>
      </c>
      <c r="F217" s="13">
        <v>1</v>
      </c>
      <c r="G217" s="23">
        <v>0</v>
      </c>
      <c r="I217" s="4">
        <v>7</v>
      </c>
      <c r="J217" s="4">
        <v>8</v>
      </c>
      <c r="K217" s="4" t="s">
        <v>451</v>
      </c>
      <c r="L217" s="4" t="s">
        <v>13</v>
      </c>
      <c r="M217" s="4">
        <v>2022</v>
      </c>
      <c r="N217" s="4">
        <v>1</v>
      </c>
      <c r="O217" s="4">
        <v>1</v>
      </c>
    </row>
    <row r="218" spans="1:15">
      <c r="A218" s="4" t="s">
        <v>487</v>
      </c>
      <c r="B218" s="4" t="s">
        <v>492</v>
      </c>
      <c r="C218" s="9" t="s">
        <v>488</v>
      </c>
      <c r="F218" s="13">
        <v>1</v>
      </c>
      <c r="G218" s="23">
        <v>0</v>
      </c>
      <c r="I218" s="4">
        <v>3</v>
      </c>
      <c r="J218" s="4">
        <v>10</v>
      </c>
      <c r="K218" s="4" t="s">
        <v>451</v>
      </c>
      <c r="L218" s="4" t="s">
        <v>13</v>
      </c>
      <c r="M218" s="4">
        <v>2023</v>
      </c>
      <c r="N218" s="4">
        <v>1</v>
      </c>
      <c r="O218" s="4">
        <v>1</v>
      </c>
    </row>
    <row r="219" spans="1:15">
      <c r="A219" s="4" t="s">
        <v>487</v>
      </c>
      <c r="B219" s="4" t="s">
        <v>493</v>
      </c>
      <c r="C219" s="9" t="s">
        <v>489</v>
      </c>
      <c r="F219" s="13">
        <v>1</v>
      </c>
      <c r="G219" s="23">
        <v>0</v>
      </c>
      <c r="I219" s="4">
        <v>4</v>
      </c>
      <c r="J219" s="4">
        <v>10</v>
      </c>
      <c r="K219" s="4" t="s">
        <v>451</v>
      </c>
      <c r="L219" s="4" t="s">
        <v>13</v>
      </c>
      <c r="M219" s="4">
        <v>2023</v>
      </c>
      <c r="N219" s="4">
        <v>1</v>
      </c>
      <c r="O219" s="4">
        <v>1</v>
      </c>
    </row>
    <row r="220" spans="1:15">
      <c r="A220" s="4" t="s">
        <v>487</v>
      </c>
      <c r="B220" s="4" t="s">
        <v>494</v>
      </c>
      <c r="C220" s="9" t="s">
        <v>490</v>
      </c>
      <c r="F220" s="13">
        <v>1</v>
      </c>
      <c r="G220" s="23">
        <v>1</v>
      </c>
      <c r="I220" s="4">
        <v>5</v>
      </c>
      <c r="J220" s="4">
        <v>10</v>
      </c>
      <c r="K220" s="4" t="s">
        <v>451</v>
      </c>
      <c r="L220" s="4" t="s">
        <v>13</v>
      </c>
      <c r="M220" s="4">
        <v>2023</v>
      </c>
      <c r="N220" s="4">
        <v>1</v>
      </c>
      <c r="O220" s="4">
        <v>1</v>
      </c>
    </row>
    <row r="221" spans="1:15">
      <c r="A221" s="4" t="s">
        <v>487</v>
      </c>
      <c r="B221" s="4" t="s">
        <v>495</v>
      </c>
      <c r="C221" s="9" t="s">
        <v>491</v>
      </c>
      <c r="F221" s="13">
        <v>1</v>
      </c>
      <c r="G221" s="23">
        <v>0</v>
      </c>
      <c r="I221" s="4">
        <v>10</v>
      </c>
      <c r="J221" s="4">
        <v>10</v>
      </c>
      <c r="K221" s="4" t="s">
        <v>451</v>
      </c>
      <c r="L221" s="4" t="s">
        <v>13</v>
      </c>
      <c r="M221" s="4">
        <v>2023</v>
      </c>
      <c r="N221" s="4">
        <v>1</v>
      </c>
      <c r="O221" s="4">
        <v>1</v>
      </c>
    </row>
    <row r="222" spans="1:15">
      <c r="A222" s="4" t="s">
        <v>496</v>
      </c>
      <c r="B222" s="4" t="s">
        <v>506</v>
      </c>
      <c r="C222" s="9" t="s">
        <v>497</v>
      </c>
      <c r="F222" s="13">
        <v>1</v>
      </c>
      <c r="G222" s="23">
        <v>1</v>
      </c>
      <c r="I222" s="4">
        <v>2</v>
      </c>
      <c r="J222" s="4">
        <v>11</v>
      </c>
      <c r="K222" s="4" t="s">
        <v>451</v>
      </c>
      <c r="L222" s="4" t="s">
        <v>13</v>
      </c>
      <c r="M222" s="4">
        <v>2024</v>
      </c>
      <c r="N222" s="4">
        <v>1</v>
      </c>
      <c r="O222" s="4">
        <v>1</v>
      </c>
    </row>
    <row r="223" spans="1:15">
      <c r="A223" s="4" t="s">
        <v>496</v>
      </c>
      <c r="B223" s="4" t="s">
        <v>507</v>
      </c>
      <c r="C223" s="9" t="s">
        <v>498</v>
      </c>
      <c r="F223" s="13">
        <v>1</v>
      </c>
      <c r="G223" s="23">
        <v>1</v>
      </c>
      <c r="I223" s="4">
        <v>3</v>
      </c>
      <c r="J223" s="4">
        <v>11</v>
      </c>
      <c r="K223" s="4" t="s">
        <v>451</v>
      </c>
      <c r="L223" s="4" t="s">
        <v>13</v>
      </c>
      <c r="M223" s="4">
        <v>2024</v>
      </c>
      <c r="N223" s="4">
        <v>1</v>
      </c>
      <c r="O223" s="4">
        <v>1</v>
      </c>
    </row>
    <row r="224" spans="1:15">
      <c r="A224" s="4" t="s">
        <v>496</v>
      </c>
      <c r="B224" s="4" t="s">
        <v>508</v>
      </c>
      <c r="C224" s="9" t="s">
        <v>499</v>
      </c>
      <c r="F224" s="13">
        <v>1</v>
      </c>
      <c r="G224" s="23">
        <v>0</v>
      </c>
      <c r="I224" s="4">
        <v>4</v>
      </c>
      <c r="J224" s="4">
        <v>11</v>
      </c>
      <c r="K224" s="4" t="s">
        <v>451</v>
      </c>
      <c r="L224" s="4" t="s">
        <v>13</v>
      </c>
      <c r="M224" s="4">
        <v>2024</v>
      </c>
      <c r="N224" s="4">
        <v>1</v>
      </c>
      <c r="O224" s="4">
        <v>1</v>
      </c>
    </row>
    <row r="225" spans="1:15">
      <c r="A225" s="4" t="s">
        <v>496</v>
      </c>
      <c r="B225" s="4" t="s">
        <v>509</v>
      </c>
      <c r="C225" s="9" t="s">
        <v>500</v>
      </c>
      <c r="F225" s="13">
        <v>1</v>
      </c>
      <c r="G225" s="23">
        <v>0</v>
      </c>
      <c r="I225" s="4">
        <v>5</v>
      </c>
      <c r="J225" s="4">
        <v>11</v>
      </c>
      <c r="K225" s="4" t="s">
        <v>451</v>
      </c>
      <c r="L225" s="4" t="s">
        <v>13</v>
      </c>
      <c r="M225" s="4">
        <v>2024</v>
      </c>
      <c r="N225" s="4">
        <v>1</v>
      </c>
      <c r="O225" s="4">
        <v>1</v>
      </c>
    </row>
    <row r="226" spans="1:15">
      <c r="A226" s="4" t="s">
        <v>496</v>
      </c>
      <c r="B226" s="4" t="s">
        <v>510</v>
      </c>
      <c r="C226" s="9" t="s">
        <v>501</v>
      </c>
      <c r="F226" s="13">
        <v>1</v>
      </c>
      <c r="G226" s="23">
        <v>1</v>
      </c>
      <c r="I226" s="4">
        <v>6</v>
      </c>
      <c r="J226" s="4">
        <v>11</v>
      </c>
      <c r="K226" s="4" t="s">
        <v>451</v>
      </c>
      <c r="L226" s="4" t="s">
        <v>13</v>
      </c>
      <c r="M226" s="4">
        <v>2024</v>
      </c>
      <c r="N226" s="4">
        <v>1</v>
      </c>
      <c r="O226" s="4">
        <v>1</v>
      </c>
    </row>
    <row r="227" spans="1:15">
      <c r="A227" s="4" t="s">
        <v>496</v>
      </c>
      <c r="B227" s="4" t="s">
        <v>511</v>
      </c>
      <c r="C227" s="9" t="s">
        <v>502</v>
      </c>
      <c r="F227" s="13">
        <v>1</v>
      </c>
      <c r="G227" s="23">
        <v>1</v>
      </c>
      <c r="I227" s="4">
        <v>7</v>
      </c>
      <c r="J227" s="4">
        <v>11</v>
      </c>
      <c r="K227" s="4" t="s">
        <v>451</v>
      </c>
      <c r="L227" s="4" t="s">
        <v>13</v>
      </c>
      <c r="M227" s="4">
        <v>2024</v>
      </c>
      <c r="N227" s="4">
        <v>1</v>
      </c>
      <c r="O227" s="4">
        <v>1</v>
      </c>
    </row>
    <row r="228" spans="1:15">
      <c r="A228" s="4" t="s">
        <v>496</v>
      </c>
      <c r="B228" s="4" t="s">
        <v>512</v>
      </c>
      <c r="C228" s="9" t="s">
        <v>503</v>
      </c>
      <c r="F228" s="13">
        <v>1</v>
      </c>
      <c r="G228" s="23">
        <v>1</v>
      </c>
      <c r="I228" s="4">
        <v>9</v>
      </c>
      <c r="J228" s="4">
        <v>11</v>
      </c>
      <c r="K228" s="4" t="s">
        <v>451</v>
      </c>
      <c r="L228" s="4" t="s">
        <v>13</v>
      </c>
      <c r="M228" s="4">
        <v>2024</v>
      </c>
      <c r="N228" s="4">
        <v>1</v>
      </c>
      <c r="O228" s="4">
        <v>1</v>
      </c>
    </row>
    <row r="229" spans="1:15">
      <c r="A229" s="4" t="s">
        <v>496</v>
      </c>
      <c r="B229" s="4" t="s">
        <v>513</v>
      </c>
      <c r="C229" s="9" t="s">
        <v>504</v>
      </c>
      <c r="F229" s="13">
        <v>1</v>
      </c>
      <c r="G229" s="23">
        <v>1</v>
      </c>
      <c r="I229" s="4">
        <v>10</v>
      </c>
      <c r="J229" s="4">
        <v>11</v>
      </c>
      <c r="K229" s="4" t="s">
        <v>451</v>
      </c>
      <c r="L229" s="4" t="s">
        <v>13</v>
      </c>
      <c r="M229" s="4">
        <v>2024</v>
      </c>
      <c r="N229" s="4">
        <v>1</v>
      </c>
      <c r="O229" s="4">
        <v>1</v>
      </c>
    </row>
    <row r="230" spans="1:15">
      <c r="A230" s="4" t="s">
        <v>496</v>
      </c>
      <c r="B230" s="4" t="s">
        <v>514</v>
      </c>
      <c r="C230" s="9" t="s">
        <v>505</v>
      </c>
      <c r="F230" s="13">
        <v>1</v>
      </c>
      <c r="G230" s="23">
        <v>0</v>
      </c>
      <c r="I230" s="4">
        <v>11</v>
      </c>
      <c r="J230" s="4">
        <v>11</v>
      </c>
      <c r="K230" s="4" t="s">
        <v>451</v>
      </c>
      <c r="L230" s="4" t="s">
        <v>13</v>
      </c>
      <c r="M230" s="4">
        <v>2024</v>
      </c>
      <c r="N230" s="4">
        <v>1</v>
      </c>
      <c r="O230" s="4">
        <v>1</v>
      </c>
    </row>
    <row r="231" spans="1:15">
      <c r="A231" s="4" t="s">
        <v>516</v>
      </c>
      <c r="B231" s="4" t="s">
        <v>515</v>
      </c>
      <c r="C231" s="9" t="s">
        <v>517</v>
      </c>
      <c r="F231" s="13">
        <v>1</v>
      </c>
      <c r="G231" s="23">
        <v>1</v>
      </c>
      <c r="I231" s="4">
        <v>1</v>
      </c>
      <c r="J231" s="4">
        <v>10</v>
      </c>
      <c r="K231" s="4" t="s">
        <v>451</v>
      </c>
      <c r="L231" s="4" t="s">
        <v>13</v>
      </c>
      <c r="M231" s="4">
        <v>2025</v>
      </c>
      <c r="N231" s="4">
        <v>1</v>
      </c>
      <c r="O231" s="4">
        <v>1</v>
      </c>
    </row>
    <row r="232" spans="1:15">
      <c r="A232" s="4" t="s">
        <v>516</v>
      </c>
      <c r="B232" s="4" t="s">
        <v>518</v>
      </c>
      <c r="C232" s="9" t="s">
        <v>519</v>
      </c>
      <c r="F232" s="13">
        <v>1</v>
      </c>
      <c r="G232" s="23">
        <v>1</v>
      </c>
      <c r="I232" s="4">
        <v>2</v>
      </c>
      <c r="J232" s="4">
        <v>10</v>
      </c>
      <c r="K232" s="4" t="s">
        <v>451</v>
      </c>
      <c r="L232" s="4" t="s">
        <v>13</v>
      </c>
      <c r="M232" s="4">
        <v>2025</v>
      </c>
      <c r="N232" s="4">
        <v>1</v>
      </c>
      <c r="O232" s="4">
        <v>1</v>
      </c>
    </row>
    <row r="233" spans="1:15">
      <c r="A233" s="4" t="s">
        <v>516</v>
      </c>
      <c r="B233" s="4" t="s">
        <v>525</v>
      </c>
      <c r="C233" s="9" t="s">
        <v>520</v>
      </c>
      <c r="F233" s="13">
        <v>1</v>
      </c>
      <c r="G233" s="23">
        <v>1</v>
      </c>
      <c r="I233" s="4">
        <v>3</v>
      </c>
      <c r="J233" s="4">
        <v>10</v>
      </c>
      <c r="K233" s="4" t="s">
        <v>451</v>
      </c>
      <c r="L233" s="4" t="s">
        <v>13</v>
      </c>
      <c r="M233" s="4">
        <v>2025</v>
      </c>
      <c r="N233" s="4">
        <v>1</v>
      </c>
      <c r="O233" s="4">
        <v>1</v>
      </c>
    </row>
    <row r="234" spans="1:15">
      <c r="A234" s="4" t="s">
        <v>516</v>
      </c>
      <c r="B234" s="4" t="s">
        <v>526</v>
      </c>
      <c r="C234" s="9" t="s">
        <v>521</v>
      </c>
      <c r="F234" s="13">
        <v>1</v>
      </c>
      <c r="G234" s="23">
        <v>1</v>
      </c>
      <c r="I234" s="4">
        <v>4</v>
      </c>
      <c r="J234" s="4">
        <v>10</v>
      </c>
      <c r="K234" s="4" t="s">
        <v>451</v>
      </c>
      <c r="L234" s="4" t="s">
        <v>13</v>
      </c>
      <c r="M234" s="4">
        <v>2025</v>
      </c>
      <c r="N234" s="4">
        <v>1</v>
      </c>
      <c r="O234" s="4">
        <v>1</v>
      </c>
    </row>
    <row r="235" spans="1:15">
      <c r="A235" s="4" t="s">
        <v>516</v>
      </c>
      <c r="B235" s="4" t="s">
        <v>527</v>
      </c>
      <c r="C235" s="9" t="s">
        <v>522</v>
      </c>
      <c r="F235" s="13">
        <v>1</v>
      </c>
      <c r="G235" s="23">
        <v>0</v>
      </c>
      <c r="I235" s="4">
        <v>5</v>
      </c>
      <c r="J235" s="4">
        <v>10</v>
      </c>
      <c r="K235" s="4" t="s">
        <v>451</v>
      </c>
      <c r="L235" s="4" t="s">
        <v>13</v>
      </c>
      <c r="M235" s="4">
        <v>2025</v>
      </c>
      <c r="N235" s="4">
        <v>1</v>
      </c>
      <c r="O235" s="4">
        <v>1</v>
      </c>
    </row>
    <row r="236" spans="1:15">
      <c r="A236" s="4" t="s">
        <v>516</v>
      </c>
      <c r="B236" s="4" t="s">
        <v>528</v>
      </c>
      <c r="C236" s="9" t="s">
        <v>523</v>
      </c>
      <c r="F236" s="13">
        <v>1</v>
      </c>
      <c r="G236" s="23">
        <v>1</v>
      </c>
      <c r="I236" s="4">
        <v>6</v>
      </c>
      <c r="J236" s="4">
        <v>10</v>
      </c>
      <c r="K236" s="4" t="s">
        <v>451</v>
      </c>
      <c r="L236" s="4" t="s">
        <v>13</v>
      </c>
      <c r="M236" s="4">
        <v>2025</v>
      </c>
      <c r="N236" s="4">
        <v>1</v>
      </c>
      <c r="O236" s="4">
        <v>1</v>
      </c>
    </row>
    <row r="237" spans="1:15">
      <c r="A237" s="4" t="s">
        <v>516</v>
      </c>
      <c r="B237" s="4" t="s">
        <v>529</v>
      </c>
      <c r="C237" s="9" t="s">
        <v>524</v>
      </c>
      <c r="F237" s="13">
        <v>1</v>
      </c>
      <c r="G237" s="23">
        <v>1</v>
      </c>
      <c r="I237" s="4">
        <v>9</v>
      </c>
      <c r="J237" s="4">
        <v>10</v>
      </c>
      <c r="K237" s="4" t="s">
        <v>451</v>
      </c>
      <c r="L237" s="4" t="s">
        <v>13</v>
      </c>
      <c r="M237" s="4">
        <v>2025</v>
      </c>
      <c r="N237" s="4">
        <v>1</v>
      </c>
      <c r="O237" s="4">
        <v>1</v>
      </c>
    </row>
    <row r="238" spans="1:15">
      <c r="A238" s="4" t="s">
        <v>531</v>
      </c>
      <c r="B238" s="4" t="s">
        <v>532</v>
      </c>
      <c r="C238" s="9" t="s">
        <v>533</v>
      </c>
      <c r="F238" s="13">
        <v>1</v>
      </c>
      <c r="G238" s="23">
        <v>1</v>
      </c>
      <c r="I238" s="4">
        <v>2</v>
      </c>
      <c r="J238" s="4">
        <v>4</v>
      </c>
      <c r="K238" s="4" t="s">
        <v>538</v>
      </c>
      <c r="L238" s="4" t="s">
        <v>13</v>
      </c>
      <c r="M238" s="4">
        <v>2021</v>
      </c>
      <c r="N238" s="4">
        <v>1</v>
      </c>
      <c r="O238" s="4">
        <v>1</v>
      </c>
    </row>
    <row r="239" spans="1:15">
      <c r="A239" s="4" t="s">
        <v>531</v>
      </c>
      <c r="B239" s="4" t="s">
        <v>534</v>
      </c>
      <c r="C239" s="9" t="s">
        <v>535</v>
      </c>
      <c r="F239" s="13">
        <v>1</v>
      </c>
      <c r="G239" s="23">
        <v>0</v>
      </c>
      <c r="I239" s="4">
        <v>3</v>
      </c>
      <c r="J239" s="4">
        <v>4</v>
      </c>
      <c r="K239" s="4" t="s">
        <v>538</v>
      </c>
      <c r="L239" s="4" t="s">
        <v>13</v>
      </c>
      <c r="M239" s="4">
        <v>2021</v>
      </c>
      <c r="N239" s="4">
        <v>1</v>
      </c>
      <c r="O239" s="4">
        <v>1</v>
      </c>
    </row>
    <row r="240" spans="1:15">
      <c r="A240" s="4" t="s">
        <v>531</v>
      </c>
      <c r="B240" s="4" t="s">
        <v>536</v>
      </c>
      <c r="C240" s="9" t="s">
        <v>537</v>
      </c>
      <c r="F240" s="13">
        <v>1</v>
      </c>
      <c r="G240" s="23">
        <v>0</v>
      </c>
      <c r="I240" s="4">
        <v>4</v>
      </c>
      <c r="J240" s="4">
        <v>4</v>
      </c>
      <c r="K240" s="4" t="s">
        <v>538</v>
      </c>
      <c r="L240" s="4" t="s">
        <v>13</v>
      </c>
      <c r="M240" s="4">
        <v>2021</v>
      </c>
      <c r="N240" s="4">
        <v>1</v>
      </c>
      <c r="O240" s="4">
        <v>1</v>
      </c>
    </row>
    <row r="241" spans="1:15">
      <c r="A241" s="4" t="s">
        <v>539</v>
      </c>
      <c r="B241" s="4" t="s">
        <v>541</v>
      </c>
      <c r="C241" s="9" t="s">
        <v>540</v>
      </c>
      <c r="F241" s="13">
        <v>1</v>
      </c>
      <c r="G241" s="23">
        <v>0</v>
      </c>
      <c r="I241" s="4">
        <v>5</v>
      </c>
      <c r="J241" s="4">
        <v>7</v>
      </c>
      <c r="K241" s="4" t="s">
        <v>538</v>
      </c>
      <c r="L241" s="4" t="s">
        <v>13</v>
      </c>
      <c r="M241" s="4">
        <v>2022</v>
      </c>
      <c r="N241" s="4">
        <v>1</v>
      </c>
      <c r="O241" s="4">
        <v>1</v>
      </c>
    </row>
    <row r="242" spans="1:15">
      <c r="A242" s="4" t="s">
        <v>542</v>
      </c>
      <c r="B242" s="4" t="s">
        <v>546</v>
      </c>
      <c r="C242" s="24" t="s">
        <v>543</v>
      </c>
      <c r="F242" s="13">
        <v>1</v>
      </c>
      <c r="G242" s="23">
        <v>1</v>
      </c>
      <c r="I242" s="4">
        <v>2</v>
      </c>
      <c r="J242" s="4">
        <v>5</v>
      </c>
      <c r="K242" s="4" t="s">
        <v>538</v>
      </c>
      <c r="L242" s="4" t="s">
        <v>13</v>
      </c>
      <c r="M242" s="4">
        <v>2023</v>
      </c>
      <c r="N242" s="4">
        <v>1</v>
      </c>
      <c r="O242" s="4">
        <v>1</v>
      </c>
    </row>
    <row r="243" spans="1:15">
      <c r="A243" s="4" t="s">
        <v>542</v>
      </c>
      <c r="B243" s="4" t="s">
        <v>547</v>
      </c>
      <c r="C243" s="9" t="s">
        <v>544</v>
      </c>
      <c r="F243" s="13">
        <v>1</v>
      </c>
      <c r="G243" s="23">
        <v>0</v>
      </c>
      <c r="I243" s="4">
        <v>3</v>
      </c>
      <c r="J243" s="4">
        <v>5</v>
      </c>
      <c r="K243" s="4" t="s">
        <v>538</v>
      </c>
      <c r="L243" s="4" t="s">
        <v>13</v>
      </c>
      <c r="M243" s="4">
        <v>2023</v>
      </c>
      <c r="N243" s="4">
        <v>1</v>
      </c>
      <c r="O243" s="4">
        <v>1</v>
      </c>
    </row>
    <row r="244" spans="1:15">
      <c r="A244" s="4" t="s">
        <v>542</v>
      </c>
      <c r="B244" s="4" t="s">
        <v>548</v>
      </c>
      <c r="C244" s="9" t="s">
        <v>545</v>
      </c>
      <c r="F244" s="13">
        <v>1</v>
      </c>
      <c r="G244" s="23">
        <v>0</v>
      </c>
      <c r="I244" s="4">
        <v>4</v>
      </c>
      <c r="J244" s="4">
        <v>5</v>
      </c>
      <c r="K244" s="4" t="s">
        <v>538</v>
      </c>
      <c r="L244" s="4" t="s">
        <v>13</v>
      </c>
      <c r="M244" s="4">
        <v>2023</v>
      </c>
      <c r="N244" s="4">
        <v>1</v>
      </c>
      <c r="O244" s="4">
        <v>1</v>
      </c>
    </row>
    <row r="245" spans="1:15">
      <c r="A245" s="4" t="s">
        <v>550</v>
      </c>
      <c r="B245" s="4" t="s">
        <v>549</v>
      </c>
      <c r="C245" s="9" t="s">
        <v>551</v>
      </c>
      <c r="F245" s="13">
        <v>1</v>
      </c>
      <c r="G245" s="23">
        <v>1</v>
      </c>
      <c r="I245" s="4">
        <v>1</v>
      </c>
      <c r="J245" s="4">
        <v>5</v>
      </c>
      <c r="K245" s="4" t="s">
        <v>538</v>
      </c>
      <c r="L245" s="4" t="s">
        <v>13</v>
      </c>
      <c r="M245" s="4">
        <v>2024</v>
      </c>
      <c r="N245" s="4">
        <v>1</v>
      </c>
      <c r="O245" s="4">
        <v>1</v>
      </c>
    </row>
    <row r="246" spans="1:15">
      <c r="A246" s="4" t="s">
        <v>550</v>
      </c>
      <c r="B246" s="4" t="s">
        <v>552</v>
      </c>
      <c r="C246" s="9" t="s">
        <v>553</v>
      </c>
      <c r="F246" s="13">
        <v>1</v>
      </c>
      <c r="G246" s="23">
        <v>1</v>
      </c>
      <c r="I246" s="4">
        <v>2</v>
      </c>
      <c r="J246" s="4">
        <v>5</v>
      </c>
      <c r="K246" s="4" t="s">
        <v>538</v>
      </c>
      <c r="L246" s="4" t="s">
        <v>13</v>
      </c>
      <c r="M246" s="4">
        <v>2024</v>
      </c>
      <c r="N246" s="4">
        <v>1</v>
      </c>
      <c r="O246" s="4">
        <v>1</v>
      </c>
    </row>
    <row r="247" spans="1:15">
      <c r="A247" s="4" t="s">
        <v>550</v>
      </c>
      <c r="B247" s="4" t="s">
        <v>557</v>
      </c>
      <c r="C247" s="9" t="s">
        <v>554</v>
      </c>
      <c r="F247" s="13">
        <v>1</v>
      </c>
      <c r="G247" s="23">
        <v>1</v>
      </c>
      <c r="I247" s="4">
        <v>3</v>
      </c>
      <c r="J247" s="4">
        <v>5</v>
      </c>
      <c r="K247" s="4" t="s">
        <v>538</v>
      </c>
      <c r="L247" s="4" t="s">
        <v>13</v>
      </c>
      <c r="M247" s="4">
        <v>2024</v>
      </c>
      <c r="N247" s="4">
        <v>1</v>
      </c>
      <c r="O247" s="4">
        <v>1</v>
      </c>
    </row>
    <row r="248" spans="1:15">
      <c r="A248" s="4" t="s">
        <v>550</v>
      </c>
      <c r="B248" s="4" t="s">
        <v>558</v>
      </c>
      <c r="C248" s="9" t="s">
        <v>555</v>
      </c>
      <c r="F248" s="13">
        <v>1</v>
      </c>
      <c r="G248" s="23">
        <v>0</v>
      </c>
      <c r="I248" s="4">
        <v>4</v>
      </c>
      <c r="J248" s="4">
        <v>5</v>
      </c>
      <c r="K248" s="4" t="s">
        <v>538</v>
      </c>
      <c r="L248" s="4" t="s">
        <v>13</v>
      </c>
      <c r="M248" s="4">
        <v>2024</v>
      </c>
      <c r="N248" s="4">
        <v>1</v>
      </c>
      <c r="O248" s="4">
        <v>1</v>
      </c>
    </row>
    <row r="249" spans="1:15">
      <c r="A249" s="4" t="s">
        <v>550</v>
      </c>
      <c r="B249" s="4" t="s">
        <v>559</v>
      </c>
      <c r="C249" s="9" t="s">
        <v>556</v>
      </c>
      <c r="F249" s="13">
        <v>1</v>
      </c>
      <c r="G249" s="23">
        <v>0</v>
      </c>
      <c r="I249" s="4">
        <v>5</v>
      </c>
      <c r="J249" s="4">
        <v>5</v>
      </c>
      <c r="K249" s="4" t="s">
        <v>538</v>
      </c>
      <c r="L249" s="4" t="s">
        <v>13</v>
      </c>
      <c r="M249" s="4">
        <v>2024</v>
      </c>
      <c r="N249" s="4">
        <v>1</v>
      </c>
      <c r="O249" s="4">
        <v>1</v>
      </c>
    </row>
    <row r="250" spans="1:15">
      <c r="A250" s="4" t="s">
        <v>561</v>
      </c>
      <c r="B250" s="4" t="s">
        <v>560</v>
      </c>
      <c r="C250" s="9" t="s">
        <v>562</v>
      </c>
      <c r="F250" s="13">
        <v>1</v>
      </c>
      <c r="G250" s="23">
        <v>1</v>
      </c>
      <c r="I250" s="4">
        <v>1</v>
      </c>
      <c r="J250" s="4">
        <v>8</v>
      </c>
      <c r="K250" s="4" t="s">
        <v>538</v>
      </c>
      <c r="L250" s="4" t="s">
        <v>13</v>
      </c>
      <c r="M250" s="4">
        <v>2025</v>
      </c>
      <c r="N250" s="4">
        <v>1</v>
      </c>
      <c r="O250" s="4">
        <v>1</v>
      </c>
    </row>
    <row r="251" spans="1:15">
      <c r="A251" s="4" t="s">
        <v>561</v>
      </c>
      <c r="B251" s="4" t="s">
        <v>563</v>
      </c>
      <c r="C251" s="9" t="s">
        <v>564</v>
      </c>
      <c r="F251" s="13">
        <v>1</v>
      </c>
      <c r="G251" s="23">
        <v>1</v>
      </c>
      <c r="I251" s="4">
        <v>2</v>
      </c>
      <c r="J251" s="4">
        <v>8</v>
      </c>
      <c r="K251" s="4" t="s">
        <v>538</v>
      </c>
      <c r="L251" s="4" t="s">
        <v>13</v>
      </c>
      <c r="M251" s="4">
        <v>2025</v>
      </c>
      <c r="N251" s="4">
        <v>1</v>
      </c>
      <c r="O251" s="4">
        <v>1</v>
      </c>
    </row>
    <row r="252" spans="1:15">
      <c r="A252" s="4" t="s">
        <v>561</v>
      </c>
      <c r="B252" s="4" t="s">
        <v>569</v>
      </c>
      <c r="C252" s="9" t="s">
        <v>565</v>
      </c>
      <c r="F252" s="13">
        <v>1</v>
      </c>
      <c r="G252" s="23">
        <v>1</v>
      </c>
      <c r="I252" s="4">
        <v>3</v>
      </c>
      <c r="J252" s="4">
        <v>8</v>
      </c>
      <c r="K252" s="4" t="s">
        <v>538</v>
      </c>
      <c r="L252" s="4" t="s">
        <v>13</v>
      </c>
      <c r="M252" s="4">
        <v>2025</v>
      </c>
      <c r="N252" s="4">
        <v>1</v>
      </c>
      <c r="O252" s="4">
        <v>1</v>
      </c>
    </row>
    <row r="253" spans="1:15">
      <c r="A253" s="4" t="s">
        <v>561</v>
      </c>
      <c r="B253" s="4" t="s">
        <v>570</v>
      </c>
      <c r="C253" s="9" t="s">
        <v>566</v>
      </c>
      <c r="F253" s="13">
        <v>1</v>
      </c>
      <c r="G253" s="23">
        <v>1</v>
      </c>
      <c r="I253" s="4">
        <v>4</v>
      </c>
      <c r="J253" s="4">
        <v>8</v>
      </c>
      <c r="K253" s="4" t="s">
        <v>538</v>
      </c>
      <c r="L253" s="4" t="s">
        <v>13</v>
      </c>
      <c r="M253" s="4">
        <v>2025</v>
      </c>
      <c r="N253" s="4">
        <v>1</v>
      </c>
      <c r="O253" s="4">
        <v>1</v>
      </c>
    </row>
    <row r="254" spans="1:15">
      <c r="A254" s="4" t="s">
        <v>561</v>
      </c>
      <c r="B254" s="4" t="s">
        <v>571</v>
      </c>
      <c r="C254" s="9" t="s">
        <v>567</v>
      </c>
      <c r="F254" s="13">
        <v>1</v>
      </c>
      <c r="G254" s="23">
        <v>1</v>
      </c>
      <c r="I254" s="4">
        <v>5</v>
      </c>
      <c r="J254" s="4">
        <v>8</v>
      </c>
      <c r="K254" s="4" t="s">
        <v>538</v>
      </c>
      <c r="L254" s="4" t="s">
        <v>13</v>
      </c>
      <c r="M254" s="4">
        <v>2025</v>
      </c>
      <c r="N254" s="4">
        <v>1</v>
      </c>
      <c r="O254" s="4">
        <v>1</v>
      </c>
    </row>
    <row r="255" spans="1:15">
      <c r="A255" s="4" t="s">
        <v>561</v>
      </c>
      <c r="B255" s="4" t="s">
        <v>572</v>
      </c>
      <c r="C255" s="9" t="s">
        <v>568</v>
      </c>
      <c r="F255" s="13">
        <v>1</v>
      </c>
      <c r="G255" s="23">
        <v>0</v>
      </c>
      <c r="I255" s="4">
        <v>6</v>
      </c>
      <c r="J255" s="4">
        <v>8</v>
      </c>
      <c r="K255" s="4" t="s">
        <v>538</v>
      </c>
      <c r="L255" s="4" t="s">
        <v>13</v>
      </c>
      <c r="M255" s="4">
        <v>2025</v>
      </c>
      <c r="N255" s="4">
        <v>1</v>
      </c>
      <c r="O255" s="4">
        <v>1</v>
      </c>
    </row>
    <row r="256" spans="1:15">
      <c r="A256" s="4" t="s">
        <v>573</v>
      </c>
      <c r="B256" s="4" t="s">
        <v>574</v>
      </c>
      <c r="C256" s="10" t="s">
        <v>575</v>
      </c>
      <c r="F256" s="13">
        <v>1</v>
      </c>
      <c r="G256" s="23">
        <v>1</v>
      </c>
      <c r="I256" s="4">
        <v>1</v>
      </c>
      <c r="J256" s="4">
        <v>10</v>
      </c>
      <c r="K256" s="4" t="s">
        <v>582</v>
      </c>
      <c r="L256" s="4" t="s">
        <v>13</v>
      </c>
      <c r="M256" s="4">
        <v>2025</v>
      </c>
      <c r="N256" s="4">
        <v>1</v>
      </c>
      <c r="O256" s="4">
        <v>1</v>
      </c>
    </row>
    <row r="257" spans="1:15">
      <c r="A257" s="4" t="s">
        <v>573</v>
      </c>
      <c r="B257" s="4" t="s">
        <v>576</v>
      </c>
      <c r="C257" s="9" t="s">
        <v>577</v>
      </c>
      <c r="F257" s="13">
        <v>1</v>
      </c>
      <c r="G257" s="23">
        <v>0</v>
      </c>
      <c r="I257" s="4">
        <v>2</v>
      </c>
      <c r="J257" s="4">
        <v>10</v>
      </c>
      <c r="K257" s="4" t="s">
        <v>582</v>
      </c>
      <c r="L257" s="4" t="s">
        <v>13</v>
      </c>
      <c r="M257" s="4">
        <v>2025</v>
      </c>
      <c r="N257" s="4">
        <v>1</v>
      </c>
      <c r="O257" s="4">
        <v>1</v>
      </c>
    </row>
    <row r="258" spans="1:15">
      <c r="A258" s="4" t="s">
        <v>573</v>
      </c>
      <c r="B258" s="4" t="s">
        <v>578</v>
      </c>
      <c r="C258" s="9" t="s">
        <v>579</v>
      </c>
      <c r="F258" s="13">
        <v>1</v>
      </c>
      <c r="G258" s="23">
        <v>1</v>
      </c>
      <c r="I258" s="4">
        <v>4</v>
      </c>
      <c r="J258" s="4">
        <v>10</v>
      </c>
      <c r="K258" s="4" t="s">
        <v>582</v>
      </c>
      <c r="L258" s="4" t="s">
        <v>13</v>
      </c>
      <c r="M258" s="4">
        <v>2025</v>
      </c>
      <c r="N258" s="4">
        <v>1</v>
      </c>
      <c r="O258" s="4">
        <v>1</v>
      </c>
    </row>
    <row r="259" spans="1:15">
      <c r="A259" s="4" t="s">
        <v>573</v>
      </c>
      <c r="B259" s="4" t="s">
        <v>580</v>
      </c>
      <c r="C259" s="9" t="s">
        <v>581</v>
      </c>
      <c r="F259" s="13">
        <v>1</v>
      </c>
      <c r="G259" s="23">
        <v>1</v>
      </c>
      <c r="I259" s="4">
        <v>5</v>
      </c>
      <c r="J259" s="4">
        <v>10</v>
      </c>
      <c r="K259" s="4" t="s">
        <v>582</v>
      </c>
      <c r="L259" s="4" t="s">
        <v>13</v>
      </c>
      <c r="M259" s="4">
        <v>2025</v>
      </c>
      <c r="N259" s="4">
        <v>1</v>
      </c>
      <c r="O259" s="4">
        <v>1</v>
      </c>
    </row>
    <row r="260" spans="1:15">
      <c r="A260" s="4" t="s">
        <v>584</v>
      </c>
      <c r="B260" s="4" t="s">
        <v>583</v>
      </c>
      <c r="C260" s="9" t="s">
        <v>585</v>
      </c>
      <c r="F260" s="13">
        <v>1</v>
      </c>
      <c r="G260" s="23">
        <v>1</v>
      </c>
      <c r="I260" s="4">
        <v>1</v>
      </c>
      <c r="J260" s="4">
        <v>11</v>
      </c>
      <c r="K260" s="4" t="s">
        <v>582</v>
      </c>
      <c r="L260" s="4" t="s">
        <v>13</v>
      </c>
      <c r="M260" s="4">
        <v>2024</v>
      </c>
      <c r="N260" s="4">
        <v>1</v>
      </c>
      <c r="O260" s="4">
        <v>1</v>
      </c>
    </row>
    <row r="261" spans="1:15">
      <c r="A261" s="4" t="s">
        <v>584</v>
      </c>
      <c r="B261" s="4" t="s">
        <v>590</v>
      </c>
      <c r="C261" s="9" t="s">
        <v>577</v>
      </c>
      <c r="F261" s="13">
        <v>1</v>
      </c>
      <c r="G261" s="23">
        <v>0</v>
      </c>
      <c r="I261" s="4">
        <v>2</v>
      </c>
      <c r="J261" s="4">
        <v>11</v>
      </c>
      <c r="K261" s="4" t="s">
        <v>582</v>
      </c>
      <c r="L261" s="4" t="s">
        <v>13</v>
      </c>
      <c r="M261" s="4">
        <v>2024</v>
      </c>
      <c r="N261" s="4">
        <v>1</v>
      </c>
      <c r="O261" s="4">
        <v>1</v>
      </c>
    </row>
    <row r="262" spans="1:15" ht="18">
      <c r="A262" s="4" t="s">
        <v>584</v>
      </c>
      <c r="B262" s="4" t="s">
        <v>591</v>
      </c>
      <c r="C262" s="27" t="s">
        <v>586</v>
      </c>
      <c r="F262" s="13">
        <v>1</v>
      </c>
      <c r="G262" s="23">
        <v>1</v>
      </c>
      <c r="I262" s="4">
        <v>3</v>
      </c>
      <c r="J262" s="4">
        <v>11</v>
      </c>
      <c r="K262" s="4" t="s">
        <v>582</v>
      </c>
      <c r="L262" s="4" t="s">
        <v>13</v>
      </c>
      <c r="M262" s="4">
        <v>2024</v>
      </c>
      <c r="N262" s="4">
        <v>1</v>
      </c>
      <c r="O262" s="4">
        <v>1</v>
      </c>
    </row>
    <row r="263" spans="1:15">
      <c r="A263" s="4" t="s">
        <v>584</v>
      </c>
      <c r="B263" s="4" t="s">
        <v>592</v>
      </c>
      <c r="C263" s="9" t="s">
        <v>587</v>
      </c>
      <c r="F263" s="13">
        <v>1</v>
      </c>
      <c r="G263" s="23">
        <v>1</v>
      </c>
      <c r="I263" s="4">
        <v>4</v>
      </c>
      <c r="J263" s="4">
        <v>11</v>
      </c>
      <c r="K263" s="4" t="s">
        <v>582</v>
      </c>
      <c r="L263" s="4" t="s">
        <v>13</v>
      </c>
      <c r="M263" s="4">
        <v>2024</v>
      </c>
      <c r="N263" s="4">
        <v>1</v>
      </c>
      <c r="O263" s="4">
        <v>1</v>
      </c>
    </row>
    <row r="264" spans="1:15">
      <c r="A264" s="4" t="s">
        <v>584</v>
      </c>
      <c r="B264" s="4" t="s">
        <v>593</v>
      </c>
      <c r="C264" s="9" t="s">
        <v>588</v>
      </c>
      <c r="F264" s="13">
        <v>1</v>
      </c>
      <c r="G264" s="23">
        <v>0</v>
      </c>
      <c r="I264" s="4">
        <v>5</v>
      </c>
      <c r="J264" s="4">
        <v>11</v>
      </c>
      <c r="K264" s="4" t="s">
        <v>582</v>
      </c>
      <c r="L264" s="4" t="s">
        <v>13</v>
      </c>
      <c r="M264" s="4">
        <v>2024</v>
      </c>
      <c r="N264" s="4">
        <v>1</v>
      </c>
      <c r="O264" s="4">
        <v>1</v>
      </c>
    </row>
    <row r="265" spans="1:15">
      <c r="A265" s="4" t="s">
        <v>584</v>
      </c>
      <c r="B265" s="4" t="s">
        <v>594</v>
      </c>
      <c r="C265" s="9" t="s">
        <v>589</v>
      </c>
      <c r="F265" s="13">
        <v>1</v>
      </c>
      <c r="G265" s="23">
        <v>1</v>
      </c>
      <c r="I265" s="4">
        <v>6</v>
      </c>
      <c r="J265" s="4">
        <v>11</v>
      </c>
      <c r="K265" s="4" t="s">
        <v>582</v>
      </c>
      <c r="L265" s="4" t="s">
        <v>13</v>
      </c>
      <c r="M265" s="4">
        <v>2024</v>
      </c>
      <c r="N265" s="4">
        <v>1</v>
      </c>
      <c r="O265" s="4">
        <v>1</v>
      </c>
    </row>
    <row r="266" spans="1:15">
      <c r="A266" s="4" t="s">
        <v>596</v>
      </c>
      <c r="B266" s="4" t="s">
        <v>595</v>
      </c>
      <c r="C266" s="9" t="s">
        <v>597</v>
      </c>
      <c r="F266" s="13">
        <v>1</v>
      </c>
      <c r="G266" s="23">
        <v>0</v>
      </c>
      <c r="I266" s="4">
        <v>1</v>
      </c>
      <c r="J266" s="4">
        <v>13</v>
      </c>
      <c r="K266" s="4" t="s">
        <v>582</v>
      </c>
      <c r="L266" s="4" t="s">
        <v>13</v>
      </c>
      <c r="M266" s="4">
        <v>2023</v>
      </c>
      <c r="N266" s="4">
        <v>1</v>
      </c>
      <c r="O266" s="4">
        <v>1</v>
      </c>
    </row>
    <row r="267" spans="1:15">
      <c r="A267" s="4" t="s">
        <v>596</v>
      </c>
      <c r="B267" s="4" t="s">
        <v>599</v>
      </c>
      <c r="C267" s="9" t="s">
        <v>598</v>
      </c>
      <c r="F267" s="13">
        <v>1</v>
      </c>
      <c r="G267" s="23">
        <v>0</v>
      </c>
      <c r="I267" s="4">
        <v>2</v>
      </c>
      <c r="J267" s="4">
        <v>13</v>
      </c>
      <c r="K267" s="4" t="s">
        <v>582</v>
      </c>
      <c r="L267" s="4" t="s">
        <v>13</v>
      </c>
      <c r="M267" s="4">
        <v>2023</v>
      </c>
      <c r="N267" s="4">
        <v>1</v>
      </c>
      <c r="O267" s="4">
        <v>1</v>
      </c>
    </row>
    <row r="268" spans="1:15">
      <c r="A268" s="4" t="s">
        <v>596</v>
      </c>
      <c r="B268" s="4" t="s">
        <v>604</v>
      </c>
      <c r="C268" s="9" t="s">
        <v>600</v>
      </c>
      <c r="F268" s="13">
        <v>1</v>
      </c>
      <c r="G268" s="23">
        <v>0</v>
      </c>
      <c r="I268" s="4">
        <v>5</v>
      </c>
      <c r="J268" s="4">
        <v>13</v>
      </c>
      <c r="K268" s="4" t="s">
        <v>582</v>
      </c>
      <c r="L268" s="4" t="s">
        <v>13</v>
      </c>
      <c r="M268" s="4">
        <v>2023</v>
      </c>
      <c r="N268" s="4">
        <v>1</v>
      </c>
      <c r="O268" s="4">
        <v>1</v>
      </c>
    </row>
    <row r="269" spans="1:15">
      <c r="A269" s="4" t="s">
        <v>596</v>
      </c>
      <c r="B269" s="4" t="s">
        <v>605</v>
      </c>
      <c r="C269" s="9" t="s">
        <v>601</v>
      </c>
      <c r="F269" s="13">
        <v>1</v>
      </c>
      <c r="G269" s="23">
        <v>1</v>
      </c>
      <c r="I269" s="4">
        <v>6</v>
      </c>
      <c r="J269" s="4">
        <v>13</v>
      </c>
      <c r="K269" s="4" t="s">
        <v>582</v>
      </c>
      <c r="L269" s="4" t="s">
        <v>13</v>
      </c>
      <c r="M269" s="4">
        <v>2023</v>
      </c>
      <c r="N269" s="4">
        <v>1</v>
      </c>
      <c r="O269" s="4">
        <v>1</v>
      </c>
    </row>
    <row r="270" spans="1:15">
      <c r="A270" s="4" t="s">
        <v>596</v>
      </c>
      <c r="B270" s="4" t="s">
        <v>606</v>
      </c>
      <c r="C270" s="9" t="s">
        <v>602</v>
      </c>
      <c r="F270" s="13">
        <v>1</v>
      </c>
      <c r="G270" s="23">
        <v>0</v>
      </c>
      <c r="I270" s="4">
        <v>8</v>
      </c>
      <c r="J270" s="4">
        <v>13</v>
      </c>
      <c r="K270" s="4" t="s">
        <v>582</v>
      </c>
      <c r="L270" s="4" t="s">
        <v>13</v>
      </c>
      <c r="M270" s="4">
        <v>2023</v>
      </c>
      <c r="N270" s="4">
        <v>1</v>
      </c>
      <c r="O270" s="4">
        <v>1</v>
      </c>
    </row>
    <row r="271" spans="1:15">
      <c r="A271" s="4" t="s">
        <v>596</v>
      </c>
      <c r="B271" s="4" t="s">
        <v>607</v>
      </c>
      <c r="C271" s="9" t="s">
        <v>603</v>
      </c>
      <c r="F271" s="13">
        <v>1</v>
      </c>
      <c r="G271" s="23">
        <v>0</v>
      </c>
      <c r="I271" s="4">
        <v>9</v>
      </c>
      <c r="J271" s="4">
        <v>13</v>
      </c>
      <c r="K271" s="4" t="s">
        <v>582</v>
      </c>
      <c r="L271" s="4" t="s">
        <v>13</v>
      </c>
      <c r="M271" s="4">
        <v>2023</v>
      </c>
      <c r="N271" s="4">
        <v>1</v>
      </c>
      <c r="O271" s="4">
        <v>1</v>
      </c>
    </row>
    <row r="272" spans="1:15">
      <c r="A272" s="4" t="s">
        <v>608</v>
      </c>
      <c r="B272" s="4" t="s">
        <v>610</v>
      </c>
      <c r="C272" s="9" t="s">
        <v>609</v>
      </c>
      <c r="F272" s="13">
        <v>1</v>
      </c>
      <c r="G272" s="23">
        <v>0</v>
      </c>
      <c r="I272" s="4">
        <v>2</v>
      </c>
      <c r="J272" s="4">
        <v>7</v>
      </c>
      <c r="K272" s="4" t="s">
        <v>582</v>
      </c>
      <c r="L272" s="4" t="s">
        <v>13</v>
      </c>
      <c r="M272" s="4">
        <v>2022</v>
      </c>
      <c r="N272" s="4">
        <v>1</v>
      </c>
      <c r="O272" s="4">
        <v>1</v>
      </c>
    </row>
    <row r="273" spans="1:15" ht="18">
      <c r="A273" s="4" t="s">
        <v>615</v>
      </c>
      <c r="B273" s="4" t="s">
        <v>613</v>
      </c>
      <c r="C273" s="26" t="s">
        <v>611</v>
      </c>
      <c r="F273" s="13">
        <v>1</v>
      </c>
      <c r="G273" s="23">
        <v>1</v>
      </c>
      <c r="I273" s="4">
        <v>4</v>
      </c>
      <c r="J273" s="4">
        <v>10</v>
      </c>
      <c r="K273" s="4" t="s">
        <v>582</v>
      </c>
      <c r="L273" s="4" t="s">
        <v>13</v>
      </c>
      <c r="M273" s="4">
        <v>2021</v>
      </c>
      <c r="N273" s="4">
        <v>1</v>
      </c>
      <c r="O273" s="4">
        <v>1</v>
      </c>
    </row>
    <row r="274" spans="1:15">
      <c r="A274" s="4" t="s">
        <v>615</v>
      </c>
      <c r="B274" s="4" t="s">
        <v>614</v>
      </c>
      <c r="C274" s="25" t="s">
        <v>612</v>
      </c>
      <c r="F274" s="13">
        <v>1</v>
      </c>
      <c r="G274" s="23">
        <v>0</v>
      </c>
      <c r="I274" s="4">
        <v>6</v>
      </c>
      <c r="J274" s="4">
        <v>10</v>
      </c>
      <c r="K274" s="4" t="s">
        <v>582</v>
      </c>
      <c r="L274" s="4" t="s">
        <v>13</v>
      </c>
      <c r="M274" s="4">
        <v>2021</v>
      </c>
      <c r="N274" s="4">
        <v>1</v>
      </c>
      <c r="O274" s="4">
        <v>1</v>
      </c>
    </row>
    <row r="275" spans="1:15" ht="18">
      <c r="A275" s="4" t="s">
        <v>616</v>
      </c>
      <c r="B275" s="4" t="s">
        <v>620</v>
      </c>
      <c r="C275" s="26" t="s">
        <v>617</v>
      </c>
      <c r="F275" s="13">
        <v>1</v>
      </c>
      <c r="G275" s="23">
        <v>0</v>
      </c>
      <c r="I275" s="4">
        <v>8</v>
      </c>
      <c r="J275" s="4">
        <v>17</v>
      </c>
      <c r="K275" s="4" t="s">
        <v>582</v>
      </c>
      <c r="L275" s="4" t="s">
        <v>13</v>
      </c>
      <c r="M275" s="4">
        <v>2019</v>
      </c>
      <c r="N275" s="4">
        <v>1</v>
      </c>
      <c r="O275" s="4">
        <v>1</v>
      </c>
    </row>
    <row r="276" spans="1:15" ht="18">
      <c r="A276" s="4" t="s">
        <v>616</v>
      </c>
      <c r="B276" s="4" t="s">
        <v>621</v>
      </c>
      <c r="C276" s="26" t="s">
        <v>618</v>
      </c>
      <c r="F276" s="13">
        <v>1</v>
      </c>
      <c r="G276" s="23">
        <v>0</v>
      </c>
      <c r="I276" s="4">
        <v>14</v>
      </c>
      <c r="J276" s="4">
        <v>17</v>
      </c>
      <c r="K276" s="4" t="s">
        <v>582</v>
      </c>
      <c r="L276" s="4" t="s">
        <v>13</v>
      </c>
      <c r="M276" s="4">
        <v>2019</v>
      </c>
      <c r="N276" s="4">
        <v>1</v>
      </c>
      <c r="O276" s="4">
        <v>1</v>
      </c>
    </row>
    <row r="277" spans="1:15" ht="18">
      <c r="A277" s="4" t="s">
        <v>616</v>
      </c>
      <c r="B277" s="4" t="s">
        <v>622</v>
      </c>
      <c r="C277" s="26" t="s">
        <v>619</v>
      </c>
      <c r="F277" s="13">
        <v>1</v>
      </c>
      <c r="G277" s="23">
        <v>0</v>
      </c>
      <c r="I277" s="4">
        <v>15</v>
      </c>
      <c r="J277" s="4">
        <v>17</v>
      </c>
      <c r="K277" s="4" t="s">
        <v>582</v>
      </c>
      <c r="L277" s="4" t="s">
        <v>13</v>
      </c>
      <c r="M277" s="4">
        <v>2019</v>
      </c>
      <c r="N277" s="4">
        <v>1</v>
      </c>
      <c r="O277" s="4">
        <v>1</v>
      </c>
    </row>
  </sheetData>
  <phoneticPr fontId="11" type="noConversion"/>
  <pageMargins left="0.7" right="0.7" top="0.75" bottom="0.75" header="0.3" footer="0.3"/>
  <pageSetup scale="71" fitToHeight="6"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4AD-475B-6C4E-A2B5-6ED22D55B30A}">
  <dimension ref="A1:F28"/>
  <sheetViews>
    <sheetView topLeftCell="A3" zoomScale="120" zoomScaleNormal="120" workbookViewId="0">
      <selection activeCell="F28" sqref="A26:F28"/>
    </sheetView>
  </sheetViews>
  <sheetFormatPr baseColWidth="10" defaultRowHeight="16"/>
  <cols>
    <col min="2" max="2" width="0" hidden="1" customWidth="1"/>
  </cols>
  <sheetData>
    <row r="1" spans="1:4">
      <c r="A1" s="1" t="s">
        <v>270</v>
      </c>
    </row>
    <row r="2" spans="1:4">
      <c r="A2" s="15" t="s">
        <v>387</v>
      </c>
    </row>
    <row r="3" spans="1:4">
      <c r="A3" s="1" t="s">
        <v>271</v>
      </c>
      <c r="B3" s="1" t="s">
        <v>272</v>
      </c>
      <c r="C3" s="1" t="s">
        <v>273</v>
      </c>
      <c r="D3" s="1" t="s">
        <v>274</v>
      </c>
    </row>
    <row r="4" spans="1:4">
      <c r="A4">
        <v>82</v>
      </c>
      <c r="B4">
        <v>0</v>
      </c>
      <c r="C4">
        <v>120</v>
      </c>
      <c r="D4">
        <v>202</v>
      </c>
    </row>
    <row r="6" spans="1:4">
      <c r="A6" s="15" t="s">
        <v>392</v>
      </c>
    </row>
    <row r="7" spans="1:4">
      <c r="A7" s="1" t="s">
        <v>271</v>
      </c>
      <c r="B7" s="1" t="s">
        <v>272</v>
      </c>
      <c r="C7" s="1" t="s">
        <v>273</v>
      </c>
      <c r="D7" s="1" t="s">
        <v>274</v>
      </c>
    </row>
    <row r="8" spans="1:4">
      <c r="A8">
        <f>COUNTIF(Sheet1!D:D,"0")</f>
        <v>36</v>
      </c>
      <c r="B8">
        <f>COUNTIF(Sheet1!D:D," ")</f>
        <v>0</v>
      </c>
      <c r="C8">
        <f>COUNTIF(Sheet1!D:D,"1")</f>
        <v>173</v>
      </c>
      <c r="D8">
        <f>SUM(A8:C8)</f>
        <v>209</v>
      </c>
    </row>
    <row r="10" spans="1:4">
      <c r="A10" s="17" t="s">
        <v>396</v>
      </c>
    </row>
    <row r="11" spans="1:4">
      <c r="A11" s="1">
        <v>0</v>
      </c>
      <c r="C11" s="1">
        <v>1</v>
      </c>
    </row>
    <row r="12" spans="1:4">
      <c r="A12">
        <f>COUNTIF(Sheet1!D:D,"0")</f>
        <v>36</v>
      </c>
      <c r="C12">
        <f>COUNTIF(Sheet1!D:D,"1")</f>
        <v>173</v>
      </c>
    </row>
    <row r="14" spans="1:4">
      <c r="C14" s="1" t="s">
        <v>398</v>
      </c>
    </row>
    <row r="15" spans="1:4">
      <c r="C15" s="16">
        <f>COUNTIF(Sheet1!E:E,"Low")</f>
        <v>60</v>
      </c>
    </row>
    <row r="16" spans="1:4">
      <c r="C16" s="1" t="s">
        <v>399</v>
      </c>
    </row>
    <row r="17" spans="1:6">
      <c r="C17" s="16">
        <f>COUNTIF(Sheet1!E:E,"Medium")</f>
        <v>89</v>
      </c>
    </row>
    <row r="18" spans="1:6">
      <c r="C18" s="1" t="s">
        <v>395</v>
      </c>
    </row>
    <row r="19" spans="1:6">
      <c r="C19" s="16">
        <f>COUNTIF(Sheet1!E:E,"High")</f>
        <v>23</v>
      </c>
    </row>
    <row r="21" spans="1:6">
      <c r="A21" s="18" t="s">
        <v>408</v>
      </c>
      <c r="C21" s="19"/>
    </row>
    <row r="22" spans="1:6">
      <c r="A22">
        <v>0</v>
      </c>
      <c r="C22" t="s">
        <v>410</v>
      </c>
      <c r="F22">
        <f>COUNTIF(Sheet1!H:H,"0")</f>
        <v>0</v>
      </c>
    </row>
    <row r="23" spans="1:6">
      <c r="A23">
        <v>1</v>
      </c>
      <c r="C23" t="s">
        <v>409</v>
      </c>
      <c r="F23">
        <f>COUNTIF(Sheet1!H:H,"1")</f>
        <v>116</v>
      </c>
    </row>
    <row r="24" spans="1:6">
      <c r="A24">
        <v>2</v>
      </c>
      <c r="C24" t="s">
        <v>411</v>
      </c>
      <c r="F24">
        <f>COUNTIF(Sheet1!H:H,"2")</f>
        <v>69</v>
      </c>
    </row>
    <row r="26" spans="1:6">
      <c r="A26" s="18" t="s">
        <v>530</v>
      </c>
      <c r="B26" s="19"/>
      <c r="C26" s="19"/>
      <c r="D26" s="19"/>
    </row>
    <row r="27" spans="1:6">
      <c r="A27">
        <v>0</v>
      </c>
      <c r="C27" t="s">
        <v>409</v>
      </c>
      <c r="F27">
        <f>COUNTIF(Sheet1!G:G,"0")</f>
        <v>175</v>
      </c>
    </row>
    <row r="28" spans="1:6">
      <c r="A28">
        <v>1</v>
      </c>
      <c r="C28" t="s">
        <v>411</v>
      </c>
      <c r="F28">
        <f>COUNTIF(Sheet1!G:G,"1")</f>
        <v>101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Murphy</dc:creator>
  <cp:lastModifiedBy>Sara Murphy</cp:lastModifiedBy>
  <cp:lastPrinted>2026-03-23T16:15:49Z</cp:lastPrinted>
  <dcterms:created xsi:type="dcterms:W3CDTF">2026-03-17T01:57:37Z</dcterms:created>
  <dcterms:modified xsi:type="dcterms:W3CDTF">2026-04-12T00:48:12Z</dcterms:modified>
</cp:coreProperties>
</file>