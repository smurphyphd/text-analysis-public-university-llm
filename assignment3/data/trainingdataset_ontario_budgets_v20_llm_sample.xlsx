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02DF77FC-EFB8-3543-B5A5-B55BCFDA0807}" xr6:coauthVersionLast="47" xr6:coauthVersionMax="47" xr10:uidLastSave="{00000000-0000-0000-0000-000000000000}"/>
  <bookViews>
    <workbookView xWindow="5120" yWindow="1140" windowWidth="30160" windowHeight="1966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 i="3" l="1"/>
  <c r="F27" i="3"/>
  <c r="F24" i="3" l="1"/>
  <c r="F23" i="3"/>
  <c r="F22" i="3"/>
  <c r="C19" i="3"/>
  <c r="C17" i="3"/>
  <c r="C15" i="3"/>
  <c r="C12" i="3"/>
  <c r="A12" i="3"/>
  <c r="C8" i="3"/>
  <c r="B8" i="3"/>
  <c r="A8" i="3"/>
  <c r="D8" i="3" l="1"/>
</calcChain>
</file>

<file path=xl/sharedStrings.xml><?xml version="1.0" encoding="utf-8"?>
<sst xmlns="http://schemas.openxmlformats.org/spreadsheetml/2006/main" count="1601" uniqueCount="625">
  <si>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</si>
  <si>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</si>
  <si>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</si>
  <si>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</si>
  <si>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</si>
  <si>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</si>
  <si>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</si>
  <si>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</si>
  <si>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</si>
  <si>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</si>
  <si>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</si>
  <si>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</si>
  <si>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</si>
  <si>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</si>
  <si>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</si>
  <si>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</si>
  <si>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</si>
  <si>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</si>
  <si>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</si>
  <si>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</si>
  <si>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</si>
  <si>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</si>
  <si>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</si>
  <si>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</si>
  <si>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queens_2017_6</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</si>
  <si>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</si>
  <si>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</si>
  <si>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</si>
  <si>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</si>
  <si>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</si>
  <si>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</si>
  <si>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</si>
  <si>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</si>
  <si>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</si>
  <si>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queens_2018_6</t>
  </si>
  <si>
    <t>queens_2018_7</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</si>
  <si>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</si>
  <si>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</si>
  <si>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</si>
  <si>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</si>
  <si>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</si>
  <si>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</si>
  <si>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</si>
  <si>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</si>
  <si>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</si>
  <si>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queens_2019_5</t>
  </si>
  <si>
    <t>queens_2019_6</t>
  </si>
  <si>
    <t>queens_2019_7</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</si>
  <si>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</si>
  <si>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</si>
  <si>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</si>
  <si>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</si>
  <si>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queens_2020_5</t>
  </si>
  <si>
    <t>queens_2020_6</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</si>
  <si>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</si>
  <si>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</si>
  <si>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</si>
  <si>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</si>
  <si>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</si>
  <si>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</si>
  <si>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</si>
  <si>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queens_2021_2</t>
  </si>
  <si>
    <t>queens_2021_4</t>
  </si>
  <si>
    <t>queens_2021_5</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</si>
  <si>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</si>
  <si>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</si>
  <si>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</si>
  <si>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</si>
  <si>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</si>
  <si>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</si>
  <si>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</si>
  <si>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</si>
  <si>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</si>
  <si>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</si>
  <si>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</si>
  <si>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</si>
  <si>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</si>
  <si>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</si>
  <si>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</si>
  <si>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</si>
  <si>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</si>
  <si>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</si>
  <si>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</si>
  <si>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</si>
  <si>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</si>
  <si>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</si>
  <si>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</si>
  <si>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</si>
  <si>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</si>
  <si>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</si>
  <si>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</si>
  <si>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</si>
  <si>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</si>
  <si>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</si>
  <si>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</si>
  <si>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</si>
  <si>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</si>
  <si>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</si>
  <si>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</si>
  <si>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</si>
  <si>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</si>
  <si>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</si>
  <si>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</si>
  <si>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</si>
  <si>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</si>
  <si>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</si>
  <si>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</si>
  <si>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</si>
  <si>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</si>
  <si>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</si>
  <si>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</si>
  <si>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</si>
  <si>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</si>
  <si>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</si>
  <si>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</si>
  <si>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</si>
  <si>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</si>
  <si>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</si>
  <si>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</si>
  <si>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</si>
  <si>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queens_2025_6</t>
  </si>
  <si>
    <t>queens_2025_7</t>
  </si>
  <si>
    <t>queens_2025_8</t>
  </si>
  <si>
    <t>uoft_2017</t>
  </si>
  <si>
    <t>University of Toronto</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</si>
  <si>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</si>
  <si>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</si>
  <si>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</si>
  <si>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</si>
  <si>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</si>
  <si>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</si>
  <si>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</si>
  <si>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</si>
  <si>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</si>
  <si>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</si>
  <si>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</si>
  <si>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</si>
  <si>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uoft_2017_6</t>
  </si>
  <si>
    <t>uoft_2017_8</t>
  </si>
  <si>
    <t>uoft_2017_10</t>
  </si>
  <si>
    <t>uoft_2017_11</t>
  </si>
  <si>
    <t>uoft_2017_14</t>
  </si>
  <si>
    <t>uoft_2017_15</t>
  </si>
  <si>
    <t>uoft_2017_17</t>
  </si>
  <si>
    <t>uoft_2017_19</t>
  </si>
  <si>
    <t>uoft_2017_20</t>
  </si>
  <si>
    <t>uoft_2017_21</t>
  </si>
  <si>
    <t>uoft_2018</t>
  </si>
  <si>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</si>
  <si>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</si>
  <si>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</si>
  <si>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</si>
  <si>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</si>
  <si>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</si>
  <si>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</si>
  <si>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</si>
  <si>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</si>
  <si>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</si>
  <si>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</si>
  <si>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uoft_2018_3</t>
  </si>
  <si>
    <t>uoft_2018_5</t>
  </si>
  <si>
    <t>uoft_2018_6</t>
  </si>
  <si>
    <t>uoft_2018_7</t>
  </si>
  <si>
    <t>uoft_2018_8</t>
  </si>
  <si>
    <t>uoft_2018_14</t>
  </si>
  <si>
    <t>uoft_2018_17</t>
  </si>
  <si>
    <t>uoft_2018_19</t>
  </si>
  <si>
    <t>uoft_2018_21</t>
  </si>
  <si>
    <t>uoft_2018_22</t>
  </si>
  <si>
    <t>uoft_2018_24</t>
  </si>
  <si>
    <t>uoft_2018_25</t>
  </si>
  <si>
    <t>uoft_2019</t>
  </si>
  <si>
    <t>The government is committed to returning the Province to
balanced budgets on a modest, reasonable and pragmatic
timetable. The University anticipates that this spending restraint
will impose significant pressure on all provincially-funded sectors.</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</si>
  <si>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</si>
  <si>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</si>
  <si>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</si>
  <si>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</si>
  <si>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</si>
  <si>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</si>
  <si>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</si>
  <si>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</si>
  <si>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uoft_2019_4</t>
  </si>
  <si>
    <t>uoft_2019_7</t>
  </si>
  <si>
    <t>uoft_2019_9</t>
  </si>
  <si>
    <t>uoft_2019_10</t>
  </si>
  <si>
    <t>uoft_2019_11</t>
  </si>
  <si>
    <t>uoft_2019_12</t>
  </si>
  <si>
    <t>uoft_2019_13</t>
  </si>
  <si>
    <t>uoft_2019_14</t>
  </si>
  <si>
    <t>uoft_2019_15</t>
  </si>
  <si>
    <t>uoft_2019_16</t>
  </si>
  <si>
    <t>uoft_2020</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</si>
  <si>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</si>
  <si>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</si>
  <si>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</si>
  <si>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</si>
  <si>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</si>
  <si>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</si>
  <si>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</si>
  <si>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</si>
  <si>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</si>
  <si>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</si>
  <si>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</si>
  <si>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</si>
  <si>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</si>
  <si>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uoft_2020_5</t>
  </si>
  <si>
    <t>uoft_2020_6</t>
  </si>
  <si>
    <t>uoft_2020_9</t>
  </si>
  <si>
    <t>uoft_2020_11</t>
  </si>
  <si>
    <t>uoft_2020_12</t>
  </si>
  <si>
    <t>uoft_2020_13</t>
  </si>
  <si>
    <t>uoft_2020_14</t>
  </si>
  <si>
    <t>uoft_2020_15</t>
  </si>
  <si>
    <t>uoft_2020_16</t>
  </si>
  <si>
    <t>uoft_2020_17</t>
  </si>
  <si>
    <t>pres_new</t>
  </si>
  <si>
    <t>prov_new</t>
  </si>
  <si>
    <t>uoft_2021</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</si>
  <si>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</si>
  <si>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</si>
  <si>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</si>
  <si>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</si>
  <si>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</si>
  <si>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</si>
  <si>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</si>
  <si>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</si>
  <si>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</si>
  <si>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</si>
  <si>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</si>
  <si>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uoft_2021_6</t>
  </si>
  <si>
    <t>uoft_2021_8</t>
  </si>
  <si>
    <t>uoft_2021_9</t>
  </si>
  <si>
    <t>uoft_2021_12</t>
  </si>
  <si>
    <t>uoft_2021_13</t>
  </si>
  <si>
    <t>uoft_2021_15</t>
  </si>
  <si>
    <t>uoft_2021_16</t>
  </si>
  <si>
    <t>uoft_2021_18</t>
  </si>
  <si>
    <t>uoft_2021_19</t>
  </si>
  <si>
    <t>uoft_2021_20</t>
  </si>
  <si>
    <t>uoft_2021_21</t>
  </si>
  <si>
    <t>uoft_2021_22</t>
  </si>
  <si>
    <t>uoft_2022</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</si>
  <si>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</si>
  <si>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</si>
  <si>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</si>
  <si>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</si>
  <si>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</si>
  <si>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</si>
  <si>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</si>
  <si>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</si>
  <si>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</si>
  <si>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</si>
  <si>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</si>
  <si>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uoft_2022_8</t>
  </si>
  <si>
    <t>uoft_2022_10</t>
  </si>
  <si>
    <t>uoft_2022_11</t>
  </si>
  <si>
    <t>uoft_2022_14</t>
  </si>
  <si>
    <t>uoft_2022_16</t>
  </si>
  <si>
    <t>uoft_2022_17</t>
  </si>
  <si>
    <t>uoft_2022_19</t>
  </si>
  <si>
    <t>uoft_2022_21</t>
  </si>
  <si>
    <t>uoft_2022_22</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</si>
  <si>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</si>
  <si>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</si>
  <si>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</si>
  <si>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</si>
  <si>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</si>
  <si>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</si>
  <si>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</si>
  <si>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</si>
  <si>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</si>
  <si>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</si>
  <si>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</si>
  <si>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</si>
  <si>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</si>
  <si>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</si>
  <si>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</si>
  <si>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</si>
  <si>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uoft_2023_12</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</si>
  <si>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</si>
  <si>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</si>
  <si>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</si>
  <si>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</si>
  <si>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</si>
  <si>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</si>
  <si>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</si>
  <si>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</si>
  <si>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</si>
  <si>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</si>
  <si>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</si>
  <si>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</si>
  <si>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</si>
  <si>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</si>
  <si>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</si>
  <si>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</si>
  <si>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</si>
  <si>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</si>
  <si>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</si>
  <si>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</si>
  <si>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</si>
  <si>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</si>
  <si>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</si>
  <si>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</si>
  <si>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</si>
  <si>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</si>
  <si>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</si>
  <si>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</si>
  <si>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</si>
  <si>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</si>
  <si>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</si>
  <si>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</si>
  <si>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</si>
  <si>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</si>
  <si>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</si>
  <si>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</si>
  <si>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</si>
  <si>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</si>
  <si>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</si>
  <si>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uoft_2024_8</t>
  </si>
  <si>
    <t>The impact of post-Bill 124 compensation decisions is a dominating factor in this year’s budget plan.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</si>
  <si>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</si>
  <si>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</si>
  <si>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</si>
  <si>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</si>
  <si>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</si>
  <si>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</si>
  <si>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</si>
  <si>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</si>
  <si>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uoft_2024_17</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</si>
  <si>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</si>
  <si>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</si>
  <si>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</si>
  <si>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uoft_2024_21</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</si>
  <si>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</si>
  <si>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uoft_2024_29</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</si>
  <si>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</si>
  <si>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</si>
  <si>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</si>
  <si>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</si>
  <si>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</si>
  <si>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</si>
  <si>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uoft_2024_38</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</si>
  <si>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</si>
  <si>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</si>
  <si>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</si>
  <si>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</si>
  <si>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</si>
  <si>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</si>
  <si>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</si>
  <si>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</si>
  <si>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</si>
  <si>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</si>
  <si>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</si>
  <si>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</si>
  <si>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</si>
  <si>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</si>
  <si>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</si>
  <si>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</si>
  <si>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</si>
  <si>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</si>
  <si>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</si>
  <si>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</si>
  <si>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</si>
  <si>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</si>
  <si>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</si>
  <si>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</si>
  <si>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</si>
  <si>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</si>
  <si>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uoft_2025_26</t>
  </si>
  <si>
    <t>In 2022-23, the Government introduced flexibility to
increase non-Ontario domestic tuition by 5% per year – a
helpful change but limited in impact as this applies to just
a small portion of the University’s domestic enrolment.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</si>
  <si>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</si>
  <si>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</si>
  <si>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</si>
  <si>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</si>
  <si>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</si>
  <si>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</si>
  <si>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</si>
  <si>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</si>
  <si>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</si>
  <si>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</si>
  <si>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</si>
  <si>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</si>
  <si>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</si>
  <si>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</si>
  <si>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</si>
  <si>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</si>
  <si>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</si>
  <si>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</si>
  <si>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</si>
  <si>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</si>
  <si>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</si>
  <si>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</si>
  <si>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</si>
  <si>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</si>
  <si>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</si>
  <si>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</si>
  <si>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</si>
  <si>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</si>
  <si>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</si>
  <si>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</si>
  <si>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</si>
  <si>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</si>
  <si>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</si>
  <si>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</si>
  <si>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</si>
  <si>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</si>
  <si>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</si>
  <si>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class_rd</t>
  </si>
  <si>
    <t>Class Resource Dependence</t>
  </si>
  <si>
    <t>low resource dependence attitude</t>
  </si>
  <si>
    <t>no resource dependence content</t>
  </si>
  <si>
    <t>high resource dependene attitude</t>
  </si>
  <si>
    <t>class</t>
  </si>
  <si>
    <t>class_2</t>
  </si>
  <si>
    <t>windsor_2019</t>
  </si>
  <si>
    <t>University of Windsor</t>
  </si>
  <si>
    <t>windsor_2019_5</t>
  </si>
  <si>
    <t>The impact to the University’s Budget, if any, is unknown at this time but may affect enrolment or add pressures to the financial support provided to students through the operating budget.</t>
  </si>
  <si>
    <t>windsor_2019_6</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</si>
  <si>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Besides the logistics of being able to make the changes to our systems necessary to make this available to students in time for registration, there will not be a significant effect on the University’s Budget.</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</si>
  <si>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</si>
  <si>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</si>
  <si>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</si>
  <si>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</si>
  <si>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</si>
  <si>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</si>
  <si>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</si>
  <si>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</si>
  <si>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</si>
  <si>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</si>
  <si>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</si>
  <si>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</si>
  <si>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</si>
  <si>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</si>
  <si>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</si>
  <si>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</si>
  <si>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</si>
  <si>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</si>
  <si>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</si>
  <si>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</si>
  <si>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</si>
  <si>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</si>
  <si>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</si>
  <si>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 xml:space="preserve">High </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</si>
  <si>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</si>
  <si>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</si>
  <si>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</si>
  <si>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</si>
  <si>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</si>
  <si>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</si>
  <si>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carleton_2019</t>
  </si>
  <si>
    <t>Carleton University</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</si>
  <si>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</si>
  <si>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</si>
  <si>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</si>
  <si>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</si>
  <si>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carleton_2019_7</t>
  </si>
  <si>
    <t>Although Carleton is presently in good financial health, maintaining a balanced
operating budget within the new provincial funding model will become increasingly challenging.</t>
  </si>
  <si>
    <t>carleton_2020</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</si>
  <si>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</si>
  <si>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</si>
  <si>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</si>
  <si>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</si>
  <si>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</si>
  <si>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carleton_2021_2</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</si>
  <si>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2021-22 are based on a modest decline in first-year undergraduate student intake for the coming year, a fixed annual operating grant for the foreseeable future and compulsory cost increases that exceed annual revenue growth projections caused primarily by increases in compensation-related expenses.</t>
  </si>
  <si>
    <t>carleton_2021_4</t>
  </si>
  <si>
    <t>Carleton’s operating budget projects total revenue and expenses of $514.9 million for fiscal year 2021-22. This represents an increase of $12.5 million from the $502.4 million 2020-21 budget. The change is mainly attributable to international tuition fee increases ranging from 0% to 8% and flow-through of undergraduate international students. Domestic tuition fees for 2021-22 are planned to remain fixed at the 2019-20 level. These fees were reduced by 10% from those in 2018-19. The provincial government has yet to release an updated Tuition Fee Framework for post-secondary education institutions in Ontario.</t>
  </si>
  <si>
    <t>carleton_2021_6</t>
  </si>
  <si>
    <t>As the university works toward achieving these goals, we continue to emphasize and support initiatives that promise to increase and diversify external revenue sources and those that work to identify cost containment opportunities in the long term.</t>
  </si>
  <si>
    <t>carleton_2021_7</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</si>
  <si>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 have been encouraged to use existing carry forward funds to support initiatives aimed at addressing our budget priorities. The aim to draw on unit-level reserves was reinforced through conservative budget allocations in 2021-22. This has resulted in a total of $8.6 million in base funding invested through new faculty positions ($0.1 million toward a new librarian position, $1.7 million in replacement positions, and $0.8 million in benefit costs), new continuing professional staff positions ($1.5 million), improvements to Carleton’s IT infrastructure ($1.9 million), additional student support ($1.5 million), inflationary costs ($0.9 million) and other strategic initiatives ($0.2 million). As part of Carleton’s financial risk mitigation strategy, a one-time $6.8 million “strategic set aside” has been recommended for investment in future initiatives and to address unexpected income shortfall over the planning horizon.</t>
  </si>
  <si>
    <t>windsor_2019_8</t>
  </si>
  <si>
    <t>windsor_2019_9</t>
  </si>
  <si>
    <t>The University used this funding (approximately $1.3M annually) to help service the debt related to capital expansion to 2026/27. The cancellation of the program requires the operating budget to absorb this unexpected expense beginning in 2019/20.</t>
  </si>
  <si>
    <t>On April 12, 2019, UWindsor received a memo from the Ministry of Training, Colleges and Universities (MTCU) announcing the cancellation of the Graduate Enrolment Expansion Capital Program as of 2019/20. Grant payments were initiated in 2007/08 and were expected to continue for 20 years to support the infrastructure required to accommodate the government’s planned expansion of funded graduate spaces in Ontario.</t>
  </si>
  <si>
    <t>windsor_2019_10</t>
  </si>
  <si>
    <t>The Ontario Government’s budget introduced on April 11, 2019 noted changes to the next Strategic Mandate Agreement with Ontario Universities. The budget document says:
Through the next round of SMAs, Ontario will become a national leader in outcomes-based funding by tying 60 per cent to performance by the 2024-25 academic year. The first year of these new agreements will tie 25 per cent of funding to performance outcomes, and this proportion will increase annually by increments of 10 per cent for three years and 5 per cent in the last year until it reaches a steady state of 60 per cent in 2024-25... The overall number of metrics will also be reduced from 38 for colleges and 28 for universities to 10 for each sector. These 10 metrics align with the government’s priorities in skills and job outcomes, and economic and community impact. Institutions will have the flexibility to weigh the metrics that best reflect their differentiated strategic goals and will be measured against their own targets based on historical performance. These changes will reduce the reporting burden for institutions while supporting sustainability through a focus on institutional strengths and differentiation. (p. 187)</t>
  </si>
  <si>
    <t>carleton_2022</t>
  </si>
  <si>
    <t>carleton_2022_1</t>
  </si>
  <si>
    <t>Carleton's 2022-2023 operating budget supports the uhinversity's plans for the coming year and recommends the resource allocations required to execute those plans. It also reflects the university's alignment of its strategic planning, risk assessments and annual planning activities. The primary goal of this budget, as determined by the Strategic Integrated Planning Committee, is to advance the three directions of our Stategic Integrated Plan: Share Knowledge, Shape the Future, Serve Ottawa, Serve the World; and Strive for Wellness, Strive for Sustainability. As the university works toward achieving these goals, we continue to emphasize and support initiatives that promise to increase and diversity external revenue sources and those that work to identify cost containment opportunities in the long term.</t>
  </si>
  <si>
    <t>carleton_2022_2</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</si>
  <si>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2022-23 are based on flat first-year undergraduate student and domestic graduate student intake for the coming year, a fixed annual operating grant for the forseeable future and compulsory cost increases that exceed annual revenue growth projections caused primarily by increases in compensation-related expensesand inflation.</t>
  </si>
  <si>
    <t>Carleton's operating budget projects total revenue and expenses of $521 million for fiscal year 2022-23. This represents an increase of $6million from the $515 million 2021-22 budget. The change is mainly attributable to internatinoal tuition fee increases and flow-through of undergraduate students. Domestic 2022-23 tuition fees for Ontario residents will remain fixed at the 2019-20 level. These fees were reduced by 10% from those in 2018-19. the provincial government has permitted domestic tuition fees for out-of-province students to increase by 3% in 2021-22 and 5% in 2022-23.</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</si>
  <si>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(RPCs) have been encouraged to use existing carry forward funds to support initiatives aimed at addressing our budget priorities. The aim to draw on unit-level reserves was reinforced through conservative budget allocations in 2022-23. This has resulted in a total of $1.5 million in base funding invested into RPcs through new faculty positions ($0.4 million), new professional staff positions ($0.5 million), faculty allocations via the Enrolment-Linked Budget Allocation (ELBA) model ($0.5 million), and straegic and operational initiatives ($0.1 million)</t>
  </si>
  <si>
    <t>carleton_2022_5</t>
  </si>
  <si>
    <t>carleton_2022_7</t>
  </si>
  <si>
    <t>carleton_2023</t>
  </si>
  <si>
    <t>The post-secondary education sector in Ontario currently faces a number of challenges as we collectively strive to achieve our strategic goals while maintaining balanced operating budgets. Presenting balanced operating budgets have become increasingly difficult due to factors such as a continued freeze on domestic tuition for Ontario resident students, a fixed operating grant, material deferred maintenance liabilities, annual compensation increases and changes in recruitment and enrolment patterns. Despite these challenges, we are able to present a balanced operating budget for 2023-24.</t>
  </si>
  <si>
    <t>Despite significant impact posed by the COVID-19 pandemic, including international student visa processing delays experienced in 2022-23, we remain confident that a return to in-person recruitment, our reputational enhancement efforts, combined with signals that international student visa processing issues have been resolved, will bring modest growth in enrolment and associated tuition revenue for 2023-24. This is driven by a planned gradual increase in domestic undergraduate and international graduate student intake along with a partial bounce-back in international undergraduate intake.</t>
  </si>
  <si>
    <t>The impact of a continued domestic tuition fee freeze presents challenges to the university and each of its Resource Planning Committees (RPCs). Adjustments to RPC budgets will include some combination of changes to faculty and staff hiring plans, deferral of capital projects, and fewer investments in service improvements and new initiatives.</t>
  </si>
  <si>
    <t>Though Carleton is presently in good financial health, critical environmental factors continue to place pressure on maintaining a balanced budget. This budget represents investments geared toward accomplishing our goals while also ensuring we continue to maintain financial sustainability.</t>
  </si>
  <si>
    <t>carleton_2023_3</t>
  </si>
  <si>
    <t>carleton_2023_4</t>
  </si>
  <si>
    <t>carleton_2023_5</t>
  </si>
  <si>
    <t>carleton_2023_10</t>
  </si>
  <si>
    <t>carleton_2024</t>
  </si>
  <si>
    <t>The post-secondary education sector in Ontario faces numerous challenges as we collectively strive to achieve our goals while maintaining balanced operating budgets. The Council of Ontario Universities has stated: “At least 10 of the province’s 23 publicly assisted universities are now projecting budget deficits [in 2023-24] totaling $175 million, with that number expected to rise to $273 million in 2024-25.”1 This estimate was provided before the repeal of Bill 124, which will have the effect of materially increasing the projected sector-wide budget deficit. These deficits are driven by acute regulatory and policy changes on the part of government which are beyond the control of universities.</t>
  </si>
  <si>
    <t>Unfortunately, the provincial government has decided again to extend the freeze of domestic tuition for Ontario residents. The Ministry recently clarified that this freeze will extend into the next three fiscal years, or through to 2026-27. The impact of the 10% tuition fee cut in 2019-20 and subsequent freeze, up to and including 2023-24, totals an estimated $190 million in cumulative lost tuition revenue for Carleton. This also translates to a reduction in annual lost tuition revenue of approximately $55 million in 2024-25 and onward when compared to the framework in place before 2019-20.</t>
  </si>
  <si>
    <t>Additionally, the sector remains in a corridor model with respect to its operating grant from the Ministry of Colleges and Universities, meaning little opportunity exists for Ministry-provided operating grants to grow with enrolment. In March 2024, however, Carleton received a one-time grant of $7.2 million from the provincial government for unfunded growth in the STEM disciplines, along with an increase of 3%/2%/2% in the operating grant for 2024-25, 2025-26, and 2026-27, respectively. It is not clear whether these increases will become permanent or will be limited only to a three-year term.</t>
  </si>
  <si>
    <t>Prior to the pandemic, enrolment had been steadily and consistently increasing year over year for more than a decade, driven by growth in intake at both the undergraduate and graduate levels. In the fall of 2020, Carleton experienced a decline in new domestic first-year students, followed by a few consecutive years of decline in new first-year international students starting in 2021. The Fall 2023 term intake of new students saw the new domestic first-year student cohort at 87% of the peak intake year (2017), and the new international first-year student cohort stood at 61% of the comparable peak year for that cohort (2018). Successive years of declines have, and will continue, to flow through enrolment levels, affecting tuition revenue. Fortunately, the provincial grant has not been at risk during this period as we have been at or above the funded midpoint in the corridor model.</t>
  </si>
  <si>
    <t>For intake assumptions in 2024-25, we are pleased to see increases in domestic student interest but are also mindful of the financial situation of Ontario universities in general which will precipitate greater competition for domestic students. We have projected modest increases in domestic intake, therefore, both at the undergraduate and graduate levels. Given current geopolitical events coupled with new government regulations and process changes, we anticipate challenges with new international student cohort sizes. We have seen declines in application numbers at both the undergraduate and graduate levels. Caps on international student numbers exempt graduate students and given that demand is growing in some programs geared to international graduate students, we anticipate that the impact won’t be as significant at the graduate level as at the undergraduate level, although we are seeing declines in international graduate student applications at both levels. At the undergraduate level, while all efforts are being made to mitigate losses, the concern for 2024-25 is particularly acute as confusion and delays in processing visas may have significant implications.</t>
  </si>
  <si>
    <t>The University’s single largest operating expenditure is salary and benefits, representing approximately 76% of operating budget spend. As a result, the repeal of Bill 124 is projected to have a material financial impact on the University. Many peer institutions have finalized their approach to addressing the wage issues for faculty and staff post-Bill 124 and a process is now underway at Carleton to settle this issue.</t>
  </si>
  <si>
    <t>For 2023-24, based on our financial outlook at that time, the University mandated a 2% across-the-board cut for all resource planning committees (RPCs). In response to the increasing financial pressure facing the University, driven by mainly exogenous factors, a mandated 3% across-the-board cut was communicated as part of the 2024-25 operating budget process. This decision will level a differential impact on each RPC, depending on program mix and RPC revenue sources. Adjustments to RPC plans will differ based on local priorities but will include some combination of changes to faculty and staff hiring plans, deferral of capital projects, and fewer investments in service improvements and new initiatives.</t>
  </si>
  <si>
    <t>The result is a budgeted operating deficit of $26 million for 2024-25. The long-range financial outlook projects that 6% in annual RPC base budget cuts may be required between now and 2028-29 to balance the University’s operating budget should no new opportunities for revenue growth present themselves.</t>
  </si>
  <si>
    <t>Structural financial stability may come, however, not only through prudent spending and base budget cuts, but also through focused efforts to increase our revenues. Opportunities exist in the mid-term to see: (a) our new programs reach steady state; (b) a full bounce back in international enrolment; (c) the MEng Practice program bringing additional targeted international enrolment; (d) increases in domestic enrolments; and (e) MCU operating grant increases potentially set as permanent, or base, increases. Should these programmatic and regulatory changes be realized by 2028-29, they would have the effect of substantially reducing the projected $80 million base budget deficit.</t>
  </si>
  <si>
    <t>carleton_2024_2</t>
  </si>
  <si>
    <t>carleton_2024_3</t>
  </si>
  <si>
    <t>carleton_2024_4</t>
  </si>
  <si>
    <t>carleton_2024_5</t>
  </si>
  <si>
    <t>carleton_2024_6</t>
  </si>
  <si>
    <t>carleton_2024_7</t>
  </si>
  <si>
    <t>carleton_2024_9</t>
  </si>
  <si>
    <t>carleton_2024_10</t>
  </si>
  <si>
    <t>carleton_2024_11</t>
  </si>
  <si>
    <t>carleton_2025_1</t>
  </si>
  <si>
    <t>carleton_2025</t>
  </si>
  <si>
    <t>Carleton’s 2025-26 operating budget signals a year of financial instability. Since the Ontario government introduced a corridor model for distributing the operating grant in 2017, events such as the 10% domestic tuition fee cut in 2019-20 and subsequent ongoing freeze, the repeal of Bill 124, diplomatic tensions, and policy changes on international student visas imposed by Immigration, Refugees and Citizenship Canada have had a cumulative and deleterious impact on Carleton’s financial position. From a $44 million base operating budget surplus presented in 2018-19, the University now presents a $32 million base operating budget deficit for 2025-26.</t>
  </si>
  <si>
    <t>carleton_2025_2</t>
  </si>
  <si>
    <t>When assessing the financial health of the institution, the leadership team focuses its long-range financial planning on its base budget projection, which communicates the structural financial position of the institution. In 2024-25, the University budgeted a base operating deficit of $32 million, with term-limited investment income improving the fiscal result to a $26 million reported deficit. The base operating deficit is projected to remain flat in 2025-26, despite cutting $24 million in base expenditure budget for the coming year. This result highlights the current plight of Ontario universities: a sector marked by slow and constrained capacity to change coping with a rapidly evolving and unpredictable external environment. During 2024-25, the two most significant structural changes impacting Carleton University’s finances are the decline in international student intake and the retroactive application of Bill 124 salary adjustments. These events have a material flowthrough effect in 2025-26 and onward.</t>
  </si>
  <si>
    <t>The University had planned for a 25% and 10% reduction in undergraduate and graduate international students, respectively, in 2024-25 due to the impairment of Canada’s brand as a destination for international education, along with the operational losses incurred because of a delayed introduction of Provincial Attestation Letter requirements. Actual international intake in 2024-25, however, was materially lower in undergraduate and graduate students than in 2023-24. Early application data lead us to anticipate this trend will continue into 2025-26 with a projected additional 50% international undergraduate student decline and 10% international graduate student decline against 2024-25 levels. These declines continue an international student enrolment trend that began several years ago. In 2024-25, the University registered a 72% drop in international undergraduate student intake since our peak of more than 800 students in the fall of 2018. Compared to fall 2020, our undergraduate international intake has dropped 70%. Based on current projections, we are expecting as of Fall 2025 to have dropped by 86% from the peak in 2018.</t>
  </si>
  <si>
    <t>The repeal of Bill 124 also had a material financial impact on the University both in terms of retroactive salary payments and ongoing salary commitments. Salaries and benefits are the University’s largest operating expenditure, representing over 75% of operating budget expenditures. The Bill 124 salary adjustment, coupled with collective agreement-driven increases, exacerbate the structural budget challenges the University faces as increases in salaries continue to outpace revenue growth. Other financial pressures include the continued expansion of deferred maintenance obligations and an aging Enterprise Resource Planning system.</t>
  </si>
  <si>
    <t>A positive financial outcome for the University, however, occurred through an announcement made recently by the Ministry of Colleges, Universities, Research Excellence and Security (MCURES). On March 24, 2025, the Ministry announced an annual investment of $150M beginning in 2025-26 to support the continued delivery and enhancement of science, technology, engineering and mathematics (STEM) programming at Ontario’s colleges and universities. The allocation rewards institutions where enrolment has increased above the level funded in Strategic Mandate Agreement 3 (SMA3), while also providing support to all institutions that provide STEM programming in the province to help them retain existing STEM enrolments. For Carleton, this will result in $7.8 million in additional, ongoing provincial funding. Additionally, Postsecondary Education Sustainability Fund top-up monies are being allocated to institutions based on their updated financial health risk ratings. Carleton has received a medium risk rating, which will result in a one-time 3.5% increase to our operating funding, or $5.9 million.</t>
  </si>
  <si>
    <t>As revenues decrease and salary costs increase, the University has undertaken a spending reduction campaign across all Resource Planning Committees. The University has reduced its base spending by $30 million through introduction of a Voluntary Retirement Incentive Program (VRIP), reducing general and administrative spending, and making changes to class sizes and offerings. The University is reviewing the impact of staff reductions in areas where mission critical services are located and will make hiring decisions as needed. Inevitably, these budget reductions will impact service levels.</t>
  </si>
  <si>
    <t>Despite these significant efforts, the long-range financial outlook is clear: more organizational restructuring is required to restore financial stability. Continued attention to these priorities will be required to stem the depletion of university resources and the challenge to continue operating as a going concern. Organizational restructuring may begin as early as the current fiscal year. The operating budget presented for approval, however does not include an estimate for the impact of possible restructuring.</t>
  </si>
  <si>
    <t>carleton_2025_3</t>
  </si>
  <si>
    <t>carleton_2025_4</t>
  </si>
  <si>
    <t>carleton_2025_5</t>
  </si>
  <si>
    <t>carleton_2025_6</t>
  </si>
  <si>
    <t>carleton_2025_9</t>
  </si>
  <si>
    <t>Low versus High Resource Dependence</t>
  </si>
  <si>
    <t>lakehead_2021</t>
  </si>
  <si>
    <t>lakehead_2021_2</t>
  </si>
  <si>
    <t>The global context in which we operate remains complex. The impact of COVID-19 continues to evolve. We also continue to operate in a provincial environment focused on fiscal austerity. Universities across Ontario, including Lakehead University, are facing a number of challenges that threaten achievement of long-term enrolment targets. These challenges include changes to how universities are funded within the province of Ontario with an increasing proportion of funding tied to ten performance metrics, evolving demographics in the regions we serve, in some cases a declining post-secondary age population, while the need for reskilling in the current workforce is increasing, and provincial competition continues to grow. These pressures are expected to continue into the future, while Lakehead University continues to strive towards the goal of achieving optimal enrolment over the coming years.</t>
  </si>
  <si>
    <t>lakehead_2021_3</t>
  </si>
  <si>
    <t>Lakehead University’s commitment to continued financial sustainability is evidenced by strong financial performance metrics, sound governance and strong financial management. As required by the Board of Governors, Lakehead University continues to present a balanced operating budget. The budget planning process for 2021-22 fully reflects the integrated budget development model that was launched in 2015-16 following significant consultation to inform a transparent, consultative and accountable integrated budgeting process. Despite significant financial changes and enrolment pressures, Lakehead has continued to respond to mitigate funding shortfalls.</t>
  </si>
  <si>
    <t>lakehead_2021_4</t>
  </si>
  <si>
    <t>In addition to the significant funding challenges that Lakehead has managed, the 2021-22 budget also responds to the extraordinary circumstances of the global pandemic. The 2021-22 budget continues to demonstrate budget caution to ensure that Lakehead remains financially sustainable and viable moving through and beyond the next fiscal year. The strongest strategies to offset funding challenges remain strong program delivery and recruitment efforts combined with ongoing increases in domestic and international student enrolment with further growth projected in subsequent years.</t>
  </si>
  <si>
    <t>Lakehead University</t>
  </si>
  <si>
    <t>lakehead_2022</t>
  </si>
  <si>
    <t>As required by the Board of Governors, Lakehead University presents a balanced operating budget. The budget planning process for 2022-23 fully reflects our integrated budget development model and exhibits a transparent, consultative and accountable integrated budgeting process. Despite significant financial changes and enrolment pressures, Lakehead has been able to mitigate funding shortfalls.</t>
  </si>
  <si>
    <t>The pandemic has necessitated rigorous budget measures and, for the immediate
future as we address the lasting impact of COVID-19, this approach has been maintained. The additional budget controls that we collectively undertook during the last two years have assisted addressing the realities faced by the global pandemic, and have assisted mitigating shortfalls while ensuring that Lakehead remains financially sustainable and viable moving through and beyond the current year. Some of these additional budget controls will continue during 2022-23 as necessary.</t>
  </si>
  <si>
    <t>lakehead_2022_5</t>
  </si>
  <si>
    <t>lakehead_2022_6</t>
  </si>
  <si>
    <t>lakehead_2023</t>
  </si>
  <si>
    <t>The global context in which we operate continues to remain complex. As we recover from
the impacts of COVID-19 on our operations, most notably through some recovery in
enrolment, we continue to manage financial pressures including a continued freeze on
domestic tuition rates, significant inflationary pressures, and an increasingly competitive
post-secondary environment.</t>
  </si>
  <si>
    <t>On October 12, 2023, the Board of Governors approved a provisional $5.284M operating
budget deficit for 2023-24 while work continues concurrently with the development of an
action plan that mitigates the University's structural deficit and ongoing advocacy with
government.</t>
  </si>
  <si>
    <t>To ensure that Lakehead remains financially sustainable and viable moving through and
beyond the next fiscal year, the 2023-24 budget continues to demonstrate budget caution.
The 2023-24 budget offers a blueprint to manage the fiscal year so that each
faculty/department has a budget foundation to work within. Budget adjustments may
continue into the winter months, depending on enrolment and other financial pressures.
The strongest strategies to offset immediate and longer-term funding challenges remain
strong program delivery combined with proactive recruitment and retention efforts of both
domestic and international student enrolment.</t>
  </si>
  <si>
    <t>lakehead_2023_2</t>
  </si>
  <si>
    <t>lakehead_2023_3</t>
  </si>
  <si>
    <t>lakehead_2023_4</t>
  </si>
  <si>
    <t>lakehead_2024_1</t>
  </si>
  <si>
    <t>lakehead_2024</t>
  </si>
  <si>
    <t>As we plan for the upcoming 2024-25 fiscal year, the global context in which we operate continues to remain complex. Most notable is the significant disruption to international enrolment resulting from changes to federal immigration policy, capping of international undergraduate student visa approvals, and changes to the post-graduate work permit requirements. Lakehead also remains impacted by financial pressures including a continued freeze on domestic tuition rates, and a competitive post-secondary environment.</t>
  </si>
  <si>
    <t>lakehead_2024_2</t>
  </si>
  <si>
    <t>In 2023, in response to the sector-wide financial sustainability challenges, the province struck a Blue Ribbon Panel. While the panel acknowledged the structural challenges facing the sector and made recommendations for significant increases to tuition and grant funding, the government’s response has focused more on operational efficiencies.</t>
  </si>
  <si>
    <t>In February 2024, the government announced $1.3 billion in new funding over the next 3 years. This announcement was welcome news; however, analysts have indicated it represents about 20% of what was needed to stabilize the sector, well short of the Panel’s recommendations.</t>
  </si>
  <si>
    <t>Lakehead University's commitment to financial sustainability continues to be evidenced by strong financial performance metrics, sound governance, and strong financial management. Advocacy efforts with the provincial government have and will continue as we stress the unique position of Lakehead as the only comprehensive university in the north.</t>
  </si>
  <si>
    <t>The budget planning process for 2024-25 fully reflects our integrated budget development model and exhibits a transparent, consultative, and accountable integrated budgeting process. While a structural deficit still exists, the addition of one-time targeted sustainability funding, resulting from the $1.3 billion funding announcement, has contributed to a balanced budget.</t>
  </si>
  <si>
    <t>lakehead_2024_3</t>
  </si>
  <si>
    <t>lakehead_2024_4</t>
  </si>
  <si>
    <t>lakehead_2024_5</t>
  </si>
  <si>
    <t>lakehead_2025_1</t>
  </si>
  <si>
    <t>lakehead_2025</t>
  </si>
  <si>
    <t>Similar to the prior fiscal year, the external environment for the post-secondary education sector remains complex. Last year’s disruption to international enrolment resulting from changes to federal immigration policy continues to be a factor.</t>
  </si>
  <si>
    <t>lakehead_2025_2</t>
  </si>
  <si>
    <t>Development of the 2025/26 budget has been impacted significantly by these changes, most notably the capping of international student visa approvals, which have expanded to include graduate students. Lakehead is experiencing declines in applications due to the reputational damage these policy changes have caused combined with the perceived hostility of the Canadian government towards international students. Lakehead also remains impacted by a continued freeze on domestic tuition rates, and a highly competitive post-secondary environment. As a northern university, Lakehead is disproportionately affected by these external forces.</t>
  </si>
  <si>
    <t>In February 2024, the government announced $1.3 billion in new funding for a 3-year period. This announcement was welcome news; however, analysts have indicated it represents about 20% of what was needed to stabilize the sector, well short of the Blue Ribbon Panel’s recommendations. The Blue Ribbon Panel was struck in 2023 by the province in response to the sector-wide financial sustainability challenges.</t>
  </si>
  <si>
    <t>The addition of one-time targeted sustainability funding, resulting from the $1.3 billion funding announcement in 2024, contributed to a balanced budget for Lakehead in 202425; however, for 2025/26, Lakehead’s portion of the Post Secondary Education Sustainability Fund (PSESF) Top-up funding, which is a component of the $1.3 billion, was reduced to nearly half for 2025/26.</t>
  </si>
  <si>
    <t>The reduction to the PSESF Top-up funding in combination with the decline in international student enrolment has been unexpected and has placed exceptional pressure on budget development.</t>
  </si>
  <si>
    <t>Lakehead University's commitment to financial sustainability continues to be evidenced by strong financial performance metrics, sound governance and strong financial management. Advocacy efforts with the provincial government have continued and will continue as we stress the unique position of Lakehead as the only comprehensive university in the north.</t>
  </si>
  <si>
    <t>lakehead_2025_3</t>
  </si>
  <si>
    <t>lakehead_2025_4</t>
  </si>
  <si>
    <t>lakehead_2025_5</t>
  </si>
  <si>
    <t>lakehead_2025_6</t>
  </si>
  <si>
    <t>laurier_2025</t>
  </si>
  <si>
    <t>laurier_2025_1</t>
  </si>
  <si>
    <r>
      <t>The assumptions and estimates included in the 2025/26 Operating, Ancillary and Capital budgets are based on the information available to management at the time of preparation</t>
    </r>
    <r>
      <rPr>
        <sz val="11"/>
        <color rgb="FFFF0000"/>
        <rFont val="Calibri"/>
        <family val="2"/>
      </rPr>
      <t xml:space="preserve">. </t>
    </r>
    <r>
      <rPr>
        <sz val="11"/>
        <color theme="1"/>
        <rFont val="Calibri"/>
        <family val="2"/>
      </rPr>
      <t>Post-secondary institutions in Canada are facing sector-wide challenges, with continued revenue constraints and significant inflationary pressures contributing to growing financial risks. Universities across Ontario are facing increased scrutiny on fiscal performance through the Ministry of Colleges, Universities, Research Excellence and Security (MCURES) Financial Accountability Framework. </t>
    </r>
  </si>
  <si>
    <t>laurier_2025_2</t>
  </si>
  <si>
    <t>Successfully navigating this difficult environment will require highly disciplined and effective financial management as the university considers both the short-term horizon as articulated in the fiscal year budget and long-term sustainability as depicted in the multi-year budget projections.</t>
  </si>
  <si>
    <t>laurier_2025_4</t>
  </si>
  <si>
    <t>Notwithstanding this recent infusion of government grant funding, Laurier remain in a structural deficit position, with a modest deficit slated to increase rapidly over the next five years even if tuition is permitted to increase in 2027/28 and beyond. Significant constraints on revenue continue in the short term, including an ongoing general freeze in domestic tuition rates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required to succeed in a highly competitive sector.</t>
  </si>
  <si>
    <t>laurier_2025_5</t>
  </si>
  <si>
    <t>Alongside a challenging revenue outlook, increased scrutiny of universities’ financial performance continues through the MCURES University Financial Accountability Framework. The Framework consists of the five financial health indicators previously reported by Ontario Universities and incorporates debt ratios and the institution’s credit rating into an overall risk assessment. While Laurier’s 2023/24 financial performance resulted in a “low” risk assessment, a significant contributing factor to this assessment was the occurrence of one-time financial impacts such as real estate transactions (reinvested in capital) and the 23/24 one-time-only STEM funding. Without these transactions, Laurier’s performance would have yielded a less favourable risk assessment rating. 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</si>
  <si>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Wilfrid Laurier University</t>
  </si>
  <si>
    <t>laurier_2024_1</t>
  </si>
  <si>
    <t>laurier_2024</t>
  </si>
  <si>
    <t>The assumptions and estimates included in the 2024/25 Operating, Ancillary and Capital budgets are based on the information available to management at the time of preparation. Post-secondary institutions in Canada are facing sector-wide challenges, with continued revenue constraints and significant inflationary pressures contributing to growing financial risks. Universities across Ontario are facing increased scrutiny on fiscal performance through a recently announced MCU Financial Accountability Framework and a series of value-for-money audits by the Auditor General.</t>
  </si>
  <si>
    <t>Laurier is now in a structural deficit position, as the university faces significant constraints on revenue including an ongoing general freeze in domestic tuition rates, modest temporary increases to government grant,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to succeed in a highly competitive sector.</t>
  </si>
  <si>
    <t>Alongside a challenging revenue outlook, increased scrutiny of Universities’ financial performance was confirmed as the Ministry of Colleges and Universities introduced the University Financial Accountability Framework. The Framework consists of the five financial health indicators previously reported by Ontario Universities and incorporates debt ratios and the institution’s credit rating into an overall risk assessment. Laurier’s 2022/23 financial performance resulted in a “low” risk assessment, however, a significant contributing factor to this assessment was the occurrence of one-time real estate transactions – without these transactions, Laurier’s performance would have yielded a less favourable risk assessment rating.</t>
  </si>
  <si>
    <t>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</si>
  <si>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In February 2024, Laurier received $11.6 million of funding for the 2023/24 fiscal year as part of the province’s funding approach to stabilize colleges and universities while maintaining a tuition freeze for Ontario students. This funding was provided specifically for STEM program costs for enrolments above currently funded levels. This one-time funding enables Laurier to offset $11.6 million in budgeted expenditures incurred during the 2023/24 year and contribute to a stabilization fund to mitigate future deficits. While this provides some limited, short-term deficit mitigation, without sustained and predictable funding Laurier will continue to be challenged with a growing structural deficit.</t>
  </si>
  <si>
    <t>laurier_2024_2</t>
  </si>
  <si>
    <t>laurier_2024_3</t>
  </si>
  <si>
    <t>laurier_2024_4</t>
  </si>
  <si>
    <t>laurier_2024_5</t>
  </si>
  <si>
    <t>laurier_2024_6</t>
  </si>
  <si>
    <t>laurier_2023_1</t>
  </si>
  <si>
    <t>laurier_2023</t>
  </si>
  <si>
    <t>The 2023/24 budget anticipates a full return to on-campus operations following multiple years of pandemic-driven budget assumptions. In recent years, the organization has been successful in mitigating the cumulative fiscal impacts of tuition cuts, grant and tuition freezes, pandemic-related public health restrictions, and challenges affecting sector efforts in internationalization. The provincial government has recently announced a blue-ribbon panel, composed of business and academic leaders, that will provide advice and recommendations related to sector financial stability beyond 2023/24. For 2023/24, funding constraints are continuing, with a continued tuition freeze for most Ontario students and fixed operating grant funding.</t>
  </si>
  <si>
    <t>With financial challenges escalating, the sector is also subject to increased scrutiny resulting from recent auditor general value-for-money audits. While annual operating budget plans are critical to financial sustainability, the assessment of comprehensive fiscal health inclusive of capital planning, reserve considerations, and debt capacity, will be needed to support Laurier’s significant upcoming growth initiatives. Laurier is poised to embark upon a number of exciting initiatives which will contribute to its strategic mandate and success in a highly competitive sector. The prioritization and focus on key investments with consideration for revenue generation, cost containment and spending to increase priority services and programs, will be critical in optimizing limited resources and safeguarding Laurier’s financial health – key principles in the development of the 2023/24 Budget.</t>
  </si>
  <si>
    <t>laurier_2023_2</t>
  </si>
  <si>
    <t>The assumptions and estimates included in the 2023/24 Operating and Ancillary budgets are based on the information available to management at the time of preparation. Post-secondary institutions in Canada are facing sector-wide challenges; the cumulative impact of tuition cuts, grant and tuition freezes, COVID-19 pandemic impacts and significant inflationary pressures have contributed to growing financial risks. Universities across Ontario are facing increased scrutiny on fiscal performance and a greater focus on financial health indicators is expected as part of the province’s overall performance management framework. This will require demonstration of effective financial planning which considers the short-term needs articulated in a fiscal year budget, as well as longer term strategies that tie into strategic priorities and capital planning. Throughout our history, the strength of the Wilfrid Laurier University community has allowed us to capitalize on opportunities and prevail over challenges to become a comprehensive, multi-campus institution focused on excellence in academics, a student experience second to none, and growing research enterprise. The 2023/24 budget builds upon those strengths as the university embarks on a number of efforts which will contribute to its continued success.</t>
  </si>
  <si>
    <t>Beyond pandemic recovery, Laurier is faced with frozen Ontario tuition and grant values, increasing building renewal needs, continued investment in information technology systems, compounding inflationary pressures and funding requirements for investment in strategic initiatives and programs to succeed in a highly competitive sector.</t>
  </si>
  <si>
    <t>Prioritization and a focus on key investments, with consideration for growth strategies, revenue generation, cost containment and spending to increase priority services and programs will be critical to optimize limited resources and safeguard Laurier’s fiscal health.</t>
  </si>
  <si>
    <t>Financial sustainability is a critical enabler that will equip Laurier with the financial strength and capacity to achieve its strategic objectives. Financial sustainability refers to the balance between the revenues available to institutions to support their academic activities and the expenses they incur in delivering their mission.</t>
  </si>
  <si>
    <t>laurier_2023_5</t>
  </si>
  <si>
    <t>laurier_2023_6</t>
  </si>
  <si>
    <t>laurier_2023_8</t>
  </si>
  <si>
    <t>laurier_2023_9</t>
  </si>
  <si>
    <t>laurier_2022</t>
  </si>
  <si>
    <t>Laurier is poised to embark upon a number of exciting initiatives which will contribute to its success in a highly competitive sector. Consideration of financial decisions must be made in the context of the organization’s strategic mandate, as well as the full financial picture inclusive of capital, reserves, debt, and operating and ancillary services budgets. The Financial Sustainability Project, initiated in fall 2021, will strengthen capabilities in maintaining an up-to-date understanding of this full financial picture. The prioritization and focus on key investments with consideration for revenue generation, cost containment and spending to increase priority services or programs will be critical in optimizing limited resources and safeguarding Laurier’s financial health and has served as key principles in the development of the 2022/23 Budget.</t>
  </si>
  <si>
    <t>laurier_2022_2</t>
  </si>
  <si>
    <t>In this multi-year approach, continued efforts to address a structural deficit are needed to lay the groundwork for Laurier to succeed in a post-pandemic world. Beyond pandemic recovery, Laurier is faced with frozen tuition and grant values, increasing capital infrastructure needs, continued investment in information technology systems, compounding inflationary pressures and funding requirements for investment in strategic initiatives and programs to succeed in a highly competitive sector.</t>
  </si>
  <si>
    <t>Prioritization and a focus on key investments, with consideration for growth strategies, revenue generation, cost containment and spending to increase key services and programs will be critical to optimize limited resources and safeguard the organization’s fiscal health. </t>
  </si>
  <si>
    <t>laurier_2021_4</t>
  </si>
  <si>
    <t>laurier_2021_6</t>
  </si>
  <si>
    <t>laurier_2021</t>
  </si>
  <si>
    <t>laurier_2019</t>
  </si>
  <si>
    <t>The Operating Budget is developed with a focus on ensuring resources are devoted to high impact strategic priorities and are aligned with the institutional mission. In light of policy changes governing tuition fees, it is increasingly important to ensure that resource allocation reflects the strategic direction of the institution, while exercising spending constraint.</t>
  </si>
  <si>
    <t>Discussions regarding future Strategic Mandate Agreements are ongoing and may affect funding levels.</t>
  </si>
  <si>
    <t>The Provincial Government announced the withdrawal of capital funding for the Milton campus. Laurier’s capital allocation had been slated at $90 million. Despite this, Laurier remains committed to expanding into Milton and enhancing its multi-campus presence.</t>
  </si>
  <si>
    <t>laurier_2019_8</t>
  </si>
  <si>
    <t>laurier_2019_14</t>
  </si>
  <si>
    <t>laurier_2019_15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</si>
</sst>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
      <sz val="11"/>
      <color rgb="FFFF0000"/>
      <name val="Calibri"/>
      <family val="2"/>
    </font>
    <font>
      <sz val="14"/>
      <color rgb="FF000000"/>
      <name val="-webkit-standard"/>
    </font>
  </fonts>
  <fills count="9">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5"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7" fillId="0" borderId="0" xfId="0" applyFont="1" applyAlignment="1">
      <alignment shrinkToFit="1"/>
    </xf>
    <xf numFmtId="0" fontId="1" fillId="6" borderId="0" xfId="0" applyFont="1" applyFill="1"/>
    <xf numFmtId="0" fontId="12" fillId="0" borderId="0" xfId="0" applyFont="1"/>
    <xf numFmtId="0" fontId="1" fillId="7" borderId="0" xfId="0" applyFont="1" applyFill="1"/>
    <xf numFmtId="0" fontId="1" fillId="2" borderId="0" xfId="0" applyFont="1" applyFill="1"/>
    <xf numFmtId="0" fontId="0" fillId="2" borderId="0" xfId="0" applyFill="1"/>
    <xf numFmtId="0" fontId="0" fillId="8" borderId="0" xfId="0" applyFill="1" applyAlignment="1">
      <alignment horizontal="left"/>
    </xf>
    <xf numFmtId="0" fontId="1" fillId="2" borderId="0" xfId="0" applyFont="1" applyFill="1" applyAlignment="1">
      <alignment horizontal="right"/>
    </xf>
    <xf numFmtId="0" fontId="0" fillId="8" borderId="0" xfId="0" applyFill="1" applyAlignment="1">
      <alignment horizontal="right"/>
    </xf>
    <xf numFmtId="0" fontId="0" fillId="2" borderId="0" xfId="0" applyFill="1" applyAlignment="1">
      <alignment horizontal="right"/>
    </xf>
    <xf numFmtId="0" fontId="0" fillId="0" borderId="0" xfId="0" applyAlignment="1"/>
    <xf numFmtId="0" fontId="4" fillId="0" borderId="0" xfId="0" applyFont="1"/>
    <xf numFmtId="0" fontId="14" fillId="0" borderId="0" xfId="0" applyFont="1"/>
    <xf numFmtId="0" fontId="14" fillId="0" borderId="0" xfId="0" applyFont="1" applyAlignment="1">
      <alignment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U278"/>
  <sheetViews>
    <sheetView tabSelected="1" topLeftCell="A244" zoomScaleNormal="100" workbookViewId="0">
      <selection activeCell="C283" sqref="C283"/>
    </sheetView>
  </sheetViews>
  <sheetFormatPr baseColWidth="10" defaultRowHeight="16"/>
  <cols>
    <col min="1" max="1" width="12.33203125" customWidth="1"/>
    <col min="2" max="2" width="16.33203125" customWidth="1"/>
    <col min="3" max="3" width="14.6640625" customWidth="1"/>
    <col min="4" max="5" width="15" style="13" hidden="1" customWidth="1"/>
    <col min="6" max="6" width="15" style="13" customWidth="1"/>
    <col min="7" max="7" width="15" style="23" customWidth="1"/>
    <col min="8" max="8" width="15" style="13" customWidth="1"/>
    <col min="10" max="10" width="12" customWidth="1"/>
    <col min="11" max="11" width="18" customWidth="1"/>
    <col min="12" max="12" width="16.5" customWidth="1"/>
    <col min="14" max="15" width="19" customWidth="1"/>
    <col min="16" max="16" width="12.5" customWidth="1"/>
    <col min="17" max="17" width="12.1640625" customWidth="1"/>
    <col min="18" max="18" width="12.5" customWidth="1"/>
  </cols>
  <sheetData>
    <row r="1" spans="1:21">
      <c r="A1" s="2" t="s">
        <v>0</v>
      </c>
      <c r="B1" s="2" t="s">
        <v>1</v>
      </c>
      <c r="C1" s="5" t="s">
        <v>2</v>
      </c>
      <c r="D1" s="12" t="s">
        <v>412</v>
      </c>
      <c r="E1" s="12" t="s">
        <v>413</v>
      </c>
      <c r="F1" s="12" t="s">
        <v>393</v>
      </c>
      <c r="G1" s="21" t="s">
        <v>394</v>
      </c>
      <c r="H1" s="12" t="s">
        <v>407</v>
      </c>
      <c r="I1" s="3" t="s">
        <v>5</v>
      </c>
      <c r="J1" s="3" t="s">
        <v>6</v>
      </c>
      <c r="K1" s="3" t="s">
        <v>3</v>
      </c>
      <c r="L1" s="3" t="s">
        <v>12</v>
      </c>
      <c r="M1" s="3" t="s">
        <v>4</v>
      </c>
      <c r="N1" s="3" t="s">
        <v>14</v>
      </c>
      <c r="O1" s="3" t="s">
        <v>15</v>
      </c>
      <c r="P1" s="3" t="s">
        <v>192</v>
      </c>
      <c r="Q1" s="3" t="s">
        <v>193</v>
      </c>
      <c r="R1" s="3" t="s">
        <v>194</v>
      </c>
      <c r="S1" s="3" t="s">
        <v>195</v>
      </c>
      <c r="T1" s="3" t="s">
        <v>215</v>
      </c>
      <c r="U1" s="3" t="s">
        <v>216</v>
      </c>
    </row>
    <row r="2" spans="1:21" ht="28" customHeight="1">
      <c r="A2" s="4" t="s">
        <v>9</v>
      </c>
      <c r="B2" s="4" t="s">
        <v>10</v>
      </c>
      <c r="C2" s="6" t="s">
        <v>16</v>
      </c>
      <c r="D2" s="13">
        <v>1</v>
      </c>
      <c r="E2" s="13" t="s">
        <v>395</v>
      </c>
      <c r="F2" s="13">
        <v>1</v>
      </c>
      <c r="G2" s="22">
        <v>1</v>
      </c>
      <c r="H2" s="13">
        <v>2</v>
      </c>
      <c r="I2" s="4">
        <v>1</v>
      </c>
      <c r="J2" s="4">
        <v>9</v>
      </c>
      <c r="K2" s="4" t="s">
        <v>11</v>
      </c>
      <c r="L2" s="4" t="s">
        <v>13</v>
      </c>
      <c r="M2" s="4">
        <v>2017</v>
      </c>
      <c r="N2" s="4">
        <v>1</v>
      </c>
      <c r="O2" s="4">
        <v>0</v>
      </c>
    </row>
    <row r="3" spans="1:21" ht="20" customHeight="1">
      <c r="A3" s="4" t="s">
        <v>9</v>
      </c>
      <c r="B3" s="4" t="s">
        <v>22</v>
      </c>
      <c r="C3" s="6" t="s">
        <v>17</v>
      </c>
      <c r="D3" s="13">
        <v>1</v>
      </c>
      <c r="E3" s="13" t="s">
        <v>399</v>
      </c>
      <c r="F3" s="13">
        <v>1</v>
      </c>
      <c r="G3" s="22">
        <v>1</v>
      </c>
      <c r="H3" s="13">
        <v>2</v>
      </c>
      <c r="I3" s="4">
        <v>2</v>
      </c>
      <c r="J3" s="4">
        <v>9</v>
      </c>
      <c r="K3" s="4" t="s">
        <v>11</v>
      </c>
      <c r="L3" s="4" t="s">
        <v>13</v>
      </c>
      <c r="M3" s="4">
        <v>2017</v>
      </c>
      <c r="N3" s="4">
        <v>1</v>
      </c>
      <c r="O3" s="4">
        <v>0</v>
      </c>
    </row>
    <row r="4" spans="1:21" ht="22" customHeight="1">
      <c r="A4" s="4" t="s">
        <v>9</v>
      </c>
      <c r="B4" s="4" t="s">
        <v>23</v>
      </c>
      <c r="C4" s="6" t="s">
        <v>18</v>
      </c>
      <c r="D4" s="13">
        <v>1</v>
      </c>
      <c r="E4" s="13" t="s">
        <v>397</v>
      </c>
      <c r="F4" s="13">
        <v>1</v>
      </c>
      <c r="G4" s="22">
        <v>0</v>
      </c>
      <c r="H4" s="20">
        <v>2</v>
      </c>
      <c r="I4" s="4">
        <v>3</v>
      </c>
      <c r="J4" s="4">
        <v>9</v>
      </c>
      <c r="K4" s="4" t="s">
        <v>11</v>
      </c>
      <c r="L4" s="4" t="s">
        <v>13</v>
      </c>
      <c r="M4" s="4">
        <v>2017</v>
      </c>
      <c r="N4" s="4">
        <v>1</v>
      </c>
      <c r="O4" s="4">
        <v>0</v>
      </c>
    </row>
    <row r="5" spans="1:21">
      <c r="A5" s="4" t="s">
        <v>9</v>
      </c>
      <c r="B5" s="4" t="s">
        <v>24</v>
      </c>
      <c r="C5" s="6" t="s">
        <v>19</v>
      </c>
      <c r="D5" s="13">
        <v>1</v>
      </c>
      <c r="E5" s="13" t="s">
        <v>399</v>
      </c>
      <c r="F5" s="13">
        <v>1</v>
      </c>
      <c r="G5" s="22">
        <v>0</v>
      </c>
      <c r="H5" s="13">
        <v>1</v>
      </c>
      <c r="I5" s="4">
        <v>6</v>
      </c>
      <c r="J5" s="4">
        <v>9</v>
      </c>
      <c r="K5" s="4" t="s">
        <v>11</v>
      </c>
      <c r="L5" s="4" t="s">
        <v>13</v>
      </c>
      <c r="M5" s="4">
        <v>2017</v>
      </c>
      <c r="N5" s="4">
        <v>1</v>
      </c>
      <c r="O5" s="4">
        <v>0</v>
      </c>
    </row>
    <row r="6" spans="1:21">
      <c r="A6" s="4" t="s">
        <v>9</v>
      </c>
      <c r="B6" s="4" t="s">
        <v>25</v>
      </c>
      <c r="C6" s="6" t="s">
        <v>20</v>
      </c>
      <c r="D6" s="13">
        <v>1</v>
      </c>
      <c r="E6" s="13" t="s">
        <v>399</v>
      </c>
      <c r="F6" s="13">
        <v>1</v>
      </c>
      <c r="G6" s="22">
        <v>1</v>
      </c>
      <c r="H6" s="13">
        <v>2</v>
      </c>
      <c r="I6" s="4">
        <v>8</v>
      </c>
      <c r="J6" s="4">
        <v>9</v>
      </c>
      <c r="K6" s="4" t="s">
        <v>11</v>
      </c>
      <c r="L6" s="4" t="s">
        <v>13</v>
      </c>
      <c r="M6" s="4">
        <v>2017</v>
      </c>
      <c r="N6" s="4">
        <v>1</v>
      </c>
      <c r="O6" s="4">
        <v>0</v>
      </c>
    </row>
    <row r="7" spans="1:21">
      <c r="A7" s="4" t="s">
        <v>9</v>
      </c>
      <c r="B7" s="4" t="s">
        <v>26</v>
      </c>
      <c r="C7" s="6" t="s">
        <v>21</v>
      </c>
      <c r="D7" s="13">
        <v>0</v>
      </c>
      <c r="F7" s="13">
        <v>1</v>
      </c>
      <c r="G7" s="22">
        <v>0</v>
      </c>
      <c r="H7" s="13">
        <v>1</v>
      </c>
      <c r="I7" s="4">
        <v>9</v>
      </c>
      <c r="J7" s="4">
        <v>9</v>
      </c>
      <c r="K7" s="4" t="s">
        <v>11</v>
      </c>
      <c r="L7" s="4" t="s">
        <v>13</v>
      </c>
      <c r="M7" s="4">
        <v>2017</v>
      </c>
      <c r="N7" s="4">
        <v>1</v>
      </c>
      <c r="O7" s="4">
        <v>0</v>
      </c>
    </row>
    <row r="8" spans="1:21">
      <c r="A8" s="4" t="s">
        <v>8</v>
      </c>
      <c r="B8" s="4" t="s">
        <v>27</v>
      </c>
      <c r="C8" s="6" t="s">
        <v>28</v>
      </c>
      <c r="D8" s="13">
        <v>1</v>
      </c>
      <c r="E8" s="13" t="s">
        <v>395</v>
      </c>
      <c r="F8" s="13">
        <v>1</v>
      </c>
      <c r="G8" s="22">
        <v>1</v>
      </c>
      <c r="H8" s="13">
        <v>2</v>
      </c>
      <c r="I8" s="4">
        <v>1</v>
      </c>
      <c r="J8" s="4">
        <v>9</v>
      </c>
      <c r="K8" s="4" t="s">
        <v>11</v>
      </c>
      <c r="L8" s="4" t="s">
        <v>13</v>
      </c>
      <c r="M8" s="4">
        <v>2018</v>
      </c>
      <c r="N8" s="4">
        <v>1</v>
      </c>
      <c r="O8" s="4">
        <v>0</v>
      </c>
    </row>
    <row r="9" spans="1:21">
      <c r="A9" s="4" t="s">
        <v>8</v>
      </c>
      <c r="B9" s="4" t="s">
        <v>33</v>
      </c>
      <c r="C9" s="6" t="s">
        <v>29</v>
      </c>
      <c r="D9" s="13">
        <v>1</v>
      </c>
      <c r="E9" s="13" t="s">
        <v>399</v>
      </c>
      <c r="F9" s="13">
        <v>1</v>
      </c>
      <c r="G9" s="22">
        <v>1</v>
      </c>
      <c r="H9" s="13">
        <v>2</v>
      </c>
      <c r="I9" s="4">
        <v>2</v>
      </c>
      <c r="J9" s="4">
        <v>9</v>
      </c>
      <c r="K9" s="4" t="s">
        <v>11</v>
      </c>
      <c r="L9" s="4" t="s">
        <v>13</v>
      </c>
      <c r="M9" s="4">
        <v>2018</v>
      </c>
      <c r="N9" s="4">
        <v>1</v>
      </c>
      <c r="O9" s="4">
        <v>0</v>
      </c>
    </row>
    <row r="10" spans="1:21">
      <c r="A10" s="4" t="s">
        <v>8</v>
      </c>
      <c r="B10" s="4" t="s">
        <v>34</v>
      </c>
      <c r="C10" s="6" t="s">
        <v>30</v>
      </c>
      <c r="D10" s="13">
        <v>1</v>
      </c>
      <c r="E10" s="13" t="s">
        <v>399</v>
      </c>
      <c r="F10" s="13">
        <v>1</v>
      </c>
      <c r="G10" s="22">
        <v>0</v>
      </c>
      <c r="H10" s="13">
        <v>1</v>
      </c>
      <c r="I10" s="4">
        <v>6</v>
      </c>
      <c r="J10" s="4">
        <v>9</v>
      </c>
      <c r="K10" s="4" t="s">
        <v>11</v>
      </c>
      <c r="L10" s="4" t="s">
        <v>13</v>
      </c>
      <c r="M10" s="4">
        <v>2018</v>
      </c>
      <c r="N10" s="4">
        <v>1</v>
      </c>
      <c r="O10" s="4">
        <v>0</v>
      </c>
    </row>
    <row r="11" spans="1:21">
      <c r="A11" s="4" t="s">
        <v>8</v>
      </c>
      <c r="B11" s="4" t="s">
        <v>35</v>
      </c>
      <c r="C11" s="6" t="s">
        <v>31</v>
      </c>
      <c r="D11" s="13">
        <v>1</v>
      </c>
      <c r="E11" s="13" t="s">
        <v>399</v>
      </c>
      <c r="F11" s="13">
        <v>1</v>
      </c>
      <c r="G11" s="22">
        <v>1</v>
      </c>
      <c r="H11" s="13">
        <v>2</v>
      </c>
      <c r="I11" s="4">
        <v>7</v>
      </c>
      <c r="J11" s="4">
        <v>9</v>
      </c>
      <c r="K11" s="4" t="s">
        <v>11</v>
      </c>
      <c r="L11" s="4" t="s">
        <v>13</v>
      </c>
      <c r="M11" s="4">
        <v>2018</v>
      </c>
      <c r="N11" s="4">
        <v>1</v>
      </c>
      <c r="O11" s="4">
        <v>0</v>
      </c>
    </row>
    <row r="12" spans="1:21">
      <c r="A12" s="4" t="s">
        <v>8</v>
      </c>
      <c r="B12" s="4" t="s">
        <v>36</v>
      </c>
      <c r="C12" s="6" t="s">
        <v>32</v>
      </c>
      <c r="D12" s="13">
        <v>0</v>
      </c>
      <c r="F12" s="13">
        <v>1</v>
      </c>
      <c r="G12" s="22">
        <v>0</v>
      </c>
      <c r="H12" s="13">
        <v>1</v>
      </c>
      <c r="I12" s="4">
        <v>9</v>
      </c>
      <c r="J12" s="4">
        <v>9</v>
      </c>
      <c r="K12" s="4" t="s">
        <v>11</v>
      </c>
      <c r="L12" s="4" t="s">
        <v>13</v>
      </c>
      <c r="M12" s="4">
        <v>2018</v>
      </c>
      <c r="N12" s="4">
        <v>1</v>
      </c>
      <c r="O12" s="4">
        <v>0</v>
      </c>
    </row>
    <row r="13" spans="1:21">
      <c r="A13" s="4" t="s">
        <v>7</v>
      </c>
      <c r="B13" s="4" t="s">
        <v>37</v>
      </c>
      <c r="C13" s="7" t="s">
        <v>39</v>
      </c>
      <c r="D13" s="13">
        <v>1</v>
      </c>
      <c r="E13" s="13" t="s">
        <v>395</v>
      </c>
      <c r="F13" s="13">
        <v>1</v>
      </c>
      <c r="G13" s="22">
        <v>1</v>
      </c>
      <c r="H13" s="13">
        <v>2</v>
      </c>
      <c r="I13" s="4">
        <v>1</v>
      </c>
      <c r="J13" s="4">
        <v>7</v>
      </c>
      <c r="K13" s="4" t="s">
        <v>11</v>
      </c>
      <c r="L13" s="4" t="s">
        <v>13</v>
      </c>
      <c r="M13" s="4">
        <v>2019</v>
      </c>
      <c r="N13" s="4">
        <v>1</v>
      </c>
      <c r="O13" s="4">
        <v>1</v>
      </c>
    </row>
    <row r="14" spans="1:21">
      <c r="A14" s="4" t="s">
        <v>7</v>
      </c>
      <c r="B14" s="4" t="s">
        <v>44</v>
      </c>
      <c r="C14" s="7" t="s">
        <v>40</v>
      </c>
      <c r="D14" s="13">
        <v>1</v>
      </c>
      <c r="E14" s="13" t="s">
        <v>399</v>
      </c>
      <c r="F14" s="13">
        <v>1</v>
      </c>
      <c r="G14" s="22">
        <v>1</v>
      </c>
      <c r="H14" s="13">
        <v>2</v>
      </c>
      <c r="I14" s="4">
        <v>2</v>
      </c>
      <c r="J14" s="4">
        <v>7</v>
      </c>
      <c r="K14" s="4" t="s">
        <v>11</v>
      </c>
      <c r="L14" s="4" t="s">
        <v>13</v>
      </c>
      <c r="M14" s="4">
        <v>2019</v>
      </c>
      <c r="N14" s="4">
        <v>1</v>
      </c>
      <c r="O14" s="4">
        <v>1</v>
      </c>
    </row>
    <row r="15" spans="1:21">
      <c r="A15" s="4" t="s">
        <v>7</v>
      </c>
      <c r="B15" s="4" t="s">
        <v>45</v>
      </c>
      <c r="C15" s="8" t="s">
        <v>41</v>
      </c>
      <c r="D15" s="13">
        <v>1</v>
      </c>
      <c r="E15" s="13" t="s">
        <v>399</v>
      </c>
      <c r="F15" s="13">
        <v>1</v>
      </c>
      <c r="G15" s="22">
        <v>0</v>
      </c>
      <c r="H15" s="13">
        <v>1</v>
      </c>
      <c r="I15" s="4">
        <v>5</v>
      </c>
      <c r="J15" s="4">
        <v>7</v>
      </c>
      <c r="K15" s="4" t="s">
        <v>11</v>
      </c>
      <c r="L15" s="4" t="s">
        <v>13</v>
      </c>
      <c r="M15" s="4">
        <v>2019</v>
      </c>
      <c r="N15" s="4">
        <v>1</v>
      </c>
      <c r="O15" s="4">
        <v>1</v>
      </c>
    </row>
    <row r="16" spans="1:21">
      <c r="A16" s="4" t="s">
        <v>7</v>
      </c>
      <c r="B16" s="4" t="s">
        <v>46</v>
      </c>
      <c r="C16" s="8" t="s">
        <v>42</v>
      </c>
      <c r="D16" s="13">
        <v>1</v>
      </c>
      <c r="E16" s="13" t="s">
        <v>399</v>
      </c>
      <c r="F16" s="13">
        <v>1</v>
      </c>
      <c r="G16" s="22">
        <v>0</v>
      </c>
      <c r="H16" s="20">
        <v>2</v>
      </c>
      <c r="I16" s="4">
        <v>6</v>
      </c>
      <c r="J16" s="4">
        <v>7</v>
      </c>
      <c r="K16" s="4" t="s">
        <v>11</v>
      </c>
      <c r="L16" s="4" t="s">
        <v>13</v>
      </c>
      <c r="M16" s="4">
        <v>2019</v>
      </c>
      <c r="N16" s="4">
        <v>1</v>
      </c>
      <c r="O16" s="4">
        <v>1</v>
      </c>
    </row>
    <row r="17" spans="1:15">
      <c r="A17" s="4" t="s">
        <v>7</v>
      </c>
      <c r="B17" s="4" t="s">
        <v>47</v>
      </c>
      <c r="C17" s="8" t="s">
        <v>43</v>
      </c>
      <c r="D17" s="13">
        <v>0</v>
      </c>
      <c r="F17" s="13">
        <v>1</v>
      </c>
      <c r="G17" s="22">
        <v>0</v>
      </c>
      <c r="H17" s="13">
        <v>1</v>
      </c>
      <c r="I17" s="4">
        <v>7</v>
      </c>
      <c r="J17" s="4">
        <v>7</v>
      </c>
      <c r="K17" s="4" t="s">
        <v>11</v>
      </c>
      <c r="L17" s="4" t="s">
        <v>13</v>
      </c>
      <c r="M17" s="4">
        <v>2019</v>
      </c>
      <c r="N17" s="4">
        <v>1</v>
      </c>
      <c r="O17" s="4">
        <v>1</v>
      </c>
    </row>
    <row r="18" spans="1:15">
      <c r="A18" s="4" t="s">
        <v>38</v>
      </c>
      <c r="B18" s="4" t="s">
        <v>52</v>
      </c>
      <c r="C18" s="8" t="s">
        <v>48</v>
      </c>
      <c r="D18" s="13">
        <v>1</v>
      </c>
      <c r="E18" s="13" t="s">
        <v>395</v>
      </c>
      <c r="F18" s="13">
        <v>1</v>
      </c>
      <c r="G18" s="22">
        <v>1</v>
      </c>
      <c r="H18" s="13">
        <v>2</v>
      </c>
      <c r="I18" s="4">
        <v>5</v>
      </c>
      <c r="J18" s="4">
        <v>10</v>
      </c>
      <c r="K18" s="4" t="s">
        <v>11</v>
      </c>
      <c r="L18" s="4" t="s">
        <v>13</v>
      </c>
      <c r="M18" s="4">
        <v>2020</v>
      </c>
      <c r="N18" s="4">
        <v>1</v>
      </c>
      <c r="O18" s="4">
        <v>1</v>
      </c>
    </row>
    <row r="19" spans="1:15">
      <c r="A19" s="4" t="s">
        <v>38</v>
      </c>
      <c r="B19" s="4" t="s">
        <v>53</v>
      </c>
      <c r="C19" s="8" t="s">
        <v>49</v>
      </c>
      <c r="D19" s="13">
        <v>1</v>
      </c>
      <c r="E19" s="13" t="s">
        <v>399</v>
      </c>
      <c r="F19" s="13">
        <v>1</v>
      </c>
      <c r="G19" s="22">
        <v>1</v>
      </c>
      <c r="H19" s="13">
        <v>2</v>
      </c>
      <c r="I19" s="4">
        <v>6</v>
      </c>
      <c r="J19" s="4">
        <v>10</v>
      </c>
      <c r="K19" s="4" t="s">
        <v>11</v>
      </c>
      <c r="L19" s="4" t="s">
        <v>13</v>
      </c>
      <c r="M19" s="4">
        <v>2020</v>
      </c>
      <c r="N19" s="4">
        <v>1</v>
      </c>
      <c r="O19" s="4">
        <v>1</v>
      </c>
    </row>
    <row r="20" spans="1:15">
      <c r="A20" s="4" t="s">
        <v>38</v>
      </c>
      <c r="B20" s="4" t="s">
        <v>54</v>
      </c>
      <c r="C20" s="8" t="s">
        <v>269</v>
      </c>
      <c r="D20" s="13">
        <v>1</v>
      </c>
      <c r="E20" s="13" t="s">
        <v>395</v>
      </c>
      <c r="F20" s="13">
        <v>1</v>
      </c>
      <c r="G20" s="22">
        <v>0</v>
      </c>
      <c r="H20" s="20">
        <v>2</v>
      </c>
      <c r="I20" s="4">
        <v>8</v>
      </c>
      <c r="J20" s="4">
        <v>10</v>
      </c>
      <c r="K20" s="4" t="s">
        <v>11</v>
      </c>
      <c r="L20" s="4" t="s">
        <v>13</v>
      </c>
      <c r="M20" s="4">
        <v>2020</v>
      </c>
      <c r="N20" s="4">
        <v>1</v>
      </c>
      <c r="O20" s="4">
        <v>1</v>
      </c>
    </row>
    <row r="21" spans="1:15">
      <c r="A21" s="4" t="s">
        <v>38</v>
      </c>
      <c r="B21" s="4" t="s">
        <v>55</v>
      </c>
      <c r="C21" s="8" t="s">
        <v>50</v>
      </c>
      <c r="D21" s="13">
        <v>1</v>
      </c>
      <c r="E21" s="13" t="s">
        <v>399</v>
      </c>
      <c r="F21" s="13">
        <v>1</v>
      </c>
      <c r="G21" s="22">
        <v>0</v>
      </c>
      <c r="H21" s="13">
        <v>1</v>
      </c>
      <c r="I21" s="4">
        <v>9</v>
      </c>
      <c r="J21" s="4">
        <v>10</v>
      </c>
      <c r="K21" s="4" t="s">
        <v>11</v>
      </c>
      <c r="L21" s="4" t="s">
        <v>13</v>
      </c>
      <c r="M21" s="4">
        <v>2020</v>
      </c>
      <c r="N21" s="4">
        <v>1</v>
      </c>
      <c r="O21" s="4">
        <v>1</v>
      </c>
    </row>
    <row r="22" spans="1:15">
      <c r="A22" s="4" t="s">
        <v>38</v>
      </c>
      <c r="B22" s="4" t="s">
        <v>268</v>
      </c>
      <c r="C22" s="8" t="s">
        <v>51</v>
      </c>
      <c r="D22" s="13">
        <v>1</v>
      </c>
      <c r="E22" s="13" t="s">
        <v>399</v>
      </c>
      <c r="F22" s="13">
        <v>1</v>
      </c>
      <c r="G22" s="22">
        <v>0</v>
      </c>
      <c r="H22" s="20">
        <v>2</v>
      </c>
      <c r="I22" s="4">
        <v>10</v>
      </c>
      <c r="J22" s="4">
        <v>10</v>
      </c>
      <c r="K22" s="4" t="s">
        <v>11</v>
      </c>
      <c r="L22" s="4" t="s">
        <v>13</v>
      </c>
      <c r="M22" s="4">
        <v>2020</v>
      </c>
      <c r="N22" s="4">
        <v>1</v>
      </c>
      <c r="O22" s="4">
        <v>1</v>
      </c>
    </row>
    <row r="23" spans="1:15">
      <c r="A23" s="4" t="s">
        <v>56</v>
      </c>
      <c r="B23" s="4" t="s">
        <v>57</v>
      </c>
      <c r="C23" s="8" t="s">
        <v>58</v>
      </c>
      <c r="D23" s="13">
        <v>1</v>
      </c>
      <c r="E23" s="13" t="s">
        <v>395</v>
      </c>
      <c r="F23" s="13">
        <v>1</v>
      </c>
      <c r="G23" s="22">
        <v>1</v>
      </c>
      <c r="H23" s="13">
        <v>2</v>
      </c>
      <c r="I23" s="4">
        <v>1</v>
      </c>
      <c r="J23" s="4">
        <v>6</v>
      </c>
      <c r="K23" s="4" t="s">
        <v>11</v>
      </c>
      <c r="L23" s="4" t="s">
        <v>13</v>
      </c>
      <c r="M23" s="4">
        <v>2021</v>
      </c>
      <c r="N23" s="4">
        <v>1</v>
      </c>
      <c r="O23" s="4">
        <v>1</v>
      </c>
    </row>
    <row r="24" spans="1:15">
      <c r="A24" s="4" t="s">
        <v>56</v>
      </c>
      <c r="B24" s="4" t="s">
        <v>61</v>
      </c>
      <c r="C24" s="8" t="s">
        <v>49</v>
      </c>
      <c r="D24" s="13">
        <v>1</v>
      </c>
      <c r="E24" s="13" t="s">
        <v>399</v>
      </c>
      <c r="F24" s="13">
        <v>1</v>
      </c>
      <c r="G24" s="22">
        <v>1</v>
      </c>
      <c r="H24" s="13">
        <v>2</v>
      </c>
      <c r="I24" s="4">
        <v>2</v>
      </c>
      <c r="J24" s="4">
        <v>6</v>
      </c>
      <c r="K24" s="4" t="s">
        <v>11</v>
      </c>
      <c r="L24" s="4" t="s">
        <v>13</v>
      </c>
      <c r="M24" s="4">
        <v>2021</v>
      </c>
      <c r="N24" s="4">
        <v>1</v>
      </c>
      <c r="O24" s="4">
        <v>1</v>
      </c>
    </row>
    <row r="25" spans="1:15">
      <c r="A25" s="4" t="s">
        <v>56</v>
      </c>
      <c r="B25" s="4" t="s">
        <v>62</v>
      </c>
      <c r="C25" s="9" t="s">
        <v>59</v>
      </c>
      <c r="D25" s="13">
        <v>1</v>
      </c>
      <c r="E25" s="13" t="s">
        <v>395</v>
      </c>
      <c r="F25" s="13">
        <v>1</v>
      </c>
      <c r="G25" s="22">
        <v>1</v>
      </c>
      <c r="H25" s="13">
        <v>2</v>
      </c>
      <c r="I25" s="4">
        <v>4</v>
      </c>
      <c r="J25" s="4">
        <v>6</v>
      </c>
      <c r="K25" s="4" t="s">
        <v>11</v>
      </c>
      <c r="L25" s="4" t="s">
        <v>13</v>
      </c>
      <c r="M25" s="4">
        <v>2021</v>
      </c>
      <c r="N25" s="4">
        <v>1</v>
      </c>
      <c r="O25" s="4">
        <v>1</v>
      </c>
    </row>
    <row r="26" spans="1:15">
      <c r="A26" s="4" t="s">
        <v>56</v>
      </c>
      <c r="B26" s="4" t="s">
        <v>63</v>
      </c>
      <c r="C26" s="9" t="s">
        <v>60</v>
      </c>
      <c r="D26" s="13">
        <v>1</v>
      </c>
      <c r="E26" s="13" t="s">
        <v>399</v>
      </c>
      <c r="F26" s="13">
        <v>1</v>
      </c>
      <c r="G26" s="22">
        <v>0</v>
      </c>
      <c r="H26" s="13">
        <v>1</v>
      </c>
      <c r="I26" s="4">
        <v>5</v>
      </c>
      <c r="J26" s="4">
        <v>6</v>
      </c>
      <c r="K26" s="4" t="s">
        <v>11</v>
      </c>
      <c r="L26" s="4" t="s">
        <v>13</v>
      </c>
      <c r="M26" s="4">
        <v>2021</v>
      </c>
      <c r="N26" s="4">
        <v>1</v>
      </c>
      <c r="O26" s="4">
        <v>1</v>
      </c>
    </row>
    <row r="27" spans="1:15">
      <c r="A27" s="4" t="s">
        <v>64</v>
      </c>
      <c r="B27" s="4" t="s">
        <v>65</v>
      </c>
      <c r="C27" s="9" t="s">
        <v>58</v>
      </c>
      <c r="D27" s="13">
        <v>1</v>
      </c>
      <c r="E27" s="13" t="s">
        <v>395</v>
      </c>
      <c r="F27" s="13">
        <v>1</v>
      </c>
      <c r="G27" s="22">
        <v>1</v>
      </c>
      <c r="H27" s="13">
        <v>2</v>
      </c>
      <c r="I27" s="4">
        <v>1</v>
      </c>
      <c r="J27" s="4">
        <v>7</v>
      </c>
      <c r="K27" s="4" t="s">
        <v>11</v>
      </c>
      <c r="L27" s="4" t="s">
        <v>13</v>
      </c>
      <c r="M27" s="4">
        <v>2022</v>
      </c>
      <c r="N27" s="4">
        <v>1</v>
      </c>
      <c r="O27" s="4">
        <v>1</v>
      </c>
    </row>
    <row r="28" spans="1:15">
      <c r="A28" s="4" t="s">
        <v>64</v>
      </c>
      <c r="B28" s="4" t="s">
        <v>71</v>
      </c>
      <c r="C28" s="9" t="s">
        <v>49</v>
      </c>
      <c r="D28" s="13">
        <v>1</v>
      </c>
      <c r="E28" s="13" t="s">
        <v>399</v>
      </c>
      <c r="F28" s="13">
        <v>1</v>
      </c>
      <c r="G28" s="22">
        <v>1</v>
      </c>
      <c r="H28" s="13">
        <v>2</v>
      </c>
      <c r="I28" s="4">
        <v>2</v>
      </c>
      <c r="J28" s="4">
        <v>7</v>
      </c>
      <c r="K28" s="4" t="s">
        <v>11</v>
      </c>
      <c r="L28" s="4" t="s">
        <v>13</v>
      </c>
      <c r="M28" s="4">
        <v>2022</v>
      </c>
      <c r="N28" s="4">
        <v>1</v>
      </c>
      <c r="O28" s="4">
        <v>1</v>
      </c>
    </row>
    <row r="29" spans="1:15">
      <c r="A29" s="4" t="s">
        <v>64</v>
      </c>
      <c r="B29" s="4" t="s">
        <v>72</v>
      </c>
      <c r="C29" s="9" t="s">
        <v>66</v>
      </c>
      <c r="D29" s="13">
        <v>1</v>
      </c>
      <c r="E29" s="13" t="s">
        <v>399</v>
      </c>
      <c r="F29" s="13">
        <v>1</v>
      </c>
      <c r="G29" s="22">
        <v>1</v>
      </c>
      <c r="H29" s="13">
        <v>2</v>
      </c>
      <c r="I29" s="4">
        <v>3</v>
      </c>
      <c r="J29" s="4">
        <v>7</v>
      </c>
      <c r="K29" s="4" t="s">
        <v>11</v>
      </c>
      <c r="L29" s="4" t="s">
        <v>13</v>
      </c>
      <c r="M29" s="4">
        <v>2022</v>
      </c>
      <c r="N29" s="4">
        <v>1</v>
      </c>
      <c r="O29" s="4">
        <v>1</v>
      </c>
    </row>
    <row r="30" spans="1:15">
      <c r="A30" s="4" t="s">
        <v>64</v>
      </c>
      <c r="B30" s="4" t="s">
        <v>73</v>
      </c>
      <c r="C30" s="9" t="s">
        <v>67</v>
      </c>
      <c r="D30" s="13">
        <v>1</v>
      </c>
      <c r="E30" s="13" t="s">
        <v>399</v>
      </c>
      <c r="F30" s="13">
        <v>1</v>
      </c>
      <c r="G30" s="22">
        <v>0</v>
      </c>
      <c r="H30" s="20">
        <v>2</v>
      </c>
      <c r="I30" s="4">
        <v>4</v>
      </c>
      <c r="J30" s="4">
        <v>7</v>
      </c>
      <c r="K30" s="4" t="s">
        <v>11</v>
      </c>
      <c r="L30" s="4" t="s">
        <v>13</v>
      </c>
      <c r="M30" s="4">
        <v>2022</v>
      </c>
      <c r="N30" s="4">
        <v>1</v>
      </c>
      <c r="O30" s="4">
        <v>1</v>
      </c>
    </row>
    <row r="31" spans="1:15">
      <c r="A31" s="4" t="s">
        <v>64</v>
      </c>
      <c r="B31" s="4" t="s">
        <v>74</v>
      </c>
      <c r="C31" s="9" t="s">
        <v>68</v>
      </c>
      <c r="D31" s="13">
        <v>1</v>
      </c>
      <c r="E31" s="13" t="s">
        <v>397</v>
      </c>
      <c r="F31" s="13">
        <v>1</v>
      </c>
      <c r="G31" s="22">
        <v>0</v>
      </c>
      <c r="H31" s="20">
        <v>2</v>
      </c>
      <c r="I31" s="4">
        <v>5</v>
      </c>
      <c r="J31" s="4">
        <v>7</v>
      </c>
      <c r="K31" s="4" t="s">
        <v>11</v>
      </c>
      <c r="L31" s="4" t="s">
        <v>13</v>
      </c>
      <c r="M31" s="4">
        <v>2022</v>
      </c>
      <c r="N31" s="4">
        <v>1</v>
      </c>
      <c r="O31" s="4">
        <v>1</v>
      </c>
    </row>
    <row r="32" spans="1:15">
      <c r="A32" s="4" t="s">
        <v>64</v>
      </c>
      <c r="B32" s="4" t="s">
        <v>75</v>
      </c>
      <c r="C32" s="9" t="s">
        <v>69</v>
      </c>
      <c r="D32" s="13">
        <v>1</v>
      </c>
      <c r="E32" s="13" t="s">
        <v>399</v>
      </c>
      <c r="F32" s="13">
        <v>1</v>
      </c>
      <c r="G32" s="22">
        <v>0</v>
      </c>
      <c r="H32" s="13">
        <v>1</v>
      </c>
      <c r="I32" s="4">
        <v>6</v>
      </c>
      <c r="J32" s="4">
        <v>7</v>
      </c>
      <c r="K32" s="4" t="s">
        <v>11</v>
      </c>
      <c r="L32" s="4" t="s">
        <v>13</v>
      </c>
      <c r="M32" s="4">
        <v>2022</v>
      </c>
      <c r="N32" s="4">
        <v>1</v>
      </c>
      <c r="O32" s="4">
        <v>1</v>
      </c>
    </row>
    <row r="33" spans="1:15">
      <c r="A33" s="4" t="s">
        <v>64</v>
      </c>
      <c r="B33" s="4" t="s">
        <v>76</v>
      </c>
      <c r="C33" s="9" t="s">
        <v>70</v>
      </c>
      <c r="D33" s="13">
        <v>1</v>
      </c>
      <c r="E33" s="13" t="s">
        <v>399</v>
      </c>
      <c r="F33" s="13">
        <v>1</v>
      </c>
      <c r="G33" s="22">
        <v>1</v>
      </c>
      <c r="H33" s="13">
        <v>2</v>
      </c>
      <c r="I33" s="4">
        <v>7</v>
      </c>
      <c r="J33" s="4">
        <v>7</v>
      </c>
      <c r="K33" s="4" t="s">
        <v>11</v>
      </c>
      <c r="L33" s="4" t="s">
        <v>13</v>
      </c>
      <c r="M33" s="4">
        <v>2022</v>
      </c>
      <c r="N33" s="4">
        <v>1</v>
      </c>
      <c r="O33" s="4">
        <v>1</v>
      </c>
    </row>
    <row r="34" spans="1:15">
      <c r="A34" s="4" t="s">
        <v>77</v>
      </c>
      <c r="B34" s="4" t="s">
        <v>78</v>
      </c>
      <c r="C34" s="9" t="s">
        <v>79</v>
      </c>
      <c r="D34" s="13">
        <v>1</v>
      </c>
      <c r="E34" s="13" t="s">
        <v>395</v>
      </c>
      <c r="F34" s="13">
        <v>1</v>
      </c>
      <c r="G34" s="22">
        <v>1</v>
      </c>
      <c r="H34" s="13">
        <v>2</v>
      </c>
      <c r="I34" s="4">
        <v>1</v>
      </c>
      <c r="J34" s="4">
        <v>8</v>
      </c>
      <c r="K34" s="4" t="s">
        <v>11</v>
      </c>
      <c r="L34" s="4" t="s">
        <v>13</v>
      </c>
      <c r="M34" s="4">
        <v>2023</v>
      </c>
      <c r="N34" s="4">
        <v>1</v>
      </c>
      <c r="O34" s="4">
        <v>1</v>
      </c>
    </row>
    <row r="35" spans="1:15">
      <c r="A35" s="4" t="s">
        <v>77</v>
      </c>
      <c r="B35" s="4" t="s">
        <v>86</v>
      </c>
      <c r="C35" s="9" t="s">
        <v>80</v>
      </c>
      <c r="D35" s="13">
        <v>1</v>
      </c>
      <c r="E35" s="13" t="s">
        <v>399</v>
      </c>
      <c r="F35" s="13">
        <v>1</v>
      </c>
      <c r="G35" s="22">
        <v>1</v>
      </c>
      <c r="H35" s="13">
        <v>2</v>
      </c>
      <c r="I35" s="4">
        <v>2</v>
      </c>
      <c r="J35" s="4">
        <v>8</v>
      </c>
      <c r="K35" s="4" t="s">
        <v>11</v>
      </c>
      <c r="L35" s="4" t="s">
        <v>13</v>
      </c>
      <c r="M35" s="4">
        <v>2023</v>
      </c>
      <c r="N35" s="4">
        <v>1</v>
      </c>
      <c r="O35" s="4">
        <v>1</v>
      </c>
    </row>
    <row r="36" spans="1:15">
      <c r="A36" s="4" t="s">
        <v>77</v>
      </c>
      <c r="B36" s="4" t="s">
        <v>87</v>
      </c>
      <c r="C36" s="9" t="s">
        <v>81</v>
      </c>
      <c r="D36" s="13">
        <v>1</v>
      </c>
      <c r="E36" s="13" t="s">
        <v>399</v>
      </c>
      <c r="F36" s="13">
        <v>1</v>
      </c>
      <c r="G36" s="22">
        <v>0</v>
      </c>
      <c r="H36" s="20">
        <v>2</v>
      </c>
      <c r="I36" s="4">
        <v>3</v>
      </c>
      <c r="J36" s="4">
        <v>8</v>
      </c>
      <c r="K36" s="4" t="s">
        <v>11</v>
      </c>
      <c r="L36" s="4" t="s">
        <v>13</v>
      </c>
      <c r="M36" s="4">
        <v>2023</v>
      </c>
      <c r="N36" s="4">
        <v>1</v>
      </c>
      <c r="O36" s="4">
        <v>1</v>
      </c>
    </row>
    <row r="37" spans="1:15">
      <c r="A37" s="4" t="s">
        <v>77</v>
      </c>
      <c r="B37" s="4" t="s">
        <v>88</v>
      </c>
      <c r="C37" s="9" t="s">
        <v>82</v>
      </c>
      <c r="D37" s="13">
        <v>1</v>
      </c>
      <c r="E37" s="13" t="s">
        <v>399</v>
      </c>
      <c r="F37" s="13">
        <v>1</v>
      </c>
      <c r="G37" s="22">
        <v>1</v>
      </c>
      <c r="H37" s="13">
        <v>2</v>
      </c>
      <c r="I37" s="4">
        <v>4</v>
      </c>
      <c r="J37" s="4">
        <v>8</v>
      </c>
      <c r="K37" s="4" t="s">
        <v>11</v>
      </c>
      <c r="L37" s="4" t="s">
        <v>13</v>
      </c>
      <c r="M37" s="4">
        <v>2023</v>
      </c>
      <c r="N37" s="4">
        <v>1</v>
      </c>
      <c r="O37" s="4">
        <v>1</v>
      </c>
    </row>
    <row r="38" spans="1:15">
      <c r="A38" s="4" t="s">
        <v>77</v>
      </c>
      <c r="B38" s="4" t="s">
        <v>89</v>
      </c>
      <c r="C38" s="9" t="s">
        <v>83</v>
      </c>
      <c r="D38" s="13">
        <v>1</v>
      </c>
      <c r="E38" s="13" t="s">
        <v>399</v>
      </c>
      <c r="F38" s="13">
        <v>1</v>
      </c>
      <c r="G38" s="22">
        <v>0</v>
      </c>
      <c r="H38" s="20">
        <v>2</v>
      </c>
      <c r="I38" s="4">
        <v>5</v>
      </c>
      <c r="J38" s="4">
        <v>8</v>
      </c>
      <c r="K38" s="4" t="s">
        <v>11</v>
      </c>
      <c r="L38" s="4" t="s">
        <v>13</v>
      </c>
      <c r="M38" s="4">
        <v>2023</v>
      </c>
      <c r="N38" s="4">
        <v>1</v>
      </c>
      <c r="O38" s="4">
        <v>1</v>
      </c>
    </row>
    <row r="39" spans="1:15">
      <c r="A39" s="4" t="s">
        <v>77</v>
      </c>
      <c r="B39" s="4" t="s">
        <v>90</v>
      </c>
      <c r="C39" s="9" t="s">
        <v>84</v>
      </c>
      <c r="D39" s="13">
        <v>1</v>
      </c>
      <c r="E39" s="13" t="s">
        <v>399</v>
      </c>
      <c r="F39" s="13">
        <v>1</v>
      </c>
      <c r="G39" s="22">
        <v>0</v>
      </c>
      <c r="H39" s="13">
        <v>1</v>
      </c>
      <c r="I39" s="4">
        <v>7</v>
      </c>
      <c r="J39" s="4">
        <v>8</v>
      </c>
      <c r="K39" s="4" t="s">
        <v>11</v>
      </c>
      <c r="L39" s="4" t="s">
        <v>13</v>
      </c>
      <c r="M39" s="4">
        <v>2023</v>
      </c>
      <c r="N39" s="4">
        <v>1</v>
      </c>
      <c r="O39" s="4">
        <v>1</v>
      </c>
    </row>
    <row r="40" spans="1:15">
      <c r="A40" s="4" t="s">
        <v>77</v>
      </c>
      <c r="B40" s="4" t="s">
        <v>91</v>
      </c>
      <c r="C40" s="9" t="s">
        <v>85</v>
      </c>
      <c r="D40" s="13">
        <v>1</v>
      </c>
      <c r="E40" s="13" t="s">
        <v>399</v>
      </c>
      <c r="F40" s="13">
        <v>1</v>
      </c>
      <c r="G40" s="22">
        <v>1</v>
      </c>
      <c r="H40" s="13">
        <v>2</v>
      </c>
      <c r="I40" s="4">
        <v>8</v>
      </c>
      <c r="J40" s="4">
        <v>8</v>
      </c>
      <c r="K40" s="4" t="s">
        <v>11</v>
      </c>
      <c r="L40" s="4" t="s">
        <v>13</v>
      </c>
      <c r="M40" s="4">
        <v>2023</v>
      </c>
      <c r="N40" s="4">
        <v>1</v>
      </c>
      <c r="O40" s="4">
        <v>1</v>
      </c>
    </row>
    <row r="41" spans="1:15">
      <c r="A41" s="4" t="s">
        <v>92</v>
      </c>
      <c r="B41" s="4" t="s">
        <v>93</v>
      </c>
      <c r="C41" s="9" t="s">
        <v>94</v>
      </c>
      <c r="D41" s="13">
        <v>1</v>
      </c>
      <c r="E41" s="13" t="s">
        <v>395</v>
      </c>
      <c r="F41" s="13">
        <v>1</v>
      </c>
      <c r="G41" s="22">
        <v>1</v>
      </c>
      <c r="H41" s="13">
        <v>2</v>
      </c>
      <c r="I41" s="4">
        <v>1</v>
      </c>
      <c r="J41" s="4">
        <v>8</v>
      </c>
      <c r="K41" s="4" t="s">
        <v>11</v>
      </c>
      <c r="L41" s="4" t="s">
        <v>13</v>
      </c>
      <c r="M41" s="4">
        <v>2024</v>
      </c>
      <c r="N41" s="4">
        <v>1</v>
      </c>
      <c r="O41" s="4">
        <v>1</v>
      </c>
    </row>
    <row r="42" spans="1:15">
      <c r="A42" s="4" t="s">
        <v>92</v>
      </c>
      <c r="B42" s="4" t="s">
        <v>101</v>
      </c>
      <c r="C42" s="9" t="s">
        <v>95</v>
      </c>
      <c r="D42" s="13">
        <v>1</v>
      </c>
      <c r="E42" s="13" t="s">
        <v>399</v>
      </c>
      <c r="F42" s="13">
        <v>1</v>
      </c>
      <c r="G42" s="22">
        <v>1</v>
      </c>
      <c r="H42" s="13">
        <v>2</v>
      </c>
      <c r="I42" s="4">
        <v>2</v>
      </c>
      <c r="J42" s="4">
        <v>8</v>
      </c>
      <c r="K42" s="4" t="s">
        <v>11</v>
      </c>
      <c r="L42" s="4" t="s">
        <v>13</v>
      </c>
      <c r="M42" s="4">
        <v>2024</v>
      </c>
      <c r="N42" s="4">
        <v>1</v>
      </c>
      <c r="O42" s="4">
        <v>1</v>
      </c>
    </row>
    <row r="43" spans="1:15">
      <c r="A43" s="4" t="s">
        <v>92</v>
      </c>
      <c r="B43" s="4" t="s">
        <v>102</v>
      </c>
      <c r="C43" s="9" t="s">
        <v>96</v>
      </c>
      <c r="D43" s="13">
        <v>1</v>
      </c>
      <c r="E43" s="13" t="s">
        <v>399</v>
      </c>
      <c r="F43" s="13">
        <v>1</v>
      </c>
      <c r="G43" s="22">
        <v>1</v>
      </c>
      <c r="H43" s="13">
        <v>2</v>
      </c>
      <c r="I43" s="4">
        <v>3</v>
      </c>
      <c r="J43" s="4">
        <v>8</v>
      </c>
      <c r="K43" s="4" t="s">
        <v>11</v>
      </c>
      <c r="L43" s="4" t="s">
        <v>13</v>
      </c>
      <c r="M43" s="4">
        <v>2024</v>
      </c>
      <c r="N43" s="4">
        <v>1</v>
      </c>
      <c r="O43" s="4">
        <v>1</v>
      </c>
    </row>
    <row r="44" spans="1:15">
      <c r="A44" s="4" t="s">
        <v>92</v>
      </c>
      <c r="B44" s="4" t="s">
        <v>103</v>
      </c>
      <c r="C44" s="9" t="s">
        <v>83</v>
      </c>
      <c r="D44" s="13">
        <v>1</v>
      </c>
      <c r="E44" s="13" t="s">
        <v>399</v>
      </c>
      <c r="F44" s="13">
        <v>1</v>
      </c>
      <c r="G44" s="22">
        <v>0</v>
      </c>
      <c r="H44" s="20">
        <v>2</v>
      </c>
      <c r="I44" s="4">
        <v>4</v>
      </c>
      <c r="J44" s="4">
        <v>8</v>
      </c>
      <c r="K44" s="4" t="s">
        <v>11</v>
      </c>
      <c r="L44" s="4" t="s">
        <v>13</v>
      </c>
      <c r="M44" s="4">
        <v>2024</v>
      </c>
      <c r="N44" s="4">
        <v>1</v>
      </c>
      <c r="O44" s="4">
        <v>1</v>
      </c>
    </row>
    <row r="45" spans="1:15">
      <c r="A45" s="4" t="s">
        <v>92</v>
      </c>
      <c r="B45" s="4" t="s">
        <v>104</v>
      </c>
      <c r="C45" s="9" t="s">
        <v>97</v>
      </c>
      <c r="D45" s="13">
        <v>1</v>
      </c>
      <c r="E45" s="13" t="s">
        <v>397</v>
      </c>
      <c r="F45" s="13">
        <v>1</v>
      </c>
      <c r="G45" s="22">
        <v>0</v>
      </c>
      <c r="H45" s="20">
        <v>2</v>
      </c>
      <c r="I45" s="4">
        <v>5</v>
      </c>
      <c r="J45" s="4">
        <v>8</v>
      </c>
      <c r="K45" s="4" t="s">
        <v>11</v>
      </c>
      <c r="L45" s="4" t="s">
        <v>13</v>
      </c>
      <c r="M45" s="4">
        <v>2024</v>
      </c>
      <c r="N45" s="4">
        <v>1</v>
      </c>
      <c r="O45" s="4">
        <v>1</v>
      </c>
    </row>
    <row r="46" spans="1:15">
      <c r="A46" s="4" t="s">
        <v>92</v>
      </c>
      <c r="B46" s="4" t="s">
        <v>105</v>
      </c>
      <c r="C46" s="9" t="s">
        <v>98</v>
      </c>
      <c r="D46" s="13">
        <v>1</v>
      </c>
      <c r="E46" s="13" t="s">
        <v>399</v>
      </c>
      <c r="F46" s="13">
        <v>1</v>
      </c>
      <c r="G46" s="22">
        <v>0</v>
      </c>
      <c r="H46" s="13">
        <v>1</v>
      </c>
      <c r="I46" s="4">
        <v>6</v>
      </c>
      <c r="J46" s="4">
        <v>8</v>
      </c>
      <c r="K46" s="4" t="s">
        <v>11</v>
      </c>
      <c r="L46" s="4" t="s">
        <v>13</v>
      </c>
      <c r="M46" s="4">
        <v>2024</v>
      </c>
      <c r="N46" s="4">
        <v>1</v>
      </c>
      <c r="O46" s="4">
        <v>1</v>
      </c>
    </row>
    <row r="47" spans="1:15">
      <c r="A47" s="4" t="s">
        <v>92</v>
      </c>
      <c r="B47" s="4" t="s">
        <v>106</v>
      </c>
      <c r="C47" s="9" t="s">
        <v>99</v>
      </c>
      <c r="D47" s="13">
        <v>1</v>
      </c>
      <c r="E47" s="13" t="s">
        <v>399</v>
      </c>
      <c r="F47" s="13">
        <v>1</v>
      </c>
      <c r="G47" s="22">
        <v>1</v>
      </c>
      <c r="H47" s="13">
        <v>2</v>
      </c>
      <c r="I47" s="4">
        <v>7</v>
      </c>
      <c r="J47" s="4">
        <v>8</v>
      </c>
      <c r="K47" s="4" t="s">
        <v>11</v>
      </c>
      <c r="L47" s="4" t="s">
        <v>13</v>
      </c>
      <c r="M47" s="4">
        <v>2024</v>
      </c>
      <c r="N47" s="4">
        <v>1</v>
      </c>
      <c r="O47" s="4">
        <v>1</v>
      </c>
    </row>
    <row r="48" spans="1:15">
      <c r="A48" s="4" t="s">
        <v>92</v>
      </c>
      <c r="B48" s="4" t="s">
        <v>107</v>
      </c>
      <c r="C48" s="9" t="s">
        <v>100</v>
      </c>
      <c r="D48" s="13">
        <v>1</v>
      </c>
      <c r="E48" s="13" t="s">
        <v>399</v>
      </c>
      <c r="F48" s="13">
        <v>1</v>
      </c>
      <c r="G48" s="22">
        <v>1</v>
      </c>
      <c r="H48" s="13">
        <v>2</v>
      </c>
      <c r="I48" s="4">
        <v>8</v>
      </c>
      <c r="J48" s="4">
        <v>8</v>
      </c>
      <c r="K48" s="4" t="s">
        <v>11</v>
      </c>
      <c r="L48" s="4" t="s">
        <v>13</v>
      </c>
      <c r="M48" s="4">
        <v>2024</v>
      </c>
      <c r="N48" s="4">
        <v>1</v>
      </c>
      <c r="O48" s="4">
        <v>1</v>
      </c>
    </row>
    <row r="49" spans="1:15">
      <c r="A49" s="4" t="s">
        <v>108</v>
      </c>
      <c r="B49" s="4" t="s">
        <v>109</v>
      </c>
      <c r="C49" s="9" t="s">
        <v>110</v>
      </c>
      <c r="D49" s="13">
        <v>1</v>
      </c>
      <c r="E49" s="13" t="s">
        <v>395</v>
      </c>
      <c r="F49" s="13">
        <v>1</v>
      </c>
      <c r="G49" s="22">
        <v>1</v>
      </c>
      <c r="H49" s="13">
        <v>2</v>
      </c>
      <c r="I49" s="4">
        <v>1</v>
      </c>
      <c r="J49" s="4">
        <v>8</v>
      </c>
      <c r="K49" s="4" t="s">
        <v>11</v>
      </c>
      <c r="L49" s="4" t="s">
        <v>13</v>
      </c>
      <c r="M49" s="4">
        <v>2025</v>
      </c>
      <c r="N49" s="4">
        <v>1</v>
      </c>
      <c r="O49" s="4">
        <v>1</v>
      </c>
    </row>
    <row r="50" spans="1:15">
      <c r="A50" s="4" t="s">
        <v>108</v>
      </c>
      <c r="B50" s="4" t="s">
        <v>117</v>
      </c>
      <c r="C50" s="9" t="s">
        <v>111</v>
      </c>
      <c r="D50" s="13">
        <v>1</v>
      </c>
      <c r="E50" s="13" t="s">
        <v>399</v>
      </c>
      <c r="F50" s="13">
        <v>1</v>
      </c>
      <c r="G50" s="22">
        <v>1</v>
      </c>
      <c r="H50" s="13">
        <v>2</v>
      </c>
      <c r="I50" s="4">
        <v>2</v>
      </c>
      <c r="J50" s="4">
        <v>8</v>
      </c>
      <c r="K50" s="4" t="s">
        <v>11</v>
      </c>
      <c r="L50" s="4" t="s">
        <v>13</v>
      </c>
      <c r="M50" s="4">
        <v>2025</v>
      </c>
      <c r="N50" s="4">
        <v>1</v>
      </c>
      <c r="O50" s="4">
        <v>1</v>
      </c>
    </row>
    <row r="51" spans="1:15">
      <c r="A51" s="4" t="s">
        <v>108</v>
      </c>
      <c r="B51" s="4" t="s">
        <v>118</v>
      </c>
      <c r="C51" s="9" t="s">
        <v>112</v>
      </c>
      <c r="D51" s="13">
        <v>1</v>
      </c>
      <c r="E51" s="13" t="s">
        <v>399</v>
      </c>
      <c r="F51" s="13">
        <v>1</v>
      </c>
      <c r="G51" s="22">
        <v>0</v>
      </c>
      <c r="H51" s="20">
        <v>2</v>
      </c>
      <c r="I51" s="4">
        <v>3</v>
      </c>
      <c r="J51" s="4">
        <v>8</v>
      </c>
      <c r="K51" s="4" t="s">
        <v>11</v>
      </c>
      <c r="L51" s="4" t="s">
        <v>13</v>
      </c>
      <c r="M51" s="4">
        <v>2025</v>
      </c>
      <c r="N51" s="4">
        <v>1</v>
      </c>
      <c r="O51" s="4">
        <v>1</v>
      </c>
    </row>
    <row r="52" spans="1:15">
      <c r="A52" s="4" t="s">
        <v>108</v>
      </c>
      <c r="B52" s="4" t="s">
        <v>119</v>
      </c>
      <c r="C52" s="9" t="s">
        <v>113</v>
      </c>
      <c r="D52" s="13">
        <v>1</v>
      </c>
      <c r="E52" s="13" t="s">
        <v>397</v>
      </c>
      <c r="F52" s="13">
        <v>1</v>
      </c>
      <c r="G52" s="22">
        <v>0</v>
      </c>
      <c r="H52" s="20">
        <v>2</v>
      </c>
      <c r="I52" s="4">
        <v>4</v>
      </c>
      <c r="J52" s="4">
        <v>8</v>
      </c>
      <c r="K52" s="4" t="s">
        <v>11</v>
      </c>
      <c r="L52" s="4" t="s">
        <v>13</v>
      </c>
      <c r="M52" s="4">
        <v>2025</v>
      </c>
      <c r="N52" s="4">
        <v>1</v>
      </c>
      <c r="O52" s="4">
        <v>1</v>
      </c>
    </row>
    <row r="53" spans="1:15">
      <c r="A53" s="4" t="s">
        <v>108</v>
      </c>
      <c r="B53" s="4" t="s">
        <v>120</v>
      </c>
      <c r="C53" s="9" t="s">
        <v>114</v>
      </c>
      <c r="D53" s="13">
        <v>1</v>
      </c>
      <c r="E53" s="13" t="s">
        <v>399</v>
      </c>
      <c r="F53" s="13">
        <v>1</v>
      </c>
      <c r="G53" s="22">
        <v>0</v>
      </c>
      <c r="H53" s="13">
        <v>1</v>
      </c>
      <c r="I53" s="4">
        <v>6</v>
      </c>
      <c r="J53" s="4">
        <v>8</v>
      </c>
      <c r="K53" s="4" t="s">
        <v>11</v>
      </c>
      <c r="L53" s="4" t="s">
        <v>13</v>
      </c>
      <c r="M53" s="4">
        <v>2025</v>
      </c>
      <c r="N53" s="4">
        <v>1</v>
      </c>
      <c r="O53" s="4">
        <v>1</v>
      </c>
    </row>
    <row r="54" spans="1:15">
      <c r="A54" s="4" t="s">
        <v>108</v>
      </c>
      <c r="B54" s="4" t="s">
        <v>121</v>
      </c>
      <c r="C54" s="9" t="s">
        <v>115</v>
      </c>
      <c r="D54" s="13">
        <v>1</v>
      </c>
      <c r="E54" s="13" t="s">
        <v>399</v>
      </c>
      <c r="F54" s="13">
        <v>1</v>
      </c>
      <c r="G54" s="22">
        <v>1</v>
      </c>
      <c r="H54" s="13">
        <v>2</v>
      </c>
      <c r="I54" s="4">
        <v>7</v>
      </c>
      <c r="J54" s="4">
        <v>8</v>
      </c>
      <c r="K54" s="4" t="s">
        <v>11</v>
      </c>
      <c r="L54" s="4" t="s">
        <v>13</v>
      </c>
      <c r="M54" s="4">
        <v>2025</v>
      </c>
      <c r="N54" s="4">
        <v>1</v>
      </c>
      <c r="O54" s="4">
        <v>1</v>
      </c>
    </row>
    <row r="55" spans="1:15">
      <c r="A55" s="4" t="s">
        <v>108</v>
      </c>
      <c r="B55" s="4" t="s">
        <v>122</v>
      </c>
      <c r="C55" s="9" t="s">
        <v>116</v>
      </c>
      <c r="D55" s="13">
        <v>1</v>
      </c>
      <c r="E55" s="13" t="s">
        <v>399</v>
      </c>
      <c r="F55" s="13">
        <v>1</v>
      </c>
      <c r="G55" s="22">
        <v>1</v>
      </c>
      <c r="H55" s="13">
        <v>2</v>
      </c>
      <c r="I55" s="4">
        <v>8</v>
      </c>
      <c r="J55" s="4">
        <v>8</v>
      </c>
      <c r="K55" s="4" t="s">
        <v>11</v>
      </c>
      <c r="L55" s="4" t="s">
        <v>13</v>
      </c>
      <c r="M55" s="4">
        <v>2025</v>
      </c>
      <c r="N55" s="4">
        <v>1</v>
      </c>
      <c r="O55" s="4">
        <v>1</v>
      </c>
    </row>
    <row r="56" spans="1:15">
      <c r="A56" s="4" t="s">
        <v>123</v>
      </c>
      <c r="B56" s="4" t="s">
        <v>136</v>
      </c>
      <c r="C56" s="9" t="s">
        <v>125</v>
      </c>
      <c r="D56" s="13">
        <v>1</v>
      </c>
      <c r="E56" s="13" t="s">
        <v>399</v>
      </c>
      <c r="F56" s="13">
        <v>1</v>
      </c>
      <c r="G56" s="22">
        <v>1</v>
      </c>
      <c r="H56" s="13">
        <v>2</v>
      </c>
      <c r="I56" s="4">
        <v>2</v>
      </c>
      <c r="J56" s="4">
        <v>21</v>
      </c>
      <c r="K56" s="4" t="s">
        <v>124</v>
      </c>
      <c r="L56" s="4" t="s">
        <v>13</v>
      </c>
      <c r="M56" s="4">
        <v>2017</v>
      </c>
      <c r="N56" s="4">
        <v>1</v>
      </c>
      <c r="O56" s="4">
        <v>0</v>
      </c>
    </row>
    <row r="57" spans="1:15">
      <c r="A57" s="4" t="s">
        <v>123</v>
      </c>
      <c r="B57" s="4" t="s">
        <v>137</v>
      </c>
      <c r="C57" s="9" t="s">
        <v>126</v>
      </c>
      <c r="D57" s="13">
        <v>1</v>
      </c>
      <c r="E57" s="13" t="s">
        <v>397</v>
      </c>
      <c r="F57" s="13">
        <v>1</v>
      </c>
      <c r="G57" s="22">
        <v>0</v>
      </c>
      <c r="H57" s="13">
        <v>1</v>
      </c>
      <c r="I57" s="4">
        <v>6</v>
      </c>
      <c r="J57" s="4">
        <v>21</v>
      </c>
      <c r="K57" s="4" t="s">
        <v>124</v>
      </c>
      <c r="L57" s="4" t="s">
        <v>13</v>
      </c>
      <c r="M57" s="4">
        <v>2017</v>
      </c>
      <c r="N57" s="4">
        <v>1</v>
      </c>
      <c r="O57" s="4">
        <v>0</v>
      </c>
    </row>
    <row r="58" spans="1:15">
      <c r="A58" s="4" t="s">
        <v>123</v>
      </c>
      <c r="B58" s="4" t="s">
        <v>138</v>
      </c>
      <c r="C58" s="9" t="s">
        <v>127</v>
      </c>
      <c r="D58" s="13">
        <v>1</v>
      </c>
      <c r="E58" s="13" t="s">
        <v>397</v>
      </c>
      <c r="F58" s="13">
        <v>1</v>
      </c>
      <c r="G58" s="22">
        <v>0</v>
      </c>
      <c r="H58" s="13">
        <v>1</v>
      </c>
      <c r="I58" s="4">
        <v>8</v>
      </c>
      <c r="J58" s="4">
        <v>21</v>
      </c>
      <c r="K58" s="4" t="s">
        <v>124</v>
      </c>
      <c r="L58" s="4" t="s">
        <v>13</v>
      </c>
      <c r="M58" s="4">
        <v>2017</v>
      </c>
      <c r="N58" s="4">
        <v>1</v>
      </c>
      <c r="O58" s="4">
        <v>0</v>
      </c>
    </row>
    <row r="59" spans="1:15">
      <c r="A59" s="4" t="s">
        <v>123</v>
      </c>
      <c r="B59" s="4" t="s">
        <v>139</v>
      </c>
      <c r="C59" s="9" t="s">
        <v>128</v>
      </c>
      <c r="D59" s="13">
        <v>0</v>
      </c>
      <c r="F59" s="13">
        <v>1</v>
      </c>
      <c r="G59" s="22">
        <v>0</v>
      </c>
      <c r="H59" s="13">
        <v>1</v>
      </c>
      <c r="I59" s="4">
        <v>10</v>
      </c>
      <c r="J59" s="4">
        <v>21</v>
      </c>
      <c r="K59" s="4" t="s">
        <v>124</v>
      </c>
      <c r="L59" s="4" t="s">
        <v>13</v>
      </c>
      <c r="M59" s="4">
        <v>2017</v>
      </c>
      <c r="N59" s="4">
        <v>1</v>
      </c>
      <c r="O59" s="4">
        <v>0</v>
      </c>
    </row>
    <row r="60" spans="1:15">
      <c r="A60" s="4" t="s">
        <v>123</v>
      </c>
      <c r="B60" s="4" t="s">
        <v>140</v>
      </c>
      <c r="C60" s="9" t="s">
        <v>129</v>
      </c>
      <c r="D60" s="13">
        <v>1</v>
      </c>
      <c r="E60" s="13" t="s">
        <v>397</v>
      </c>
      <c r="F60" s="13">
        <v>1</v>
      </c>
      <c r="G60" s="22">
        <v>0</v>
      </c>
      <c r="H60" s="13">
        <v>1</v>
      </c>
      <c r="I60" s="4">
        <v>11</v>
      </c>
      <c r="J60" s="4">
        <v>21</v>
      </c>
      <c r="K60" s="4" t="s">
        <v>124</v>
      </c>
      <c r="L60" s="4" t="s">
        <v>13</v>
      </c>
      <c r="M60" s="4">
        <v>2017</v>
      </c>
      <c r="N60" s="4">
        <v>1</v>
      </c>
      <c r="O60" s="4">
        <v>0</v>
      </c>
    </row>
    <row r="61" spans="1:15">
      <c r="A61" s="4" t="s">
        <v>123</v>
      </c>
      <c r="B61" s="4" t="s">
        <v>141</v>
      </c>
      <c r="C61" s="9" t="s">
        <v>130</v>
      </c>
      <c r="D61" s="13">
        <v>0</v>
      </c>
      <c r="F61" s="13">
        <v>1</v>
      </c>
      <c r="G61" s="22">
        <v>0</v>
      </c>
      <c r="H61" s="20">
        <v>1</v>
      </c>
      <c r="I61" s="4">
        <v>14</v>
      </c>
      <c r="J61" s="4">
        <v>21</v>
      </c>
      <c r="K61" s="4" t="s">
        <v>124</v>
      </c>
      <c r="L61" s="4" t="s">
        <v>13</v>
      </c>
      <c r="M61" s="4">
        <v>2017</v>
      </c>
      <c r="N61" s="4">
        <v>1</v>
      </c>
      <c r="O61" s="4">
        <v>0</v>
      </c>
    </row>
    <row r="62" spans="1:15">
      <c r="A62" s="4" t="s">
        <v>123</v>
      </c>
      <c r="B62" s="4" t="s">
        <v>142</v>
      </c>
      <c r="C62" s="9" t="s">
        <v>131</v>
      </c>
      <c r="D62" s="13">
        <v>0</v>
      </c>
      <c r="F62" s="13">
        <v>1</v>
      </c>
      <c r="G62" s="22">
        <v>0</v>
      </c>
      <c r="H62" s="13">
        <v>1</v>
      </c>
      <c r="I62" s="4">
        <v>15</v>
      </c>
      <c r="J62" s="4">
        <v>21</v>
      </c>
      <c r="K62" s="4" t="s">
        <v>124</v>
      </c>
      <c r="L62" s="4" t="s">
        <v>13</v>
      </c>
      <c r="M62" s="4">
        <v>2017</v>
      </c>
      <c r="N62" s="4">
        <v>1</v>
      </c>
      <c r="O62" s="4">
        <v>0</v>
      </c>
    </row>
    <row r="63" spans="1:15">
      <c r="A63" s="4" t="s">
        <v>123</v>
      </c>
      <c r="B63" s="4" t="s">
        <v>143</v>
      </c>
      <c r="C63" s="9" t="s">
        <v>132</v>
      </c>
      <c r="D63" s="13">
        <v>1</v>
      </c>
      <c r="E63" s="13" t="s">
        <v>397</v>
      </c>
      <c r="F63" s="13">
        <v>1</v>
      </c>
      <c r="G63" s="22">
        <v>0</v>
      </c>
      <c r="H63" s="13">
        <v>1</v>
      </c>
      <c r="I63" s="4">
        <v>17</v>
      </c>
      <c r="J63" s="4">
        <v>21</v>
      </c>
      <c r="K63" s="4" t="s">
        <v>124</v>
      </c>
      <c r="L63" s="4" t="s">
        <v>13</v>
      </c>
      <c r="M63" s="4">
        <v>2017</v>
      </c>
      <c r="N63" s="4">
        <v>1</v>
      </c>
      <c r="O63" s="4">
        <v>0</v>
      </c>
    </row>
    <row r="64" spans="1:15">
      <c r="A64" s="4" t="s">
        <v>123</v>
      </c>
      <c r="B64" s="4" t="s">
        <v>144</v>
      </c>
      <c r="C64" s="9" t="s">
        <v>133</v>
      </c>
      <c r="D64" s="13">
        <v>1</v>
      </c>
      <c r="E64" s="13" t="s">
        <v>399</v>
      </c>
      <c r="F64" s="13">
        <v>1</v>
      </c>
      <c r="G64" s="22">
        <v>0</v>
      </c>
      <c r="H64" s="20">
        <v>2</v>
      </c>
      <c r="I64" s="4">
        <v>19</v>
      </c>
      <c r="J64" s="4">
        <v>21</v>
      </c>
      <c r="K64" s="4" t="s">
        <v>124</v>
      </c>
      <c r="L64" s="4" t="s">
        <v>13</v>
      </c>
      <c r="M64" s="4">
        <v>2017</v>
      </c>
      <c r="N64" s="4">
        <v>1</v>
      </c>
      <c r="O64" s="4">
        <v>0</v>
      </c>
    </row>
    <row r="65" spans="1:15">
      <c r="A65" s="4" t="s">
        <v>123</v>
      </c>
      <c r="B65" s="4" t="s">
        <v>145</v>
      </c>
      <c r="C65" s="9" t="s">
        <v>134</v>
      </c>
      <c r="D65" s="13">
        <v>1</v>
      </c>
      <c r="E65" s="13" t="s">
        <v>399</v>
      </c>
      <c r="F65" s="13">
        <v>1</v>
      </c>
      <c r="G65" s="22">
        <v>0</v>
      </c>
      <c r="H65" s="13">
        <v>1</v>
      </c>
      <c r="I65" s="4">
        <v>20</v>
      </c>
      <c r="J65" s="4">
        <v>21</v>
      </c>
      <c r="K65" s="4" t="s">
        <v>124</v>
      </c>
      <c r="L65" s="4" t="s">
        <v>13</v>
      </c>
      <c r="M65" s="4">
        <v>2017</v>
      </c>
      <c r="N65" s="4">
        <v>1</v>
      </c>
      <c r="O65" s="4">
        <v>0</v>
      </c>
    </row>
    <row r="66" spans="1:15">
      <c r="A66" s="4" t="s">
        <v>123</v>
      </c>
      <c r="B66" s="4" t="s">
        <v>146</v>
      </c>
      <c r="C66" s="6" t="s">
        <v>135</v>
      </c>
      <c r="D66" s="13">
        <v>1</v>
      </c>
      <c r="E66" s="13" t="s">
        <v>399</v>
      </c>
      <c r="F66" s="13">
        <v>1</v>
      </c>
      <c r="G66" s="22">
        <v>0</v>
      </c>
      <c r="H66" s="20">
        <v>2</v>
      </c>
      <c r="I66" s="4">
        <v>21</v>
      </c>
      <c r="J66" s="4">
        <v>21</v>
      </c>
      <c r="K66" s="4" t="s">
        <v>124</v>
      </c>
      <c r="L66" s="4" t="s">
        <v>13</v>
      </c>
      <c r="M66" s="4">
        <v>2017</v>
      </c>
      <c r="N66" s="4">
        <v>1</v>
      </c>
      <c r="O66" s="4">
        <v>0</v>
      </c>
    </row>
    <row r="67" spans="1:15">
      <c r="A67" s="4" t="s">
        <v>147</v>
      </c>
      <c r="B67" s="4" t="s">
        <v>159</v>
      </c>
      <c r="C67" s="9" t="s">
        <v>148</v>
      </c>
      <c r="D67" s="13">
        <v>1</v>
      </c>
      <c r="E67" s="13" t="s">
        <v>399</v>
      </c>
      <c r="F67" s="13">
        <v>1</v>
      </c>
      <c r="G67" s="22">
        <v>1</v>
      </c>
      <c r="H67" s="13">
        <v>2</v>
      </c>
      <c r="I67" s="4">
        <v>3</v>
      </c>
      <c r="J67" s="4">
        <v>25</v>
      </c>
      <c r="K67" s="4" t="s">
        <v>124</v>
      </c>
      <c r="L67" s="4" t="s">
        <v>13</v>
      </c>
      <c r="M67" s="4">
        <v>2018</v>
      </c>
      <c r="N67" s="4">
        <v>1</v>
      </c>
      <c r="O67" s="4">
        <v>0</v>
      </c>
    </row>
    <row r="68" spans="1:15">
      <c r="A68" s="4" t="s">
        <v>147</v>
      </c>
      <c r="B68" s="4" t="s">
        <v>160</v>
      </c>
      <c r="C68" s="9" t="s">
        <v>149</v>
      </c>
      <c r="D68" s="13">
        <v>1</v>
      </c>
      <c r="E68" s="13" t="s">
        <v>397</v>
      </c>
      <c r="F68" s="13">
        <v>1</v>
      </c>
      <c r="G68" s="22">
        <v>0</v>
      </c>
      <c r="H68" s="13">
        <v>1</v>
      </c>
      <c r="I68" s="4">
        <v>5</v>
      </c>
      <c r="J68" s="4">
        <v>25</v>
      </c>
      <c r="K68" s="4" t="s">
        <v>124</v>
      </c>
      <c r="L68" s="4" t="s">
        <v>13</v>
      </c>
      <c r="M68" s="4">
        <v>2018</v>
      </c>
      <c r="N68" s="4">
        <v>1</v>
      </c>
      <c r="O68" s="4">
        <v>0</v>
      </c>
    </row>
    <row r="69" spans="1:15">
      <c r="A69" s="4" t="s">
        <v>147</v>
      </c>
      <c r="B69" s="4" t="s">
        <v>161</v>
      </c>
      <c r="C69" s="9" t="s">
        <v>150</v>
      </c>
      <c r="D69" s="13">
        <v>1</v>
      </c>
      <c r="E69" s="13" t="s">
        <v>397</v>
      </c>
      <c r="F69" s="13">
        <v>1</v>
      </c>
      <c r="G69" s="22">
        <v>0</v>
      </c>
      <c r="H69" s="13">
        <v>1</v>
      </c>
      <c r="I69" s="4">
        <v>6</v>
      </c>
      <c r="J69" s="4">
        <v>25</v>
      </c>
      <c r="K69" s="4" t="s">
        <v>124</v>
      </c>
      <c r="L69" s="4" t="s">
        <v>13</v>
      </c>
      <c r="M69" s="4">
        <v>2018</v>
      </c>
      <c r="N69" s="4">
        <v>1</v>
      </c>
      <c r="O69" s="4">
        <v>0</v>
      </c>
    </row>
    <row r="70" spans="1:15">
      <c r="A70" s="4" t="s">
        <v>147</v>
      </c>
      <c r="B70" s="4" t="s">
        <v>162</v>
      </c>
      <c r="C70" s="9" t="s">
        <v>151</v>
      </c>
      <c r="D70" s="13">
        <v>1</v>
      </c>
      <c r="E70" s="13" t="s">
        <v>397</v>
      </c>
      <c r="F70" s="13">
        <v>1</v>
      </c>
      <c r="G70" s="22">
        <v>0</v>
      </c>
      <c r="H70" s="13">
        <v>1</v>
      </c>
      <c r="I70" s="4">
        <v>7</v>
      </c>
      <c r="J70" s="4">
        <v>25</v>
      </c>
      <c r="K70" s="4" t="s">
        <v>124</v>
      </c>
      <c r="L70" s="4" t="s">
        <v>13</v>
      </c>
      <c r="M70" s="4">
        <v>2018</v>
      </c>
      <c r="N70" s="4">
        <v>1</v>
      </c>
      <c r="O70" s="4">
        <v>0</v>
      </c>
    </row>
    <row r="71" spans="1:15">
      <c r="A71" s="4" t="s">
        <v>147</v>
      </c>
      <c r="B71" s="4" t="s">
        <v>163</v>
      </c>
      <c r="C71" s="9" t="s">
        <v>152</v>
      </c>
      <c r="D71" s="13">
        <v>1</v>
      </c>
      <c r="E71" s="13" t="s">
        <v>397</v>
      </c>
      <c r="F71" s="13">
        <v>1</v>
      </c>
      <c r="G71" s="22">
        <v>0</v>
      </c>
      <c r="H71" s="13">
        <v>1</v>
      </c>
      <c r="I71" s="4">
        <v>8</v>
      </c>
      <c r="J71" s="4">
        <v>25</v>
      </c>
      <c r="K71" s="4" t="s">
        <v>124</v>
      </c>
      <c r="L71" s="4" t="s">
        <v>13</v>
      </c>
      <c r="M71" s="4">
        <v>2018</v>
      </c>
      <c r="N71" s="4">
        <v>1</v>
      </c>
      <c r="O71" s="4">
        <v>0</v>
      </c>
    </row>
    <row r="72" spans="1:15">
      <c r="A72" s="4" t="s">
        <v>147</v>
      </c>
      <c r="B72" s="4" t="s">
        <v>164</v>
      </c>
      <c r="C72" s="9" t="s">
        <v>153</v>
      </c>
      <c r="D72" s="13">
        <v>0</v>
      </c>
      <c r="F72" s="13">
        <v>1</v>
      </c>
      <c r="G72" s="22">
        <v>0</v>
      </c>
      <c r="H72" s="13">
        <v>1</v>
      </c>
      <c r="I72" s="4">
        <v>14</v>
      </c>
      <c r="J72" s="4">
        <v>25</v>
      </c>
      <c r="K72" s="4" t="s">
        <v>124</v>
      </c>
      <c r="L72" s="4" t="s">
        <v>13</v>
      </c>
      <c r="M72" s="4">
        <v>2018</v>
      </c>
      <c r="N72" s="4">
        <v>1</v>
      </c>
      <c r="O72" s="4">
        <v>0</v>
      </c>
    </row>
    <row r="73" spans="1:15">
      <c r="A73" s="4" t="s">
        <v>147</v>
      </c>
      <c r="B73" s="4" t="s">
        <v>165</v>
      </c>
      <c r="C73" s="9" t="s">
        <v>154</v>
      </c>
      <c r="D73" s="13">
        <v>0</v>
      </c>
      <c r="F73" s="13">
        <v>1</v>
      </c>
      <c r="G73" s="22">
        <v>0</v>
      </c>
      <c r="H73" s="20">
        <v>1</v>
      </c>
      <c r="I73" s="4">
        <v>17</v>
      </c>
      <c r="J73" s="4">
        <v>25</v>
      </c>
      <c r="K73" s="4" t="s">
        <v>124</v>
      </c>
      <c r="L73" s="4" t="s">
        <v>13</v>
      </c>
      <c r="M73" s="4">
        <v>2018</v>
      </c>
      <c r="N73" s="4">
        <v>1</v>
      </c>
      <c r="O73" s="4">
        <v>0</v>
      </c>
    </row>
    <row r="74" spans="1:15">
      <c r="A74" s="4" t="s">
        <v>147</v>
      </c>
      <c r="B74" s="4" t="s">
        <v>166</v>
      </c>
      <c r="C74" s="9" t="s">
        <v>155</v>
      </c>
      <c r="D74" s="13">
        <v>0</v>
      </c>
      <c r="F74" s="13">
        <v>1</v>
      </c>
      <c r="G74" s="22">
        <v>0</v>
      </c>
      <c r="H74" s="13">
        <v>1</v>
      </c>
      <c r="I74" s="4">
        <v>19</v>
      </c>
      <c r="J74" s="4">
        <v>25</v>
      </c>
      <c r="K74" s="4" t="s">
        <v>124</v>
      </c>
      <c r="L74" s="4" t="s">
        <v>13</v>
      </c>
      <c r="M74" s="4">
        <v>2018</v>
      </c>
      <c r="N74" s="4">
        <v>1</v>
      </c>
      <c r="O74" s="4">
        <v>0</v>
      </c>
    </row>
    <row r="75" spans="1:15">
      <c r="A75" s="4" t="s">
        <v>147</v>
      </c>
      <c r="B75" s="4" t="s">
        <v>167</v>
      </c>
      <c r="C75" s="9" t="s">
        <v>156</v>
      </c>
      <c r="D75" s="13">
        <v>1</v>
      </c>
      <c r="E75" s="13" t="s">
        <v>397</v>
      </c>
      <c r="F75" s="13">
        <v>1</v>
      </c>
      <c r="G75" s="22">
        <v>0</v>
      </c>
      <c r="H75" s="13">
        <v>1</v>
      </c>
      <c r="I75" s="4">
        <v>21</v>
      </c>
      <c r="J75" s="4">
        <v>25</v>
      </c>
      <c r="K75" s="4" t="s">
        <v>124</v>
      </c>
      <c r="L75" s="4" t="s">
        <v>13</v>
      </c>
      <c r="M75" s="4">
        <v>2018</v>
      </c>
      <c r="N75" s="4">
        <v>1</v>
      </c>
      <c r="O75" s="4">
        <v>0</v>
      </c>
    </row>
    <row r="76" spans="1:15">
      <c r="A76" s="4" t="s">
        <v>147</v>
      </c>
      <c r="B76" s="4" t="s">
        <v>168</v>
      </c>
      <c r="C76" s="10" t="s">
        <v>391</v>
      </c>
      <c r="D76" s="13">
        <v>1</v>
      </c>
      <c r="E76" s="13" t="s">
        <v>399</v>
      </c>
      <c r="F76" s="13">
        <v>1</v>
      </c>
      <c r="G76" s="22">
        <v>0</v>
      </c>
      <c r="H76" s="13">
        <v>1</v>
      </c>
      <c r="I76" s="4">
        <v>22</v>
      </c>
      <c r="J76" s="4">
        <v>25</v>
      </c>
      <c r="K76" s="4" t="s">
        <v>124</v>
      </c>
      <c r="L76" s="4" t="s">
        <v>13</v>
      </c>
      <c r="M76" s="4">
        <v>2018</v>
      </c>
      <c r="N76" s="4">
        <v>1</v>
      </c>
      <c r="O76" s="4">
        <v>0</v>
      </c>
    </row>
    <row r="77" spans="1:15">
      <c r="A77" s="4" t="s">
        <v>147</v>
      </c>
      <c r="B77" s="4" t="s">
        <v>169</v>
      </c>
      <c r="C77" s="10" t="s">
        <v>157</v>
      </c>
      <c r="D77" s="13">
        <v>1</v>
      </c>
      <c r="E77" s="13" t="s">
        <v>399</v>
      </c>
      <c r="F77" s="13">
        <v>1</v>
      </c>
      <c r="G77" s="22">
        <v>0</v>
      </c>
      <c r="H77" s="13">
        <v>1</v>
      </c>
      <c r="I77" s="4">
        <v>24</v>
      </c>
      <c r="J77" s="4">
        <v>25</v>
      </c>
      <c r="K77" s="4" t="s">
        <v>124</v>
      </c>
      <c r="L77" s="4" t="s">
        <v>13</v>
      </c>
      <c r="M77" s="4">
        <v>2018</v>
      </c>
      <c r="N77" s="4">
        <v>1</v>
      </c>
      <c r="O77" s="4">
        <v>0</v>
      </c>
    </row>
    <row r="78" spans="1:15">
      <c r="A78" s="4" t="s">
        <v>147</v>
      </c>
      <c r="B78" s="4" t="s">
        <v>170</v>
      </c>
      <c r="C78" s="9" t="s">
        <v>158</v>
      </c>
      <c r="D78" s="13">
        <v>1</v>
      </c>
      <c r="E78" s="13" t="s">
        <v>399</v>
      </c>
      <c r="F78" s="13">
        <v>1</v>
      </c>
      <c r="G78" s="22">
        <v>0</v>
      </c>
      <c r="H78" s="20">
        <v>2</v>
      </c>
      <c r="I78" s="4">
        <v>25</v>
      </c>
      <c r="J78" s="4">
        <v>25</v>
      </c>
      <c r="K78" s="4" t="s">
        <v>124</v>
      </c>
      <c r="L78" s="4" t="s">
        <v>13</v>
      </c>
      <c r="M78" s="4">
        <v>2018</v>
      </c>
      <c r="N78" s="4">
        <v>1</v>
      </c>
      <c r="O78" s="4">
        <v>0</v>
      </c>
    </row>
    <row r="79" spans="1:15">
      <c r="A79" s="4" t="s">
        <v>171</v>
      </c>
      <c r="B79" s="4" t="s">
        <v>181</v>
      </c>
      <c r="C79" s="9" t="s">
        <v>172</v>
      </c>
      <c r="D79" s="13">
        <v>1</v>
      </c>
      <c r="E79" s="13" t="s">
        <v>399</v>
      </c>
      <c r="F79" s="13">
        <v>1</v>
      </c>
      <c r="G79" s="22">
        <v>1</v>
      </c>
      <c r="H79" s="13">
        <v>2</v>
      </c>
      <c r="I79" s="4">
        <v>4</v>
      </c>
      <c r="J79" s="4">
        <v>16</v>
      </c>
      <c r="K79" s="4" t="s">
        <v>124</v>
      </c>
      <c r="L79" s="4" t="s">
        <v>13</v>
      </c>
      <c r="M79" s="4">
        <v>2019</v>
      </c>
      <c r="N79" s="4">
        <v>1</v>
      </c>
      <c r="O79" s="4">
        <v>1</v>
      </c>
    </row>
    <row r="80" spans="1:15">
      <c r="A80" s="4" t="s">
        <v>171</v>
      </c>
      <c r="B80" s="4" t="s">
        <v>182</v>
      </c>
      <c r="C80" s="9" t="s">
        <v>400</v>
      </c>
      <c r="D80" s="13">
        <v>1</v>
      </c>
      <c r="E80" s="13" t="s">
        <v>397</v>
      </c>
      <c r="F80" s="13">
        <v>1</v>
      </c>
      <c r="G80" s="22">
        <v>0</v>
      </c>
      <c r="H80" s="13">
        <v>1</v>
      </c>
      <c r="I80" s="4">
        <v>7</v>
      </c>
      <c r="J80" s="4">
        <v>16</v>
      </c>
      <c r="K80" s="4" t="s">
        <v>124</v>
      </c>
      <c r="L80" s="4" t="s">
        <v>13</v>
      </c>
      <c r="M80" s="4">
        <v>2019</v>
      </c>
      <c r="N80" s="4">
        <v>1</v>
      </c>
      <c r="O80" s="4">
        <v>1</v>
      </c>
    </row>
    <row r="81" spans="1:15">
      <c r="A81" s="4" t="s">
        <v>171</v>
      </c>
      <c r="B81" s="4" t="s">
        <v>183</v>
      </c>
      <c r="C81" s="9" t="s">
        <v>173</v>
      </c>
      <c r="D81" s="13">
        <v>1</v>
      </c>
      <c r="E81" s="13" t="s">
        <v>397</v>
      </c>
      <c r="F81" s="13">
        <v>1</v>
      </c>
      <c r="G81" s="22">
        <v>0</v>
      </c>
      <c r="H81" s="13">
        <v>1</v>
      </c>
      <c r="I81" s="4">
        <v>9</v>
      </c>
      <c r="J81" s="4">
        <v>16</v>
      </c>
      <c r="K81" s="4" t="s">
        <v>124</v>
      </c>
      <c r="L81" s="4" t="s">
        <v>13</v>
      </c>
      <c r="M81" s="4">
        <v>2019</v>
      </c>
      <c r="N81" s="4">
        <v>1</v>
      </c>
      <c r="O81" s="4">
        <v>1</v>
      </c>
    </row>
    <row r="82" spans="1:15">
      <c r="A82" s="4" t="s">
        <v>171</v>
      </c>
      <c r="B82" s="4" t="s">
        <v>184</v>
      </c>
      <c r="C82" s="9" t="s">
        <v>174</v>
      </c>
      <c r="D82" s="13">
        <v>1</v>
      </c>
      <c r="E82" s="13" t="s">
        <v>397</v>
      </c>
      <c r="F82" s="13">
        <v>1</v>
      </c>
      <c r="G82" s="22">
        <v>0</v>
      </c>
      <c r="H82" s="13">
        <v>1</v>
      </c>
      <c r="I82" s="4">
        <v>10</v>
      </c>
      <c r="J82" s="4">
        <v>16</v>
      </c>
      <c r="K82" s="4" t="s">
        <v>124</v>
      </c>
      <c r="L82" s="4" t="s">
        <v>13</v>
      </c>
      <c r="M82" s="4">
        <v>2019</v>
      </c>
      <c r="N82" s="4">
        <v>1</v>
      </c>
      <c r="O82" s="4">
        <v>1</v>
      </c>
    </row>
    <row r="83" spans="1:15">
      <c r="A83" s="4" t="s">
        <v>171</v>
      </c>
      <c r="B83" s="4" t="s">
        <v>185</v>
      </c>
      <c r="C83" s="9" t="s">
        <v>175</v>
      </c>
      <c r="D83" s="13">
        <v>1</v>
      </c>
      <c r="E83" s="13" t="s">
        <v>399</v>
      </c>
      <c r="F83" s="13">
        <v>1</v>
      </c>
      <c r="G83" s="22">
        <v>1</v>
      </c>
      <c r="H83" s="13">
        <v>1</v>
      </c>
      <c r="I83" s="4">
        <v>11</v>
      </c>
      <c r="J83" s="4">
        <v>16</v>
      </c>
      <c r="K83" s="4" t="s">
        <v>124</v>
      </c>
      <c r="L83" s="4" t="s">
        <v>13</v>
      </c>
      <c r="M83" s="4">
        <v>2019</v>
      </c>
      <c r="N83" s="4">
        <v>1</v>
      </c>
      <c r="O83" s="4">
        <v>1</v>
      </c>
    </row>
    <row r="84" spans="1:15">
      <c r="A84" s="4" t="s">
        <v>171</v>
      </c>
      <c r="B84" s="4" t="s">
        <v>186</v>
      </c>
      <c r="C84" s="9" t="s">
        <v>176</v>
      </c>
      <c r="D84" s="13">
        <v>1</v>
      </c>
      <c r="E84" s="13" t="s">
        <v>397</v>
      </c>
      <c r="F84" s="13">
        <v>1</v>
      </c>
      <c r="G84" s="22">
        <v>0</v>
      </c>
      <c r="H84" s="13">
        <v>1</v>
      </c>
      <c r="I84" s="4">
        <v>12</v>
      </c>
      <c r="J84" s="4">
        <v>16</v>
      </c>
      <c r="K84" s="4" t="s">
        <v>124</v>
      </c>
      <c r="L84" s="4" t="s">
        <v>13</v>
      </c>
      <c r="M84" s="4">
        <v>2019</v>
      </c>
      <c r="N84" s="4">
        <v>1</v>
      </c>
      <c r="O84" s="4">
        <v>1</v>
      </c>
    </row>
    <row r="85" spans="1:15">
      <c r="A85" s="4" t="s">
        <v>171</v>
      </c>
      <c r="B85" s="4" t="s">
        <v>187</v>
      </c>
      <c r="C85" s="9" t="s">
        <v>177</v>
      </c>
      <c r="D85" s="13">
        <v>1</v>
      </c>
      <c r="E85" s="13" t="s">
        <v>399</v>
      </c>
      <c r="F85" s="13">
        <v>1</v>
      </c>
      <c r="G85" s="22">
        <v>0</v>
      </c>
      <c r="H85" s="20">
        <v>2</v>
      </c>
      <c r="I85" s="4">
        <v>13</v>
      </c>
      <c r="J85" s="4">
        <v>16</v>
      </c>
      <c r="K85" s="4" t="s">
        <v>124</v>
      </c>
      <c r="L85" s="4" t="s">
        <v>13</v>
      </c>
      <c r="M85" s="4">
        <v>2019</v>
      </c>
      <c r="N85" s="4">
        <v>1</v>
      </c>
      <c r="O85" s="4">
        <v>1</v>
      </c>
    </row>
    <row r="86" spans="1:15">
      <c r="A86" s="4" t="s">
        <v>171</v>
      </c>
      <c r="B86" s="4" t="s">
        <v>188</v>
      </c>
      <c r="C86" s="9" t="s">
        <v>178</v>
      </c>
      <c r="D86" s="13">
        <v>1</v>
      </c>
      <c r="E86" s="13" t="s">
        <v>397</v>
      </c>
      <c r="F86" s="13">
        <v>1</v>
      </c>
      <c r="G86" s="22">
        <v>1</v>
      </c>
      <c r="H86" s="13">
        <v>1</v>
      </c>
      <c r="I86" s="4">
        <v>14</v>
      </c>
      <c r="J86" s="4">
        <v>16</v>
      </c>
      <c r="K86" s="4" t="s">
        <v>124</v>
      </c>
      <c r="L86" s="4" t="s">
        <v>13</v>
      </c>
      <c r="M86" s="4">
        <v>2019</v>
      </c>
      <c r="N86" s="4">
        <v>1</v>
      </c>
      <c r="O86" s="4">
        <v>1</v>
      </c>
    </row>
    <row r="87" spans="1:15">
      <c r="A87" s="4" t="s">
        <v>171</v>
      </c>
      <c r="B87" s="4" t="s">
        <v>189</v>
      </c>
      <c r="C87" s="9" t="s">
        <v>179</v>
      </c>
      <c r="D87" s="13">
        <v>0</v>
      </c>
      <c r="F87" s="13">
        <v>1</v>
      </c>
      <c r="G87" s="22">
        <v>1</v>
      </c>
      <c r="H87" s="13">
        <v>1</v>
      </c>
      <c r="I87" s="4">
        <v>15</v>
      </c>
      <c r="J87" s="4">
        <v>16</v>
      </c>
      <c r="K87" s="4" t="s">
        <v>124</v>
      </c>
      <c r="L87" s="4" t="s">
        <v>13</v>
      </c>
      <c r="M87" s="4">
        <v>2019</v>
      </c>
      <c r="N87" s="4">
        <v>1</v>
      </c>
      <c r="O87" s="4">
        <v>1</v>
      </c>
    </row>
    <row r="88" spans="1:15">
      <c r="A88" s="4" t="s">
        <v>171</v>
      </c>
      <c r="B88" s="4" t="s">
        <v>190</v>
      </c>
      <c r="C88" s="9" t="s">
        <v>180</v>
      </c>
      <c r="D88" s="13">
        <v>0</v>
      </c>
      <c r="F88" s="13">
        <v>1</v>
      </c>
      <c r="G88" s="22">
        <v>0</v>
      </c>
      <c r="H88" s="13">
        <v>1</v>
      </c>
      <c r="I88" s="4">
        <v>16</v>
      </c>
      <c r="J88" s="4">
        <v>16</v>
      </c>
      <c r="K88" s="4" t="s">
        <v>124</v>
      </c>
      <c r="L88" s="4" t="s">
        <v>13</v>
      </c>
      <c r="M88" s="4">
        <v>2019</v>
      </c>
      <c r="N88" s="4">
        <v>1</v>
      </c>
      <c r="O88" s="4">
        <v>1</v>
      </c>
    </row>
    <row r="89" spans="1:15">
      <c r="A89" s="4" t="s">
        <v>191</v>
      </c>
      <c r="B89" s="4" t="s">
        <v>204</v>
      </c>
      <c r="C89" s="11" t="s">
        <v>196</v>
      </c>
      <c r="D89" s="13">
        <v>1</v>
      </c>
      <c r="E89" s="13" t="s">
        <v>399</v>
      </c>
      <c r="F89" s="13">
        <v>1</v>
      </c>
      <c r="G89" s="22">
        <v>1</v>
      </c>
      <c r="H89" s="13">
        <v>1</v>
      </c>
      <c r="I89" s="4">
        <v>2</v>
      </c>
      <c r="J89" s="4">
        <v>17</v>
      </c>
      <c r="K89" s="4" t="s">
        <v>124</v>
      </c>
      <c r="L89" s="4" t="s">
        <v>13</v>
      </c>
      <c r="M89" s="4">
        <v>2020</v>
      </c>
      <c r="N89" s="4">
        <v>1</v>
      </c>
      <c r="O89" s="4">
        <v>1</v>
      </c>
    </row>
    <row r="90" spans="1:15">
      <c r="A90" s="4" t="s">
        <v>191</v>
      </c>
      <c r="B90" s="4" t="s">
        <v>205</v>
      </c>
      <c r="C90" s="11" t="s">
        <v>401</v>
      </c>
      <c r="D90" s="13">
        <v>1</v>
      </c>
      <c r="E90" s="13" t="s">
        <v>397</v>
      </c>
      <c r="F90" s="13">
        <v>1</v>
      </c>
      <c r="G90" s="22">
        <v>0</v>
      </c>
      <c r="H90" s="13">
        <v>1</v>
      </c>
      <c r="I90" s="4">
        <v>5</v>
      </c>
      <c r="J90" s="4">
        <v>17</v>
      </c>
      <c r="K90" s="4" t="s">
        <v>124</v>
      </c>
      <c r="L90" s="4" t="s">
        <v>13</v>
      </c>
      <c r="M90" s="4">
        <v>2020</v>
      </c>
      <c r="N90" s="4">
        <v>1</v>
      </c>
      <c r="O90" s="4">
        <v>1</v>
      </c>
    </row>
    <row r="91" spans="1:15">
      <c r="A91" s="4" t="s">
        <v>191</v>
      </c>
      <c r="B91" s="4" t="s">
        <v>206</v>
      </c>
      <c r="C91" s="11" t="s">
        <v>197</v>
      </c>
      <c r="D91" s="13">
        <v>1</v>
      </c>
      <c r="E91" s="13" t="s">
        <v>397</v>
      </c>
      <c r="F91" s="13">
        <v>1</v>
      </c>
      <c r="G91" s="22">
        <v>0</v>
      </c>
      <c r="H91" s="13">
        <v>1</v>
      </c>
      <c r="I91" s="4">
        <v>6</v>
      </c>
      <c r="J91" s="4">
        <v>17</v>
      </c>
      <c r="K91" s="4" t="s">
        <v>124</v>
      </c>
      <c r="L91" s="4" t="s">
        <v>13</v>
      </c>
      <c r="M91" s="4">
        <v>2020</v>
      </c>
      <c r="N91" s="4">
        <v>1</v>
      </c>
      <c r="O91" s="4">
        <v>1</v>
      </c>
    </row>
    <row r="92" spans="1:15">
      <c r="A92" s="4" t="s">
        <v>191</v>
      </c>
      <c r="B92" s="4" t="s">
        <v>207</v>
      </c>
      <c r="C92" s="11" t="s">
        <v>198</v>
      </c>
      <c r="D92" s="13">
        <v>1</v>
      </c>
      <c r="E92" s="13" t="s">
        <v>397</v>
      </c>
      <c r="F92" s="13">
        <v>1</v>
      </c>
      <c r="G92" s="22">
        <v>0</v>
      </c>
      <c r="H92" s="13">
        <v>1</v>
      </c>
      <c r="I92" s="4">
        <v>9</v>
      </c>
      <c r="J92" s="4">
        <v>17</v>
      </c>
      <c r="K92" s="4" t="s">
        <v>124</v>
      </c>
      <c r="L92" s="4" t="s">
        <v>13</v>
      </c>
      <c r="M92" s="4">
        <v>2020</v>
      </c>
      <c r="N92" s="4">
        <v>1</v>
      </c>
      <c r="O92" s="4">
        <v>1</v>
      </c>
    </row>
    <row r="93" spans="1:15">
      <c r="A93" s="4" t="s">
        <v>191</v>
      </c>
      <c r="B93" s="4" t="s">
        <v>208</v>
      </c>
      <c r="C93" s="11" t="s">
        <v>156</v>
      </c>
      <c r="D93" s="13">
        <v>1</v>
      </c>
      <c r="E93" s="13" t="s">
        <v>397</v>
      </c>
      <c r="F93" s="13">
        <v>1</v>
      </c>
      <c r="G93" s="22">
        <v>0</v>
      </c>
      <c r="H93" s="13">
        <v>1</v>
      </c>
      <c r="I93" s="4">
        <v>11</v>
      </c>
      <c r="J93" s="4">
        <v>17</v>
      </c>
      <c r="K93" s="4" t="s">
        <v>124</v>
      </c>
      <c r="L93" s="4" t="s">
        <v>13</v>
      </c>
      <c r="M93" s="4">
        <v>2020</v>
      </c>
      <c r="N93" s="4">
        <v>1</v>
      </c>
      <c r="O93" s="4">
        <v>1</v>
      </c>
    </row>
    <row r="94" spans="1:15">
      <c r="A94" s="4" t="s">
        <v>191</v>
      </c>
      <c r="B94" s="4" t="s">
        <v>209</v>
      </c>
      <c r="C94" s="11" t="s">
        <v>199</v>
      </c>
      <c r="D94" s="13">
        <v>1</v>
      </c>
      <c r="E94" s="13" t="s">
        <v>399</v>
      </c>
      <c r="F94" s="13">
        <v>1</v>
      </c>
      <c r="G94" s="22">
        <v>1</v>
      </c>
      <c r="H94" s="13">
        <v>1</v>
      </c>
      <c r="I94" s="4">
        <v>12</v>
      </c>
      <c r="J94" s="4">
        <v>17</v>
      </c>
      <c r="K94" s="4" t="s">
        <v>124</v>
      </c>
      <c r="L94" s="4" t="s">
        <v>13</v>
      </c>
      <c r="M94" s="4">
        <v>2020</v>
      </c>
      <c r="N94" s="4">
        <v>1</v>
      </c>
      <c r="O94" s="4">
        <v>1</v>
      </c>
    </row>
    <row r="95" spans="1:15">
      <c r="A95" s="4" t="s">
        <v>191</v>
      </c>
      <c r="B95" s="4" t="s">
        <v>210</v>
      </c>
      <c r="C95" s="11" t="s">
        <v>200</v>
      </c>
      <c r="D95" s="13">
        <v>1</v>
      </c>
      <c r="E95" s="13" t="s">
        <v>399</v>
      </c>
      <c r="F95" s="13">
        <v>1</v>
      </c>
      <c r="G95" s="22">
        <v>0</v>
      </c>
      <c r="H95" s="13">
        <v>1</v>
      </c>
      <c r="I95" s="4">
        <v>13</v>
      </c>
      <c r="J95" s="4">
        <v>17</v>
      </c>
      <c r="K95" s="4" t="s">
        <v>124</v>
      </c>
      <c r="L95" s="4" t="s">
        <v>13</v>
      </c>
      <c r="M95" s="4">
        <v>2020</v>
      </c>
      <c r="N95" s="4">
        <v>1</v>
      </c>
      <c r="O95" s="4">
        <v>1</v>
      </c>
    </row>
    <row r="96" spans="1:15">
      <c r="A96" s="4" t="s">
        <v>191</v>
      </c>
      <c r="B96" s="4" t="s">
        <v>211</v>
      </c>
      <c r="C96" s="11" t="s">
        <v>158</v>
      </c>
      <c r="D96" s="13">
        <v>1</v>
      </c>
      <c r="E96" s="13" t="s">
        <v>399</v>
      </c>
      <c r="F96" s="13">
        <v>1</v>
      </c>
      <c r="G96" s="22">
        <v>0</v>
      </c>
      <c r="H96" s="20">
        <v>2</v>
      </c>
      <c r="I96" s="4">
        <v>14</v>
      </c>
      <c r="J96" s="4">
        <v>17</v>
      </c>
      <c r="K96" s="4" t="s">
        <v>124</v>
      </c>
      <c r="L96" s="4" t="s">
        <v>13</v>
      </c>
      <c r="M96" s="4">
        <v>2020</v>
      </c>
      <c r="N96" s="4">
        <v>1</v>
      </c>
      <c r="O96" s="4">
        <v>1</v>
      </c>
    </row>
    <row r="97" spans="1:15">
      <c r="A97" s="4" t="s">
        <v>191</v>
      </c>
      <c r="B97" s="4" t="s">
        <v>212</v>
      </c>
      <c r="C97" s="11" t="s">
        <v>201</v>
      </c>
      <c r="D97" s="13">
        <v>1</v>
      </c>
      <c r="E97" s="13" t="s">
        <v>397</v>
      </c>
      <c r="F97" s="13">
        <v>1</v>
      </c>
      <c r="G97" s="22">
        <v>1</v>
      </c>
      <c r="H97" s="13">
        <v>1</v>
      </c>
      <c r="I97" s="4">
        <v>15</v>
      </c>
      <c r="J97" s="4">
        <v>17</v>
      </c>
      <c r="K97" s="4" t="s">
        <v>124</v>
      </c>
      <c r="L97" s="4" t="s">
        <v>13</v>
      </c>
      <c r="M97" s="4">
        <v>2020</v>
      </c>
      <c r="N97" s="4">
        <v>1</v>
      </c>
      <c r="O97" s="4">
        <v>1</v>
      </c>
    </row>
    <row r="98" spans="1:15">
      <c r="A98" s="4" t="s">
        <v>191</v>
      </c>
      <c r="B98" s="4" t="s">
        <v>213</v>
      </c>
      <c r="C98" s="11" t="s">
        <v>202</v>
      </c>
      <c r="D98" s="13">
        <v>0</v>
      </c>
      <c r="F98" s="13">
        <v>1</v>
      </c>
      <c r="G98" s="22">
        <v>0</v>
      </c>
      <c r="H98" s="13">
        <v>1</v>
      </c>
      <c r="I98" s="4">
        <v>16</v>
      </c>
      <c r="J98" s="4">
        <v>17</v>
      </c>
      <c r="K98" s="4" t="s">
        <v>124</v>
      </c>
      <c r="L98" s="4" t="s">
        <v>13</v>
      </c>
      <c r="M98" s="4">
        <v>2020</v>
      </c>
      <c r="N98" s="4">
        <v>1</v>
      </c>
      <c r="O98" s="4">
        <v>1</v>
      </c>
    </row>
    <row r="99" spans="1:15">
      <c r="A99" s="4" t="s">
        <v>191</v>
      </c>
      <c r="B99" s="4" t="s">
        <v>214</v>
      </c>
      <c r="C99" s="11" t="s">
        <v>203</v>
      </c>
      <c r="D99" s="13">
        <v>0</v>
      </c>
      <c r="F99" s="13">
        <v>1</v>
      </c>
      <c r="G99" s="22">
        <v>0</v>
      </c>
      <c r="H99" s="13">
        <v>1</v>
      </c>
      <c r="I99" s="4">
        <v>17</v>
      </c>
      <c r="J99" s="4">
        <v>17</v>
      </c>
      <c r="K99" s="4" t="s">
        <v>124</v>
      </c>
      <c r="L99" s="4" t="s">
        <v>13</v>
      </c>
      <c r="M99" s="4">
        <v>2020</v>
      </c>
      <c r="N99" s="4">
        <v>1</v>
      </c>
      <c r="O99" s="4">
        <v>1</v>
      </c>
    </row>
    <row r="100" spans="1:15">
      <c r="A100" s="4" t="s">
        <v>217</v>
      </c>
      <c r="B100" s="4" t="s">
        <v>229</v>
      </c>
      <c r="C100" s="11" t="s">
        <v>218</v>
      </c>
      <c r="D100" s="13">
        <v>1</v>
      </c>
      <c r="E100" s="13" t="s">
        <v>397</v>
      </c>
      <c r="F100" s="13">
        <v>1</v>
      </c>
      <c r="G100" s="22">
        <v>0</v>
      </c>
      <c r="H100" s="13">
        <v>1</v>
      </c>
      <c r="I100" s="4">
        <v>6</v>
      </c>
      <c r="J100" s="4">
        <v>22</v>
      </c>
      <c r="K100" s="4" t="s">
        <v>124</v>
      </c>
      <c r="L100" s="4" t="s">
        <v>13</v>
      </c>
      <c r="M100" s="4">
        <v>2021</v>
      </c>
      <c r="N100" s="4">
        <v>1</v>
      </c>
      <c r="O100" s="4">
        <v>1</v>
      </c>
    </row>
    <row r="101" spans="1:15">
      <c r="A101" s="4" t="s">
        <v>217</v>
      </c>
      <c r="B101" s="4" t="s">
        <v>230</v>
      </c>
      <c r="C101" s="11" t="s">
        <v>219</v>
      </c>
      <c r="D101" s="13">
        <v>1</v>
      </c>
      <c r="E101" s="13" t="s">
        <v>397</v>
      </c>
      <c r="F101" s="13">
        <v>1</v>
      </c>
      <c r="G101" s="22">
        <v>0</v>
      </c>
      <c r="H101" s="13">
        <v>1</v>
      </c>
      <c r="I101" s="4">
        <v>8</v>
      </c>
      <c r="J101" s="4">
        <v>22</v>
      </c>
      <c r="K101" s="4" t="s">
        <v>124</v>
      </c>
      <c r="L101" s="4" t="s">
        <v>13</v>
      </c>
      <c r="M101" s="4">
        <v>2021</v>
      </c>
      <c r="N101" s="4">
        <v>1</v>
      </c>
      <c r="O101" s="4">
        <v>1</v>
      </c>
    </row>
    <row r="102" spans="1:15">
      <c r="A102" s="4" t="s">
        <v>217</v>
      </c>
      <c r="B102" s="4" t="s">
        <v>231</v>
      </c>
      <c r="C102" s="11" t="s">
        <v>220</v>
      </c>
      <c r="D102" s="13">
        <v>1</v>
      </c>
      <c r="E102" s="13" t="s">
        <v>397</v>
      </c>
      <c r="F102" s="13">
        <v>1</v>
      </c>
      <c r="G102" s="22">
        <v>0</v>
      </c>
      <c r="H102" s="13">
        <v>1</v>
      </c>
      <c r="I102" s="4">
        <v>9</v>
      </c>
      <c r="J102" s="4">
        <v>22</v>
      </c>
      <c r="K102" s="4" t="s">
        <v>124</v>
      </c>
      <c r="L102" s="4" t="s">
        <v>13</v>
      </c>
      <c r="M102" s="4">
        <v>2021</v>
      </c>
      <c r="N102" s="4">
        <v>1</v>
      </c>
      <c r="O102" s="4">
        <v>1</v>
      </c>
    </row>
    <row r="103" spans="1:15">
      <c r="A103" s="4" t="s">
        <v>217</v>
      </c>
      <c r="B103" s="4" t="s">
        <v>232</v>
      </c>
      <c r="C103" s="11" t="s">
        <v>221</v>
      </c>
      <c r="D103" s="13">
        <v>1</v>
      </c>
      <c r="E103" s="13" t="s">
        <v>397</v>
      </c>
      <c r="F103" s="13">
        <v>1</v>
      </c>
      <c r="G103" s="22">
        <v>0</v>
      </c>
      <c r="H103" s="13">
        <v>1</v>
      </c>
      <c r="I103" s="4">
        <v>12</v>
      </c>
      <c r="J103" s="4">
        <v>22</v>
      </c>
      <c r="K103" s="4" t="s">
        <v>124</v>
      </c>
      <c r="L103" s="4" t="s">
        <v>13</v>
      </c>
      <c r="M103" s="4">
        <v>2021</v>
      </c>
      <c r="N103" s="4">
        <v>1</v>
      </c>
      <c r="O103" s="4">
        <v>1</v>
      </c>
    </row>
    <row r="104" spans="1:15">
      <c r="A104" s="4" t="s">
        <v>217</v>
      </c>
      <c r="B104" s="4" t="s">
        <v>233</v>
      </c>
      <c r="C104" s="11" t="s">
        <v>222</v>
      </c>
      <c r="D104" s="13">
        <v>1</v>
      </c>
      <c r="E104" s="13" t="s">
        <v>395</v>
      </c>
      <c r="F104" s="13">
        <v>1</v>
      </c>
      <c r="G104" s="22">
        <v>0</v>
      </c>
      <c r="H104" s="20">
        <v>2</v>
      </c>
      <c r="I104" s="4">
        <v>13</v>
      </c>
      <c r="J104" s="4">
        <v>22</v>
      </c>
      <c r="K104" s="4" t="s">
        <v>124</v>
      </c>
      <c r="L104" s="4" t="s">
        <v>13</v>
      </c>
      <c r="M104" s="4">
        <v>2021</v>
      </c>
      <c r="N104" s="4">
        <v>1</v>
      </c>
      <c r="O104" s="4">
        <v>1</v>
      </c>
    </row>
    <row r="105" spans="1:15">
      <c r="A105" s="4" t="s">
        <v>217</v>
      </c>
      <c r="B105" s="4" t="s">
        <v>234</v>
      </c>
      <c r="C105" s="9" t="s">
        <v>223</v>
      </c>
      <c r="D105" s="13">
        <v>1</v>
      </c>
      <c r="E105" s="13" t="s">
        <v>397</v>
      </c>
      <c r="F105" s="13">
        <v>1</v>
      </c>
      <c r="G105" s="22">
        <v>0</v>
      </c>
      <c r="H105" s="13">
        <v>1</v>
      </c>
      <c r="I105" s="4">
        <v>15</v>
      </c>
      <c r="J105" s="4">
        <v>22</v>
      </c>
      <c r="K105" s="4" t="s">
        <v>124</v>
      </c>
      <c r="L105" s="4" t="s">
        <v>13</v>
      </c>
      <c r="M105" s="4">
        <v>2021</v>
      </c>
      <c r="N105" s="4">
        <v>1</v>
      </c>
      <c r="O105" s="4">
        <v>1</v>
      </c>
    </row>
    <row r="106" spans="1:15">
      <c r="A106" s="4" t="s">
        <v>217</v>
      </c>
      <c r="B106" s="4" t="s">
        <v>235</v>
      </c>
      <c r="C106" s="9" t="s">
        <v>224</v>
      </c>
      <c r="D106" s="13">
        <v>1</v>
      </c>
      <c r="E106" s="13" t="s">
        <v>399</v>
      </c>
      <c r="F106" s="13">
        <v>1</v>
      </c>
      <c r="G106" s="22">
        <v>0</v>
      </c>
      <c r="H106" s="20">
        <v>2</v>
      </c>
      <c r="I106" s="4">
        <v>16</v>
      </c>
      <c r="J106" s="4">
        <v>22</v>
      </c>
      <c r="K106" s="4" t="s">
        <v>124</v>
      </c>
      <c r="L106" s="4" t="s">
        <v>13</v>
      </c>
      <c r="M106" s="4">
        <v>2021</v>
      </c>
      <c r="N106" s="4">
        <v>1</v>
      </c>
      <c r="O106" s="4">
        <v>1</v>
      </c>
    </row>
    <row r="107" spans="1:15">
      <c r="A107" s="4" t="s">
        <v>217</v>
      </c>
      <c r="B107" s="4" t="s">
        <v>236</v>
      </c>
      <c r="C107" s="9" t="s">
        <v>225</v>
      </c>
      <c r="D107" s="13">
        <v>1</v>
      </c>
      <c r="E107" s="13" t="s">
        <v>399</v>
      </c>
      <c r="F107" s="13">
        <v>1</v>
      </c>
      <c r="G107" s="22">
        <v>0</v>
      </c>
      <c r="H107" s="13">
        <v>1</v>
      </c>
      <c r="I107" s="4">
        <v>18</v>
      </c>
      <c r="J107" s="4">
        <v>22</v>
      </c>
      <c r="K107" s="4" t="s">
        <v>124</v>
      </c>
      <c r="L107" s="4" t="s">
        <v>13</v>
      </c>
      <c r="M107" s="4">
        <v>2021</v>
      </c>
      <c r="N107" s="4">
        <v>1</v>
      </c>
      <c r="O107" s="4">
        <v>1</v>
      </c>
    </row>
    <row r="108" spans="1:15">
      <c r="A108" s="4" t="s">
        <v>217</v>
      </c>
      <c r="B108" s="4" t="s">
        <v>237</v>
      </c>
      <c r="C108" s="9" t="s">
        <v>226</v>
      </c>
      <c r="D108" s="13">
        <v>1</v>
      </c>
      <c r="E108" s="13" t="s">
        <v>399</v>
      </c>
      <c r="F108" s="13">
        <v>1</v>
      </c>
      <c r="G108" s="22">
        <v>0</v>
      </c>
      <c r="H108" s="20">
        <v>2</v>
      </c>
      <c r="I108" s="4">
        <v>19</v>
      </c>
      <c r="J108" s="4">
        <v>22</v>
      </c>
      <c r="K108" s="4" t="s">
        <v>124</v>
      </c>
      <c r="L108" s="4" t="s">
        <v>13</v>
      </c>
      <c r="M108" s="4">
        <v>2021</v>
      </c>
      <c r="N108" s="4">
        <v>1</v>
      </c>
      <c r="O108" s="4">
        <v>1</v>
      </c>
    </row>
    <row r="109" spans="1:15">
      <c r="A109" s="4" t="s">
        <v>217</v>
      </c>
      <c r="B109" s="4" t="s">
        <v>238</v>
      </c>
      <c r="C109" s="9" t="s">
        <v>227</v>
      </c>
      <c r="D109" s="13">
        <v>1</v>
      </c>
      <c r="E109" s="13" t="s">
        <v>397</v>
      </c>
      <c r="F109" s="13">
        <v>1</v>
      </c>
      <c r="G109" s="22">
        <v>1</v>
      </c>
      <c r="H109" s="13">
        <v>1</v>
      </c>
      <c r="I109" s="4">
        <v>20</v>
      </c>
      <c r="J109" s="4">
        <v>22</v>
      </c>
      <c r="K109" s="4" t="s">
        <v>124</v>
      </c>
      <c r="L109" s="4" t="s">
        <v>13</v>
      </c>
      <c r="M109" s="4">
        <v>2021</v>
      </c>
      <c r="N109" s="4">
        <v>1</v>
      </c>
      <c r="O109" s="4">
        <v>1</v>
      </c>
    </row>
    <row r="110" spans="1:15">
      <c r="A110" s="4" t="s">
        <v>217</v>
      </c>
      <c r="B110" s="4" t="s">
        <v>239</v>
      </c>
      <c r="C110" s="9" t="s">
        <v>402</v>
      </c>
      <c r="D110" s="13">
        <v>0</v>
      </c>
      <c r="F110" s="13">
        <v>1</v>
      </c>
      <c r="G110" s="22">
        <v>0</v>
      </c>
      <c r="H110" s="13">
        <v>1</v>
      </c>
      <c r="I110" s="4">
        <v>21</v>
      </c>
      <c r="J110" s="4">
        <v>22</v>
      </c>
      <c r="K110" s="4" t="s">
        <v>124</v>
      </c>
      <c r="L110" s="4" t="s">
        <v>13</v>
      </c>
      <c r="M110" s="4">
        <v>2021</v>
      </c>
      <c r="N110" s="4">
        <v>1</v>
      </c>
      <c r="O110" s="4">
        <v>1</v>
      </c>
    </row>
    <row r="111" spans="1:15">
      <c r="A111" s="4" t="s">
        <v>217</v>
      </c>
      <c r="B111" s="4" t="s">
        <v>240</v>
      </c>
      <c r="C111" s="9" t="s">
        <v>228</v>
      </c>
      <c r="D111" s="13">
        <v>0</v>
      </c>
      <c r="F111" s="13">
        <v>1</v>
      </c>
      <c r="G111" s="22">
        <v>0</v>
      </c>
      <c r="H111" s="13">
        <v>1</v>
      </c>
      <c r="I111" s="4">
        <v>22</v>
      </c>
      <c r="J111" s="4">
        <v>22</v>
      </c>
      <c r="K111" s="4" t="s">
        <v>124</v>
      </c>
      <c r="L111" s="4" t="s">
        <v>13</v>
      </c>
      <c r="M111" s="4">
        <v>2021</v>
      </c>
      <c r="N111" s="4">
        <v>1</v>
      </c>
      <c r="O111" s="4">
        <v>1</v>
      </c>
    </row>
    <row r="112" spans="1:15">
      <c r="A112" s="4" t="s">
        <v>241</v>
      </c>
      <c r="B112" s="4" t="s">
        <v>253</v>
      </c>
      <c r="C112" s="9" t="s">
        <v>403</v>
      </c>
      <c r="D112" s="13">
        <v>1</v>
      </c>
      <c r="E112" s="13" t="s">
        <v>397</v>
      </c>
      <c r="F112" s="13">
        <v>1</v>
      </c>
      <c r="G112" s="22">
        <v>0</v>
      </c>
      <c r="H112" s="13">
        <v>1</v>
      </c>
      <c r="I112" s="4">
        <v>8</v>
      </c>
      <c r="J112" s="4">
        <v>29</v>
      </c>
      <c r="K112" s="4" t="s">
        <v>124</v>
      </c>
      <c r="L112" s="4" t="s">
        <v>13</v>
      </c>
      <c r="M112" s="4">
        <v>2022</v>
      </c>
      <c r="N112" s="4">
        <v>1</v>
      </c>
      <c r="O112" s="4">
        <v>1</v>
      </c>
    </row>
    <row r="113" spans="1:16">
      <c r="A113" s="4" t="s">
        <v>241</v>
      </c>
      <c r="B113" s="4" t="s">
        <v>254</v>
      </c>
      <c r="C113" s="9" t="s">
        <v>219</v>
      </c>
      <c r="D113" s="13">
        <v>1</v>
      </c>
      <c r="E113" s="13" t="s">
        <v>397</v>
      </c>
      <c r="F113" s="13">
        <v>1</v>
      </c>
      <c r="G113" s="22">
        <v>0</v>
      </c>
      <c r="H113" s="13">
        <v>1</v>
      </c>
      <c r="I113" s="4">
        <v>10</v>
      </c>
      <c r="J113" s="4">
        <v>29</v>
      </c>
      <c r="K113" s="4" t="s">
        <v>124</v>
      </c>
      <c r="L113" s="4" t="s">
        <v>13</v>
      </c>
      <c r="M113" s="4">
        <v>2022</v>
      </c>
      <c r="N113" s="4">
        <v>1</v>
      </c>
      <c r="O113" s="4">
        <v>1</v>
      </c>
    </row>
    <row r="114" spans="1:16">
      <c r="A114" s="4" t="s">
        <v>241</v>
      </c>
      <c r="B114" s="4" t="s">
        <v>255</v>
      </c>
      <c r="C114" s="9" t="s">
        <v>220</v>
      </c>
      <c r="D114" s="13">
        <v>1</v>
      </c>
      <c r="E114" s="13" t="s">
        <v>397</v>
      </c>
      <c r="F114" s="13">
        <v>1</v>
      </c>
      <c r="G114" s="22">
        <v>0</v>
      </c>
      <c r="H114" s="13">
        <v>1</v>
      </c>
      <c r="I114" s="4">
        <v>11</v>
      </c>
      <c r="J114" s="4">
        <v>29</v>
      </c>
      <c r="K114" s="4" t="s">
        <v>124</v>
      </c>
      <c r="L114" s="4" t="s">
        <v>13</v>
      </c>
      <c r="M114" s="4">
        <v>2022</v>
      </c>
      <c r="N114" s="4">
        <v>1</v>
      </c>
      <c r="O114" s="4">
        <v>1</v>
      </c>
    </row>
    <row r="115" spans="1:16">
      <c r="A115" s="4" t="s">
        <v>241</v>
      </c>
      <c r="B115" s="4" t="s">
        <v>256</v>
      </c>
      <c r="C115" s="9" t="s">
        <v>242</v>
      </c>
      <c r="D115" s="13">
        <v>1</v>
      </c>
      <c r="E115" s="13" t="s">
        <v>397</v>
      </c>
      <c r="F115" s="13">
        <v>1</v>
      </c>
      <c r="G115" s="22">
        <v>1</v>
      </c>
      <c r="H115" s="13">
        <v>2</v>
      </c>
      <c r="I115" s="4">
        <v>14</v>
      </c>
      <c r="J115" s="4">
        <v>29</v>
      </c>
      <c r="K115" s="4" t="s">
        <v>124</v>
      </c>
      <c r="L115" s="4" t="s">
        <v>13</v>
      </c>
      <c r="M115" s="4">
        <v>2022</v>
      </c>
      <c r="N115" s="4">
        <v>1</v>
      </c>
      <c r="O115" s="4">
        <v>1</v>
      </c>
    </row>
    <row r="116" spans="1:16">
      <c r="A116" s="4" t="s">
        <v>241</v>
      </c>
      <c r="B116" s="4" t="s">
        <v>257</v>
      </c>
      <c r="C116" s="9" t="s">
        <v>243</v>
      </c>
      <c r="D116" s="13">
        <v>1</v>
      </c>
      <c r="E116" s="13" t="s">
        <v>397</v>
      </c>
      <c r="F116" s="13">
        <v>1</v>
      </c>
      <c r="G116" s="22">
        <v>0</v>
      </c>
      <c r="H116" s="13">
        <v>1</v>
      </c>
      <c r="I116" s="4">
        <v>16</v>
      </c>
      <c r="J116" s="4">
        <v>29</v>
      </c>
      <c r="K116" s="4" t="s">
        <v>124</v>
      </c>
      <c r="L116" s="4" t="s">
        <v>13</v>
      </c>
      <c r="M116" s="4">
        <v>2022</v>
      </c>
      <c r="N116" s="4">
        <v>1</v>
      </c>
      <c r="O116" s="4">
        <v>1</v>
      </c>
    </row>
    <row r="117" spans="1:16">
      <c r="A117" s="4" t="s">
        <v>241</v>
      </c>
      <c r="B117" s="4" t="s">
        <v>258</v>
      </c>
      <c r="C117" s="9" t="s">
        <v>244</v>
      </c>
      <c r="D117" s="13">
        <v>1</v>
      </c>
      <c r="E117" s="13" t="s">
        <v>395</v>
      </c>
      <c r="F117" s="13">
        <v>1</v>
      </c>
      <c r="G117" s="22">
        <v>0</v>
      </c>
      <c r="H117" s="20">
        <v>2</v>
      </c>
      <c r="I117" s="4">
        <v>17</v>
      </c>
      <c r="J117" s="4">
        <v>29</v>
      </c>
      <c r="K117" s="4" t="s">
        <v>124</v>
      </c>
      <c r="L117" s="4" t="s">
        <v>13</v>
      </c>
      <c r="M117" s="4">
        <v>2022</v>
      </c>
      <c r="N117" s="4">
        <v>1</v>
      </c>
      <c r="O117" s="4">
        <v>1</v>
      </c>
    </row>
    <row r="118" spans="1:16">
      <c r="A118" s="4" t="s">
        <v>241</v>
      </c>
      <c r="B118" s="4" t="s">
        <v>259</v>
      </c>
      <c r="C118" s="9" t="s">
        <v>245</v>
      </c>
      <c r="D118" s="13">
        <v>1</v>
      </c>
      <c r="E118" s="13" t="s">
        <v>397</v>
      </c>
      <c r="F118" s="13">
        <v>1</v>
      </c>
      <c r="G118" s="22">
        <v>0</v>
      </c>
      <c r="H118" s="13">
        <v>1</v>
      </c>
      <c r="I118" s="4">
        <v>19</v>
      </c>
      <c r="J118" s="4">
        <v>29</v>
      </c>
      <c r="K118" s="4" t="s">
        <v>124</v>
      </c>
      <c r="L118" s="4" t="s">
        <v>13</v>
      </c>
      <c r="M118" s="4">
        <v>2022</v>
      </c>
      <c r="N118" s="4">
        <v>1</v>
      </c>
      <c r="O118" s="4">
        <v>1</v>
      </c>
    </row>
    <row r="119" spans="1:16">
      <c r="A119" s="4" t="s">
        <v>241</v>
      </c>
      <c r="B119" s="4" t="s">
        <v>260</v>
      </c>
      <c r="C119" s="9" t="s">
        <v>246</v>
      </c>
      <c r="D119" s="13">
        <v>1</v>
      </c>
      <c r="E119" s="13" t="s">
        <v>397</v>
      </c>
      <c r="F119" s="13">
        <v>1</v>
      </c>
      <c r="G119" s="22">
        <v>0</v>
      </c>
      <c r="H119" s="13">
        <v>1</v>
      </c>
      <c r="I119" s="4">
        <v>21</v>
      </c>
      <c r="J119" s="4">
        <v>29</v>
      </c>
      <c r="K119" s="4" t="s">
        <v>124</v>
      </c>
      <c r="L119" s="4" t="s">
        <v>13</v>
      </c>
      <c r="M119" s="4">
        <v>2022</v>
      </c>
      <c r="N119" s="4">
        <v>1</v>
      </c>
      <c r="O119" s="4">
        <v>1</v>
      </c>
    </row>
    <row r="120" spans="1:16">
      <c r="A120" s="4" t="s">
        <v>241</v>
      </c>
      <c r="B120" s="4" t="s">
        <v>261</v>
      </c>
      <c r="C120" s="9" t="s">
        <v>247</v>
      </c>
      <c r="D120" s="13">
        <v>1</v>
      </c>
      <c r="E120" s="13" t="s">
        <v>399</v>
      </c>
      <c r="F120" s="13">
        <v>1</v>
      </c>
      <c r="G120" s="22">
        <v>0</v>
      </c>
      <c r="H120" s="20">
        <v>2</v>
      </c>
      <c r="I120" s="4">
        <v>22</v>
      </c>
      <c r="J120" s="4">
        <v>29</v>
      </c>
      <c r="K120" s="4" t="s">
        <v>124</v>
      </c>
      <c r="L120" s="4" t="s">
        <v>13</v>
      </c>
      <c r="M120" s="4">
        <v>2022</v>
      </c>
      <c r="N120" s="4">
        <v>1</v>
      </c>
      <c r="O120" s="4">
        <v>1</v>
      </c>
    </row>
    <row r="121" spans="1:16">
      <c r="A121" s="4" t="s">
        <v>241</v>
      </c>
      <c r="B121" s="4" t="s">
        <v>262</v>
      </c>
      <c r="C121" s="9" t="s">
        <v>248</v>
      </c>
      <c r="D121" s="13">
        <v>1</v>
      </c>
      <c r="E121" s="13" t="s">
        <v>399</v>
      </c>
      <c r="F121" s="13">
        <v>1</v>
      </c>
      <c r="G121" s="22">
        <v>0</v>
      </c>
      <c r="H121" s="20">
        <v>2</v>
      </c>
      <c r="I121" s="4">
        <v>24</v>
      </c>
      <c r="J121" s="4">
        <v>29</v>
      </c>
      <c r="K121" s="4" t="s">
        <v>124</v>
      </c>
      <c r="L121" s="4" t="s">
        <v>13</v>
      </c>
      <c r="M121" s="4">
        <v>2022</v>
      </c>
      <c r="N121" s="4">
        <v>1</v>
      </c>
      <c r="O121" s="4">
        <v>1</v>
      </c>
    </row>
    <row r="122" spans="1:16">
      <c r="A122" s="4" t="s">
        <v>241</v>
      </c>
      <c r="B122" s="4" t="s">
        <v>263</v>
      </c>
      <c r="C122" s="9" t="s">
        <v>249</v>
      </c>
      <c r="D122" s="13">
        <v>1</v>
      </c>
      <c r="E122" s="13" t="s">
        <v>397</v>
      </c>
      <c r="F122" s="13">
        <v>1</v>
      </c>
      <c r="G122" s="22">
        <v>0</v>
      </c>
      <c r="H122" s="13">
        <v>1</v>
      </c>
      <c r="I122" s="4">
        <v>25</v>
      </c>
      <c r="J122" s="4">
        <v>29</v>
      </c>
      <c r="K122" s="4" t="s">
        <v>124</v>
      </c>
      <c r="L122" s="4" t="s">
        <v>13</v>
      </c>
      <c r="M122" s="4">
        <v>2022</v>
      </c>
      <c r="N122" s="4">
        <v>1</v>
      </c>
      <c r="O122" s="4">
        <v>1</v>
      </c>
    </row>
    <row r="123" spans="1:16">
      <c r="A123" s="4" t="s">
        <v>241</v>
      </c>
      <c r="B123" s="4" t="s">
        <v>264</v>
      </c>
      <c r="C123" s="9" t="s">
        <v>250</v>
      </c>
      <c r="D123" s="13">
        <v>1</v>
      </c>
      <c r="E123" s="13" t="s">
        <v>399</v>
      </c>
      <c r="F123" s="13">
        <v>1</v>
      </c>
      <c r="G123" s="22">
        <v>0</v>
      </c>
      <c r="H123" s="20">
        <v>2</v>
      </c>
      <c r="I123" s="4">
        <v>26</v>
      </c>
      <c r="J123" s="4">
        <v>29</v>
      </c>
      <c r="K123" s="4" t="s">
        <v>124</v>
      </c>
      <c r="L123" s="4" t="s">
        <v>13</v>
      </c>
      <c r="M123" s="4">
        <v>2022</v>
      </c>
      <c r="N123" s="4">
        <v>1</v>
      </c>
      <c r="O123" s="4">
        <v>1</v>
      </c>
    </row>
    <row r="124" spans="1:16">
      <c r="A124" s="4" t="s">
        <v>241</v>
      </c>
      <c r="B124" s="4" t="s">
        <v>265</v>
      </c>
      <c r="C124" s="9" t="s">
        <v>251</v>
      </c>
      <c r="D124" s="13">
        <v>1</v>
      </c>
      <c r="E124" s="13" t="s">
        <v>397</v>
      </c>
      <c r="F124" s="13">
        <v>1</v>
      </c>
      <c r="G124" s="22">
        <v>1</v>
      </c>
      <c r="H124" s="20">
        <v>1</v>
      </c>
      <c r="I124" s="4">
        <v>27</v>
      </c>
      <c r="J124" s="4">
        <v>29</v>
      </c>
      <c r="K124" s="4" t="s">
        <v>124</v>
      </c>
      <c r="L124" s="4" t="s">
        <v>13</v>
      </c>
      <c r="M124" s="4">
        <v>2022</v>
      </c>
      <c r="N124" s="4">
        <v>1</v>
      </c>
      <c r="O124" s="4">
        <v>1</v>
      </c>
    </row>
    <row r="125" spans="1:16">
      <c r="A125" s="4" t="s">
        <v>241</v>
      </c>
      <c r="B125" s="4" t="s">
        <v>266</v>
      </c>
      <c r="C125" s="9" t="s">
        <v>404</v>
      </c>
      <c r="D125" s="13">
        <v>0</v>
      </c>
      <c r="F125" s="13">
        <v>1</v>
      </c>
      <c r="G125" s="22">
        <v>0</v>
      </c>
      <c r="H125" s="13">
        <v>1</v>
      </c>
      <c r="I125" s="4">
        <v>28</v>
      </c>
      <c r="J125" s="4">
        <v>29</v>
      </c>
      <c r="K125" s="4" t="s">
        <v>124</v>
      </c>
      <c r="L125" s="4" t="s">
        <v>13</v>
      </c>
      <c r="M125" s="4">
        <v>2022</v>
      </c>
      <c r="N125" s="4">
        <v>1</v>
      </c>
      <c r="O125" s="4">
        <v>1</v>
      </c>
    </row>
    <row r="126" spans="1:16">
      <c r="A126" s="4" t="s">
        <v>241</v>
      </c>
      <c r="B126" s="4" t="s">
        <v>267</v>
      </c>
      <c r="C126" s="9" t="s">
        <v>252</v>
      </c>
      <c r="D126" s="13">
        <v>0</v>
      </c>
      <c r="F126" s="13">
        <v>1</v>
      </c>
      <c r="G126" s="22">
        <v>0</v>
      </c>
      <c r="H126" s="13">
        <v>1</v>
      </c>
      <c r="I126" s="4">
        <v>29</v>
      </c>
      <c r="J126" s="4">
        <v>29</v>
      </c>
      <c r="K126" s="4" t="s">
        <v>124</v>
      </c>
      <c r="L126" s="4" t="s">
        <v>13</v>
      </c>
      <c r="M126" s="4">
        <v>2022</v>
      </c>
      <c r="N126" s="4">
        <v>1</v>
      </c>
      <c r="O126" s="4">
        <v>1</v>
      </c>
    </row>
    <row r="127" spans="1:16">
      <c r="A127" s="4" t="s">
        <v>275</v>
      </c>
      <c r="B127" s="4" t="s">
        <v>276</v>
      </c>
      <c r="C127" s="9" t="s">
        <v>277</v>
      </c>
      <c r="D127" s="13">
        <v>1</v>
      </c>
      <c r="E127" s="13" t="s">
        <v>399</v>
      </c>
      <c r="F127" s="13">
        <v>1</v>
      </c>
      <c r="G127" s="22">
        <v>0</v>
      </c>
      <c r="H127" s="13">
        <v>1</v>
      </c>
      <c r="I127" s="4">
        <v>6</v>
      </c>
      <c r="J127" s="4">
        <v>38</v>
      </c>
      <c r="K127" s="4" t="s">
        <v>124</v>
      </c>
      <c r="L127" s="4" t="s">
        <v>13</v>
      </c>
      <c r="M127" s="4">
        <v>2023</v>
      </c>
      <c r="N127" s="4">
        <v>1</v>
      </c>
      <c r="O127" s="4">
        <v>1</v>
      </c>
      <c r="P127" s="4"/>
    </row>
    <row r="128" spans="1:16">
      <c r="A128" s="4" t="s">
        <v>275</v>
      </c>
      <c r="B128" s="4" t="s">
        <v>278</v>
      </c>
      <c r="C128" s="14" t="s">
        <v>405</v>
      </c>
      <c r="D128" s="13">
        <v>1</v>
      </c>
      <c r="E128" s="13" t="s">
        <v>397</v>
      </c>
      <c r="F128" s="13">
        <v>1</v>
      </c>
      <c r="G128" s="22">
        <v>0</v>
      </c>
      <c r="H128" s="13">
        <v>1</v>
      </c>
      <c r="I128" s="4">
        <v>12</v>
      </c>
      <c r="J128" s="4">
        <v>38</v>
      </c>
      <c r="K128" s="4" t="s">
        <v>124</v>
      </c>
      <c r="L128" s="4" t="s">
        <v>13</v>
      </c>
      <c r="M128" s="4">
        <v>2023</v>
      </c>
      <c r="N128" s="4">
        <v>1</v>
      </c>
      <c r="O128" s="4">
        <v>1</v>
      </c>
      <c r="P128" s="4"/>
    </row>
    <row r="129" spans="1:16">
      <c r="A129" s="4" t="s">
        <v>275</v>
      </c>
      <c r="B129" s="4" t="s">
        <v>279</v>
      </c>
      <c r="C129" s="9" t="s">
        <v>280</v>
      </c>
      <c r="D129" s="13">
        <v>1</v>
      </c>
      <c r="E129" s="13" t="s">
        <v>397</v>
      </c>
      <c r="F129" s="13">
        <v>1</v>
      </c>
      <c r="G129" s="22">
        <v>0</v>
      </c>
      <c r="H129" s="13">
        <v>1</v>
      </c>
      <c r="I129" s="4">
        <v>14</v>
      </c>
      <c r="J129" s="4">
        <v>38</v>
      </c>
      <c r="K129" s="4" t="s">
        <v>124</v>
      </c>
      <c r="L129" s="4" t="s">
        <v>13</v>
      </c>
      <c r="M129" s="4">
        <v>2023</v>
      </c>
      <c r="N129" s="4">
        <v>1</v>
      </c>
      <c r="O129" s="4">
        <v>1</v>
      </c>
      <c r="P129" s="4"/>
    </row>
    <row r="130" spans="1:16">
      <c r="A130" s="4" t="s">
        <v>275</v>
      </c>
      <c r="B130" s="4" t="s">
        <v>281</v>
      </c>
      <c r="C130" s="9" t="s">
        <v>282</v>
      </c>
      <c r="D130" s="13">
        <v>1</v>
      </c>
      <c r="E130" s="13" t="s">
        <v>397</v>
      </c>
      <c r="F130" s="13">
        <v>1</v>
      </c>
      <c r="G130" s="22">
        <v>0</v>
      </c>
      <c r="H130" s="13">
        <v>1</v>
      </c>
      <c r="I130" s="4">
        <v>15</v>
      </c>
      <c r="J130" s="4">
        <v>38</v>
      </c>
      <c r="K130" s="4" t="s">
        <v>124</v>
      </c>
      <c r="L130" s="4" t="s">
        <v>13</v>
      </c>
      <c r="M130" s="4">
        <v>2023</v>
      </c>
      <c r="N130" s="4">
        <v>1</v>
      </c>
      <c r="O130" s="4">
        <v>1</v>
      </c>
      <c r="P130" s="4"/>
    </row>
    <row r="131" spans="1:16">
      <c r="A131" s="4" t="s">
        <v>275</v>
      </c>
      <c r="B131" s="4" t="s">
        <v>283</v>
      </c>
      <c r="C131" s="9" t="s">
        <v>284</v>
      </c>
      <c r="D131" s="13">
        <v>1</v>
      </c>
      <c r="E131" s="13" t="s">
        <v>397</v>
      </c>
      <c r="F131" s="13">
        <v>1</v>
      </c>
      <c r="G131" s="22">
        <v>0</v>
      </c>
      <c r="H131" s="13">
        <v>1</v>
      </c>
      <c r="I131" s="4">
        <v>19</v>
      </c>
      <c r="J131" s="4">
        <v>38</v>
      </c>
      <c r="K131" s="4" t="s">
        <v>124</v>
      </c>
      <c r="L131" s="4" t="s">
        <v>13</v>
      </c>
      <c r="M131" s="4">
        <v>2023</v>
      </c>
      <c r="N131" s="4">
        <v>1</v>
      </c>
      <c r="O131" s="4">
        <v>1</v>
      </c>
      <c r="P131" s="4"/>
    </row>
    <row r="132" spans="1:16">
      <c r="A132" s="4" t="s">
        <v>275</v>
      </c>
      <c r="B132" s="4" t="s">
        <v>285</v>
      </c>
      <c r="C132" s="14" t="s">
        <v>286</v>
      </c>
      <c r="D132" s="13">
        <v>1</v>
      </c>
      <c r="E132" s="13" t="s">
        <v>397</v>
      </c>
      <c r="F132" s="13">
        <v>1</v>
      </c>
      <c r="G132" s="22">
        <v>0</v>
      </c>
      <c r="H132" s="13">
        <v>1</v>
      </c>
      <c r="I132" s="4">
        <v>23</v>
      </c>
      <c r="J132" s="4">
        <v>38</v>
      </c>
      <c r="K132" s="4" t="s">
        <v>124</v>
      </c>
      <c r="L132" s="4" t="s">
        <v>13</v>
      </c>
      <c r="M132" s="4">
        <v>2023</v>
      </c>
      <c r="N132" s="4">
        <v>1</v>
      </c>
      <c r="O132" s="4">
        <v>1</v>
      </c>
      <c r="P132" s="4"/>
    </row>
    <row r="133" spans="1:16">
      <c r="A133" s="4" t="s">
        <v>275</v>
      </c>
      <c r="B133" s="4" t="s">
        <v>287</v>
      </c>
      <c r="C133" s="14" t="s">
        <v>288</v>
      </c>
      <c r="D133" s="13">
        <v>1</v>
      </c>
      <c r="E133" s="13" t="s">
        <v>395</v>
      </c>
      <c r="F133" s="13">
        <v>1</v>
      </c>
      <c r="G133" s="22">
        <v>0</v>
      </c>
      <c r="H133" s="20">
        <v>2</v>
      </c>
      <c r="I133" s="4">
        <v>26</v>
      </c>
      <c r="J133" s="4">
        <v>38</v>
      </c>
      <c r="K133" s="4" t="s">
        <v>124</v>
      </c>
      <c r="L133" s="4" t="s">
        <v>13</v>
      </c>
      <c r="M133" s="4">
        <v>2023</v>
      </c>
      <c r="N133" s="4">
        <v>1</v>
      </c>
      <c r="O133" s="4">
        <v>1</v>
      </c>
      <c r="P133" s="4"/>
    </row>
    <row r="134" spans="1:16">
      <c r="A134" s="4" t="s">
        <v>275</v>
      </c>
      <c r="B134" s="4" t="s">
        <v>289</v>
      </c>
      <c r="C134" s="14" t="s">
        <v>290</v>
      </c>
      <c r="D134" s="13">
        <v>1</v>
      </c>
      <c r="E134" s="13" t="s">
        <v>395</v>
      </c>
      <c r="F134" s="13">
        <v>1</v>
      </c>
      <c r="G134" s="22">
        <v>0</v>
      </c>
      <c r="H134" s="20">
        <v>2</v>
      </c>
      <c r="I134" s="4">
        <v>27</v>
      </c>
      <c r="J134" s="4">
        <v>38</v>
      </c>
      <c r="K134" s="4" t="s">
        <v>124</v>
      </c>
      <c r="L134" s="4" t="s">
        <v>13</v>
      </c>
      <c r="M134" s="4">
        <v>2023</v>
      </c>
      <c r="N134" s="4">
        <v>1</v>
      </c>
      <c r="O134" s="4">
        <v>1</v>
      </c>
      <c r="P134" s="4"/>
    </row>
    <row r="135" spans="1:16">
      <c r="A135" s="4" t="s">
        <v>275</v>
      </c>
      <c r="B135" s="4" t="s">
        <v>291</v>
      </c>
      <c r="C135" s="14" t="s">
        <v>292</v>
      </c>
      <c r="D135" s="13">
        <v>1</v>
      </c>
      <c r="E135" s="13" t="s">
        <v>397</v>
      </c>
      <c r="F135" s="13">
        <v>1</v>
      </c>
      <c r="G135" s="22">
        <v>0</v>
      </c>
      <c r="H135" s="13">
        <v>1</v>
      </c>
      <c r="I135" s="4">
        <v>28</v>
      </c>
      <c r="J135" s="4">
        <v>38</v>
      </c>
      <c r="K135" s="4" t="s">
        <v>124</v>
      </c>
      <c r="L135" s="4" t="s">
        <v>13</v>
      </c>
      <c r="M135" s="4">
        <v>2023</v>
      </c>
      <c r="N135" s="4">
        <v>1</v>
      </c>
      <c r="O135" s="4">
        <v>1</v>
      </c>
      <c r="P135" s="4"/>
    </row>
    <row r="136" spans="1:16">
      <c r="A136" s="4" t="s">
        <v>275</v>
      </c>
      <c r="B136" s="4" t="s">
        <v>293</v>
      </c>
      <c r="C136" s="14" t="s">
        <v>294</v>
      </c>
      <c r="D136" s="13">
        <v>1</v>
      </c>
      <c r="E136" s="13" t="s">
        <v>399</v>
      </c>
      <c r="F136" s="13">
        <v>1</v>
      </c>
      <c r="G136" s="22">
        <v>1</v>
      </c>
      <c r="H136" s="20">
        <v>1</v>
      </c>
      <c r="I136" s="4">
        <v>29</v>
      </c>
      <c r="J136" s="4">
        <v>38</v>
      </c>
      <c r="K136" s="4" t="s">
        <v>124</v>
      </c>
      <c r="L136" s="4" t="s">
        <v>13</v>
      </c>
      <c r="M136" s="4">
        <v>2023</v>
      </c>
      <c r="N136" s="4">
        <v>1</v>
      </c>
      <c r="O136" s="4">
        <v>1</v>
      </c>
      <c r="P136" s="4"/>
    </row>
    <row r="137" spans="1:16">
      <c r="A137" s="4" t="s">
        <v>275</v>
      </c>
      <c r="B137" s="4" t="s">
        <v>295</v>
      </c>
      <c r="C137" s="14" t="s">
        <v>296</v>
      </c>
      <c r="D137" s="13">
        <v>1</v>
      </c>
      <c r="E137" s="13" t="s">
        <v>397</v>
      </c>
      <c r="F137" s="13">
        <v>1</v>
      </c>
      <c r="G137" s="22">
        <v>1</v>
      </c>
      <c r="H137" s="20">
        <v>1</v>
      </c>
      <c r="I137" s="4">
        <v>30</v>
      </c>
      <c r="J137" s="4">
        <v>38</v>
      </c>
      <c r="K137" s="4" t="s">
        <v>124</v>
      </c>
      <c r="L137" s="4" t="s">
        <v>13</v>
      </c>
      <c r="M137" s="4">
        <v>2023</v>
      </c>
      <c r="N137" s="4">
        <v>1</v>
      </c>
      <c r="O137" s="4">
        <v>1</v>
      </c>
      <c r="P137" s="4"/>
    </row>
    <row r="138" spans="1:16">
      <c r="A138" s="4" t="s">
        <v>275</v>
      </c>
      <c r="B138" s="4" t="s">
        <v>297</v>
      </c>
      <c r="C138" s="14" t="s">
        <v>298</v>
      </c>
      <c r="D138" s="13">
        <v>1</v>
      </c>
      <c r="E138" s="13" t="s">
        <v>397</v>
      </c>
      <c r="F138" s="13">
        <v>1</v>
      </c>
      <c r="G138" s="22">
        <v>0</v>
      </c>
      <c r="H138" s="13">
        <v>1</v>
      </c>
      <c r="I138" s="4">
        <v>31</v>
      </c>
      <c r="J138" s="4">
        <v>38</v>
      </c>
      <c r="K138" s="4" t="s">
        <v>124</v>
      </c>
      <c r="L138" s="4" t="s">
        <v>13</v>
      </c>
      <c r="M138" s="4">
        <v>2023</v>
      </c>
      <c r="N138" s="4">
        <v>1</v>
      </c>
      <c r="O138" s="4">
        <v>1</v>
      </c>
      <c r="P138" s="4"/>
    </row>
    <row r="139" spans="1:16">
      <c r="A139" s="4" t="s">
        <v>275</v>
      </c>
      <c r="B139" s="4" t="s">
        <v>299</v>
      </c>
      <c r="C139" s="14" t="s">
        <v>300</v>
      </c>
      <c r="D139" s="13">
        <v>1</v>
      </c>
      <c r="E139" s="13" t="s">
        <v>399</v>
      </c>
      <c r="F139" s="13">
        <v>1</v>
      </c>
      <c r="G139" s="22">
        <v>0</v>
      </c>
      <c r="H139" s="13">
        <v>1</v>
      </c>
      <c r="I139" s="4">
        <v>32</v>
      </c>
      <c r="J139" s="4">
        <v>38</v>
      </c>
      <c r="K139" s="4" t="s">
        <v>124</v>
      </c>
      <c r="L139" s="4" t="s">
        <v>13</v>
      </c>
      <c r="M139" s="4">
        <v>2023</v>
      </c>
      <c r="N139" s="4">
        <v>1</v>
      </c>
      <c r="O139" s="4">
        <v>1</v>
      </c>
      <c r="P139" s="4"/>
    </row>
    <row r="140" spans="1:16">
      <c r="A140" s="4" t="s">
        <v>275</v>
      </c>
      <c r="B140" s="4" t="s">
        <v>301</v>
      </c>
      <c r="C140" s="9" t="s">
        <v>302</v>
      </c>
      <c r="D140" s="13">
        <v>1</v>
      </c>
      <c r="E140" s="13" t="s">
        <v>399</v>
      </c>
      <c r="F140" s="13">
        <v>1</v>
      </c>
      <c r="G140" s="22">
        <v>0</v>
      </c>
      <c r="H140" s="13">
        <v>1</v>
      </c>
      <c r="I140" s="4">
        <v>33</v>
      </c>
      <c r="J140" s="4">
        <v>38</v>
      </c>
      <c r="K140" s="4" t="s">
        <v>124</v>
      </c>
      <c r="L140" s="4" t="s">
        <v>13</v>
      </c>
      <c r="M140" s="4">
        <v>2023</v>
      </c>
      <c r="N140" s="4">
        <v>1</v>
      </c>
      <c r="O140" s="4">
        <v>1</v>
      </c>
      <c r="P140" s="4"/>
    </row>
    <row r="141" spans="1:16">
      <c r="A141" s="4" t="s">
        <v>275</v>
      </c>
      <c r="B141" s="4" t="s">
        <v>303</v>
      </c>
      <c r="C141" s="14" t="s">
        <v>304</v>
      </c>
      <c r="D141" s="13">
        <v>1</v>
      </c>
      <c r="E141" s="13" t="s">
        <v>399</v>
      </c>
      <c r="F141" s="13">
        <v>1</v>
      </c>
      <c r="G141" s="22">
        <v>0</v>
      </c>
      <c r="H141" s="20">
        <v>2</v>
      </c>
      <c r="I141" s="4">
        <v>34</v>
      </c>
      <c r="J141" s="4">
        <v>38</v>
      </c>
      <c r="K141" s="4" t="s">
        <v>124</v>
      </c>
      <c r="L141" s="4" t="s">
        <v>13</v>
      </c>
      <c r="M141" s="4">
        <v>2023</v>
      </c>
      <c r="N141" s="4">
        <v>1</v>
      </c>
      <c r="O141" s="4">
        <v>1</v>
      </c>
      <c r="P141" s="4"/>
    </row>
    <row r="142" spans="1:16">
      <c r="A142" s="4" t="s">
        <v>275</v>
      </c>
      <c r="B142" s="4" t="s">
        <v>305</v>
      </c>
      <c r="C142" s="14" t="s">
        <v>306</v>
      </c>
      <c r="D142" s="13">
        <v>1</v>
      </c>
      <c r="E142" s="13" t="s">
        <v>397</v>
      </c>
      <c r="F142" s="13">
        <v>1</v>
      </c>
      <c r="G142" s="22">
        <v>1</v>
      </c>
      <c r="H142" s="20">
        <v>1</v>
      </c>
      <c r="I142" s="4">
        <v>35</v>
      </c>
      <c r="J142" s="4">
        <v>38</v>
      </c>
      <c r="K142" s="4" t="s">
        <v>124</v>
      </c>
      <c r="L142" s="4" t="s">
        <v>13</v>
      </c>
      <c r="M142" s="4">
        <v>2023</v>
      </c>
      <c r="N142" s="4">
        <v>1</v>
      </c>
      <c r="O142" s="4">
        <v>1</v>
      </c>
      <c r="P142" s="4"/>
    </row>
    <row r="143" spans="1:16">
      <c r="A143" s="4" t="s">
        <v>275</v>
      </c>
      <c r="B143" s="4" t="s">
        <v>307</v>
      </c>
      <c r="C143" s="14" t="s">
        <v>308</v>
      </c>
      <c r="D143" s="13">
        <v>0</v>
      </c>
      <c r="F143" s="13">
        <v>1</v>
      </c>
      <c r="G143" s="22">
        <v>0</v>
      </c>
      <c r="H143" s="13">
        <v>1</v>
      </c>
      <c r="I143" s="4">
        <v>36</v>
      </c>
      <c r="J143" s="4">
        <v>38</v>
      </c>
      <c r="K143" s="4" t="s">
        <v>124</v>
      </c>
      <c r="L143" s="4" t="s">
        <v>13</v>
      </c>
      <c r="M143" s="4">
        <v>2023</v>
      </c>
      <c r="N143" s="4">
        <v>1</v>
      </c>
      <c r="O143" s="4">
        <v>1</v>
      </c>
      <c r="P143" s="4"/>
    </row>
    <row r="144" spans="1:16">
      <c r="A144" s="4" t="s">
        <v>275</v>
      </c>
      <c r="B144" s="4" t="s">
        <v>309</v>
      </c>
      <c r="C144" s="14" t="s">
        <v>310</v>
      </c>
      <c r="D144" s="13">
        <v>0</v>
      </c>
      <c r="F144" s="13">
        <v>1</v>
      </c>
      <c r="G144" s="22">
        <v>0</v>
      </c>
      <c r="H144" s="13">
        <v>1</v>
      </c>
      <c r="I144" s="4">
        <v>37</v>
      </c>
      <c r="J144" s="4">
        <v>38</v>
      </c>
      <c r="K144" s="4" t="s">
        <v>124</v>
      </c>
      <c r="L144" s="4" t="s">
        <v>13</v>
      </c>
      <c r="M144" s="4">
        <v>2023</v>
      </c>
      <c r="N144" s="4">
        <v>1</v>
      </c>
      <c r="O144" s="4">
        <v>1</v>
      </c>
      <c r="P144" s="4"/>
    </row>
    <row r="145" spans="1:16">
      <c r="A145" s="4" t="s">
        <v>275</v>
      </c>
      <c r="B145" s="4" t="s">
        <v>311</v>
      </c>
      <c r="C145" s="14" t="s">
        <v>312</v>
      </c>
      <c r="D145" s="13">
        <v>0</v>
      </c>
      <c r="F145" s="13">
        <v>1</v>
      </c>
      <c r="G145" s="22">
        <v>0</v>
      </c>
      <c r="H145" s="13">
        <v>1</v>
      </c>
      <c r="I145" s="4">
        <v>38</v>
      </c>
      <c r="J145" s="4">
        <v>38</v>
      </c>
      <c r="K145" s="4" t="s">
        <v>124</v>
      </c>
      <c r="L145" s="4" t="s">
        <v>13</v>
      </c>
      <c r="M145" s="4">
        <v>2023</v>
      </c>
      <c r="N145" s="4">
        <v>1</v>
      </c>
      <c r="O145" s="4">
        <v>1</v>
      </c>
      <c r="P145" s="4"/>
    </row>
    <row r="146" spans="1:16">
      <c r="A146" s="4" t="s">
        <v>313</v>
      </c>
      <c r="B146" s="4" t="s">
        <v>314</v>
      </c>
      <c r="C146" s="14" t="s">
        <v>315</v>
      </c>
      <c r="D146" s="13">
        <v>1</v>
      </c>
      <c r="E146" s="13" t="s">
        <v>399</v>
      </c>
      <c r="F146" s="13">
        <v>1</v>
      </c>
      <c r="G146" s="22">
        <v>0</v>
      </c>
      <c r="H146" s="13">
        <v>1</v>
      </c>
      <c r="I146" s="4">
        <v>3</v>
      </c>
      <c r="J146" s="4">
        <v>41</v>
      </c>
      <c r="K146" s="4" t="s">
        <v>124</v>
      </c>
      <c r="L146" s="4" t="s">
        <v>13</v>
      </c>
      <c r="M146" s="4">
        <v>2024</v>
      </c>
      <c r="N146" s="4">
        <v>1</v>
      </c>
      <c r="O146" s="4">
        <v>1</v>
      </c>
      <c r="P146" s="4"/>
    </row>
    <row r="147" spans="1:16">
      <c r="A147" s="4" t="s">
        <v>313</v>
      </c>
      <c r="B147" s="4" t="s">
        <v>316</v>
      </c>
      <c r="C147" s="14" t="s">
        <v>317</v>
      </c>
      <c r="D147" s="13">
        <v>1</v>
      </c>
      <c r="E147" s="13" t="s">
        <v>399</v>
      </c>
      <c r="F147" s="13">
        <v>1</v>
      </c>
      <c r="G147" s="22">
        <v>0</v>
      </c>
      <c r="H147" s="13">
        <v>1</v>
      </c>
      <c r="I147" s="4">
        <v>4</v>
      </c>
      <c r="J147" s="4">
        <v>41</v>
      </c>
      <c r="K147" s="4" t="s">
        <v>124</v>
      </c>
      <c r="L147" s="4" t="s">
        <v>13</v>
      </c>
      <c r="M147" s="4">
        <v>2024</v>
      </c>
      <c r="N147" s="4">
        <v>1</v>
      </c>
      <c r="O147" s="4">
        <v>1</v>
      </c>
      <c r="P147" s="4"/>
    </row>
    <row r="148" spans="1:16">
      <c r="A148" s="4" t="s">
        <v>313</v>
      </c>
      <c r="B148" s="4" t="s">
        <v>318</v>
      </c>
      <c r="C148" s="14" t="s">
        <v>319</v>
      </c>
      <c r="D148" s="13">
        <v>1</v>
      </c>
      <c r="E148" s="13" t="s">
        <v>399</v>
      </c>
      <c r="F148" s="13">
        <v>1</v>
      </c>
      <c r="G148" s="22">
        <v>0</v>
      </c>
      <c r="H148" s="20">
        <v>2</v>
      </c>
      <c r="I148" s="4">
        <v>8</v>
      </c>
      <c r="J148" s="4">
        <v>41</v>
      </c>
      <c r="K148" s="4" t="s">
        <v>124</v>
      </c>
      <c r="L148" s="4" t="s">
        <v>13</v>
      </c>
      <c r="M148" s="4">
        <v>2024</v>
      </c>
      <c r="N148" s="4">
        <v>1</v>
      </c>
      <c r="O148" s="4">
        <v>1</v>
      </c>
      <c r="P148" s="4"/>
    </row>
    <row r="149" spans="1:16">
      <c r="A149" s="4" t="s">
        <v>313</v>
      </c>
      <c r="B149" s="4" t="s">
        <v>320</v>
      </c>
      <c r="C149" s="14" t="s">
        <v>321</v>
      </c>
      <c r="D149" s="13">
        <v>1</v>
      </c>
      <c r="E149" s="13" t="s">
        <v>395</v>
      </c>
      <c r="F149" s="13">
        <v>1</v>
      </c>
      <c r="G149" s="22">
        <v>1</v>
      </c>
      <c r="H149" s="13">
        <v>2</v>
      </c>
      <c r="I149" s="4">
        <v>11</v>
      </c>
      <c r="J149" s="4">
        <v>41</v>
      </c>
      <c r="K149" s="4" t="s">
        <v>124</v>
      </c>
      <c r="L149" s="4" t="s">
        <v>13</v>
      </c>
      <c r="M149" s="4">
        <v>2024</v>
      </c>
      <c r="N149" s="4">
        <v>1</v>
      </c>
      <c r="O149" s="4">
        <v>1</v>
      </c>
      <c r="P149" s="4"/>
    </row>
    <row r="150" spans="1:16">
      <c r="A150" s="4" t="s">
        <v>313</v>
      </c>
      <c r="B150" s="4" t="s">
        <v>322</v>
      </c>
      <c r="C150" s="9" t="s">
        <v>323</v>
      </c>
      <c r="D150" s="13">
        <v>1</v>
      </c>
      <c r="E150" s="13" t="s">
        <v>399</v>
      </c>
      <c r="F150" s="13">
        <v>1</v>
      </c>
      <c r="G150" s="22">
        <v>0</v>
      </c>
      <c r="H150" s="13">
        <v>1</v>
      </c>
      <c r="I150" s="4">
        <v>12</v>
      </c>
      <c r="J150" s="4">
        <v>41</v>
      </c>
      <c r="K150" s="4" t="s">
        <v>124</v>
      </c>
      <c r="L150" s="4" t="s">
        <v>13</v>
      </c>
      <c r="M150" s="4">
        <v>2024</v>
      </c>
      <c r="N150" s="4">
        <v>1</v>
      </c>
      <c r="O150" s="4">
        <v>1</v>
      </c>
      <c r="P150" s="4"/>
    </row>
    <row r="151" spans="1:16">
      <c r="A151" s="4" t="s">
        <v>313</v>
      </c>
      <c r="B151" s="4" t="s">
        <v>324</v>
      </c>
      <c r="C151" s="14" t="s">
        <v>325</v>
      </c>
      <c r="D151" s="13">
        <v>1</v>
      </c>
      <c r="E151" s="13" t="s">
        <v>399</v>
      </c>
      <c r="F151" s="13">
        <v>1</v>
      </c>
      <c r="G151" s="22">
        <v>0</v>
      </c>
      <c r="H151" s="20">
        <v>2</v>
      </c>
      <c r="I151" s="4">
        <v>14</v>
      </c>
      <c r="J151" s="4">
        <v>41</v>
      </c>
      <c r="K151" s="4" t="s">
        <v>124</v>
      </c>
      <c r="L151" s="4" t="s">
        <v>13</v>
      </c>
      <c r="M151" s="4">
        <v>2024</v>
      </c>
      <c r="N151" s="4">
        <v>1</v>
      </c>
      <c r="O151" s="4">
        <v>1</v>
      </c>
      <c r="P151" s="4"/>
    </row>
    <row r="152" spans="1:16">
      <c r="A152" s="4" t="s">
        <v>313</v>
      </c>
      <c r="B152" s="4" t="s">
        <v>326</v>
      </c>
      <c r="C152" s="14" t="s">
        <v>327</v>
      </c>
      <c r="D152" s="13">
        <v>1</v>
      </c>
      <c r="E152" s="13" t="s">
        <v>397</v>
      </c>
      <c r="F152" s="13">
        <v>1</v>
      </c>
      <c r="G152" s="22">
        <v>0</v>
      </c>
      <c r="H152" s="13">
        <v>1</v>
      </c>
      <c r="I152" s="4">
        <v>15</v>
      </c>
      <c r="J152" s="4">
        <v>41</v>
      </c>
      <c r="K152" s="4" t="s">
        <v>124</v>
      </c>
      <c r="L152" s="4" t="s">
        <v>13</v>
      </c>
      <c r="M152" s="4">
        <v>2024</v>
      </c>
      <c r="N152" s="4">
        <v>1</v>
      </c>
      <c r="O152" s="4">
        <v>1</v>
      </c>
      <c r="P152" s="4"/>
    </row>
    <row r="153" spans="1:16">
      <c r="A153" s="4" t="s">
        <v>313</v>
      </c>
      <c r="B153" s="4" t="s">
        <v>328</v>
      </c>
      <c r="C153" s="14" t="s">
        <v>330</v>
      </c>
      <c r="D153" s="13">
        <v>1</v>
      </c>
      <c r="E153" s="13" t="s">
        <v>397</v>
      </c>
      <c r="F153" s="13">
        <v>1</v>
      </c>
      <c r="G153" s="22">
        <v>0</v>
      </c>
      <c r="H153" s="13">
        <v>1</v>
      </c>
      <c r="I153" s="4">
        <v>17</v>
      </c>
      <c r="J153" s="4">
        <v>41</v>
      </c>
      <c r="K153" s="4" t="s">
        <v>124</v>
      </c>
      <c r="L153" s="4" t="s">
        <v>13</v>
      </c>
      <c r="M153" s="4">
        <v>2024</v>
      </c>
      <c r="N153" s="4">
        <v>1</v>
      </c>
      <c r="O153" s="4">
        <v>1</v>
      </c>
      <c r="P153" s="4"/>
    </row>
    <row r="154" spans="1:16">
      <c r="A154" s="4" t="s">
        <v>313</v>
      </c>
      <c r="B154" s="4" t="s">
        <v>329</v>
      </c>
      <c r="C154" s="14" t="s">
        <v>331</v>
      </c>
      <c r="D154" s="13">
        <v>1</v>
      </c>
      <c r="E154" s="13" t="s">
        <v>397</v>
      </c>
      <c r="F154" s="13">
        <v>1</v>
      </c>
      <c r="G154" s="22">
        <v>0</v>
      </c>
      <c r="H154" s="13">
        <v>1</v>
      </c>
      <c r="I154" s="4">
        <v>18</v>
      </c>
      <c r="J154" s="4">
        <v>41</v>
      </c>
      <c r="K154" s="4" t="s">
        <v>124</v>
      </c>
      <c r="L154" s="4" t="s">
        <v>13</v>
      </c>
      <c r="M154" s="4">
        <v>2024</v>
      </c>
      <c r="N154" s="4">
        <v>1</v>
      </c>
      <c r="O154" s="4">
        <v>1</v>
      </c>
      <c r="P154" s="4"/>
    </row>
    <row r="155" spans="1:16">
      <c r="A155" s="4" t="s">
        <v>313</v>
      </c>
      <c r="B155" s="4" t="s">
        <v>332</v>
      </c>
      <c r="C155" s="14" t="s">
        <v>333</v>
      </c>
      <c r="D155" s="13">
        <v>0</v>
      </c>
      <c r="F155" s="13">
        <v>1</v>
      </c>
      <c r="G155" s="22">
        <v>0</v>
      </c>
      <c r="H155" s="13">
        <v>1</v>
      </c>
      <c r="I155" s="4">
        <v>21</v>
      </c>
      <c r="J155" s="4">
        <v>41</v>
      </c>
      <c r="K155" s="4" t="s">
        <v>124</v>
      </c>
      <c r="L155" s="4" t="s">
        <v>13</v>
      </c>
      <c r="M155" s="4">
        <v>2024</v>
      </c>
      <c r="N155" s="4">
        <v>1</v>
      </c>
      <c r="O155" s="4">
        <v>1</v>
      </c>
      <c r="P155" s="4"/>
    </row>
    <row r="156" spans="1:16">
      <c r="A156" s="4" t="s">
        <v>313</v>
      </c>
      <c r="B156" s="4" t="s">
        <v>334</v>
      </c>
      <c r="C156" s="14" t="s">
        <v>335</v>
      </c>
      <c r="D156" s="13">
        <v>1</v>
      </c>
      <c r="E156" s="13" t="s">
        <v>399</v>
      </c>
      <c r="F156" s="13">
        <v>1</v>
      </c>
      <c r="G156" s="22">
        <v>0</v>
      </c>
      <c r="H156" s="20">
        <v>2</v>
      </c>
      <c r="I156" s="4">
        <v>29</v>
      </c>
      <c r="J156" s="4">
        <v>41</v>
      </c>
      <c r="K156" s="4" t="s">
        <v>124</v>
      </c>
      <c r="L156" s="4" t="s">
        <v>13</v>
      </c>
      <c r="M156" s="4">
        <v>2024</v>
      </c>
      <c r="N156" s="4">
        <v>1</v>
      </c>
      <c r="O156" s="4">
        <v>1</v>
      </c>
      <c r="P156" s="4"/>
    </row>
    <row r="157" spans="1:16">
      <c r="A157" s="4" t="s">
        <v>313</v>
      </c>
      <c r="B157" s="4" t="s">
        <v>336</v>
      </c>
      <c r="C157" s="14" t="s">
        <v>298</v>
      </c>
      <c r="D157" s="13">
        <v>1</v>
      </c>
      <c r="E157" s="13" t="s">
        <v>397</v>
      </c>
      <c r="F157" s="13">
        <v>1</v>
      </c>
      <c r="G157" s="22">
        <v>0</v>
      </c>
      <c r="H157" s="13">
        <v>1</v>
      </c>
      <c r="I157" s="4">
        <v>31</v>
      </c>
      <c r="J157" s="4">
        <v>41</v>
      </c>
      <c r="K157" s="4" t="s">
        <v>124</v>
      </c>
      <c r="L157" s="4" t="s">
        <v>13</v>
      </c>
      <c r="M157" s="4">
        <v>2024</v>
      </c>
      <c r="N157" s="4">
        <v>1</v>
      </c>
      <c r="O157" s="4">
        <v>1</v>
      </c>
      <c r="P157" s="4"/>
    </row>
    <row r="158" spans="1:16">
      <c r="A158" s="4" t="s">
        <v>313</v>
      </c>
      <c r="B158" s="4" t="s">
        <v>337</v>
      </c>
      <c r="C158" s="14" t="s">
        <v>339</v>
      </c>
      <c r="D158" s="13">
        <v>1</v>
      </c>
      <c r="E158" s="13" t="s">
        <v>399</v>
      </c>
      <c r="F158" s="13">
        <v>1</v>
      </c>
      <c r="G158" s="22">
        <v>0</v>
      </c>
      <c r="H158" s="13">
        <v>1</v>
      </c>
      <c r="I158" s="4">
        <v>32</v>
      </c>
      <c r="J158" s="4">
        <v>41</v>
      </c>
      <c r="K158" s="4" t="s">
        <v>124</v>
      </c>
      <c r="L158" s="4" t="s">
        <v>13</v>
      </c>
      <c r="M158" s="4">
        <v>2024</v>
      </c>
      <c r="N158" s="4">
        <v>1</v>
      </c>
      <c r="O158" s="4">
        <v>1</v>
      </c>
      <c r="P158" s="4"/>
    </row>
    <row r="159" spans="1:16">
      <c r="A159" s="4" t="s">
        <v>313</v>
      </c>
      <c r="B159" s="4" t="s">
        <v>338</v>
      </c>
      <c r="C159" s="14" t="s">
        <v>340</v>
      </c>
      <c r="D159" s="13">
        <v>1</v>
      </c>
      <c r="E159" s="13" t="s">
        <v>399</v>
      </c>
      <c r="F159" s="13">
        <v>1</v>
      </c>
      <c r="G159" s="22">
        <v>0</v>
      </c>
      <c r="H159" s="20">
        <v>2</v>
      </c>
      <c r="I159" s="4">
        <v>33</v>
      </c>
      <c r="J159" s="4">
        <v>41</v>
      </c>
      <c r="K159" s="4" t="s">
        <v>124</v>
      </c>
      <c r="L159" s="4" t="s">
        <v>13</v>
      </c>
      <c r="M159" s="4">
        <v>2024</v>
      </c>
      <c r="N159" s="4">
        <v>1</v>
      </c>
      <c r="O159" s="4">
        <v>1</v>
      </c>
      <c r="P159" s="4"/>
    </row>
    <row r="160" spans="1:16">
      <c r="A160" s="4" t="s">
        <v>313</v>
      </c>
      <c r="B160" s="4" t="s">
        <v>406</v>
      </c>
      <c r="C160" s="14" t="s">
        <v>304</v>
      </c>
      <c r="D160" s="13">
        <v>1</v>
      </c>
      <c r="E160" s="13" t="s">
        <v>399</v>
      </c>
      <c r="F160" s="13">
        <v>1</v>
      </c>
      <c r="G160" s="22">
        <v>0</v>
      </c>
      <c r="H160" s="20">
        <v>2</v>
      </c>
      <c r="I160" s="4">
        <v>34</v>
      </c>
      <c r="J160" s="4">
        <v>41</v>
      </c>
      <c r="K160" s="4" t="s">
        <v>124</v>
      </c>
      <c r="L160" s="4" t="s">
        <v>13</v>
      </c>
      <c r="M160" s="4">
        <v>2024</v>
      </c>
      <c r="N160" s="4">
        <v>1</v>
      </c>
      <c r="O160" s="4">
        <v>1</v>
      </c>
      <c r="P160" s="4"/>
    </row>
    <row r="161" spans="1:16">
      <c r="A161" s="4" t="s">
        <v>313</v>
      </c>
      <c r="B161" s="4" t="s">
        <v>341</v>
      </c>
      <c r="C161" s="14" t="s">
        <v>306</v>
      </c>
      <c r="D161" s="13">
        <v>1</v>
      </c>
      <c r="E161" s="13" t="s">
        <v>397</v>
      </c>
      <c r="F161" s="13">
        <v>1</v>
      </c>
      <c r="G161" s="22">
        <v>1</v>
      </c>
      <c r="H161" s="13">
        <v>1</v>
      </c>
      <c r="I161" s="4">
        <v>38</v>
      </c>
      <c r="J161" s="4">
        <v>41</v>
      </c>
      <c r="K161" s="4" t="s">
        <v>124</v>
      </c>
      <c r="L161" s="4" t="s">
        <v>13</v>
      </c>
      <c r="M161" s="4">
        <v>2024</v>
      </c>
      <c r="N161" s="4">
        <v>1</v>
      </c>
      <c r="O161" s="4">
        <v>1</v>
      </c>
      <c r="P161" s="4"/>
    </row>
    <row r="162" spans="1:16">
      <c r="A162" s="4" t="s">
        <v>313</v>
      </c>
      <c r="B162" s="4" t="s">
        <v>342</v>
      </c>
      <c r="C162" s="14" t="s">
        <v>344</v>
      </c>
      <c r="D162" s="13">
        <v>0</v>
      </c>
      <c r="F162" s="13">
        <v>1</v>
      </c>
      <c r="G162" s="22">
        <v>0</v>
      </c>
      <c r="H162" s="13">
        <v>1</v>
      </c>
      <c r="I162" s="4">
        <v>39</v>
      </c>
      <c r="J162" s="4">
        <v>41</v>
      </c>
      <c r="K162" s="4" t="s">
        <v>124</v>
      </c>
      <c r="L162" s="4" t="s">
        <v>13</v>
      </c>
      <c r="M162" s="4">
        <v>2024</v>
      </c>
      <c r="N162" s="4">
        <v>1</v>
      </c>
      <c r="O162" s="4">
        <v>1</v>
      </c>
      <c r="P162" s="4"/>
    </row>
    <row r="163" spans="1:16">
      <c r="A163" s="4" t="s">
        <v>313</v>
      </c>
      <c r="B163" s="4" t="s">
        <v>343</v>
      </c>
      <c r="C163" s="14" t="s">
        <v>310</v>
      </c>
      <c r="D163" s="13">
        <v>0</v>
      </c>
      <c r="F163" s="13">
        <v>1</v>
      </c>
      <c r="G163" s="22">
        <v>0</v>
      </c>
      <c r="H163" s="13">
        <v>1</v>
      </c>
      <c r="I163" s="4">
        <v>40</v>
      </c>
      <c r="J163" s="4">
        <v>41</v>
      </c>
      <c r="K163" s="4" t="s">
        <v>124</v>
      </c>
      <c r="L163" s="4" t="s">
        <v>13</v>
      </c>
      <c r="M163" s="4">
        <v>2024</v>
      </c>
      <c r="N163" s="4">
        <v>1</v>
      </c>
      <c r="O163" s="4">
        <v>1</v>
      </c>
      <c r="P163" s="4"/>
    </row>
    <row r="164" spans="1:16">
      <c r="A164" s="4" t="s">
        <v>313</v>
      </c>
      <c r="B164" s="4" t="s">
        <v>345</v>
      </c>
      <c r="C164" s="14" t="s">
        <v>346</v>
      </c>
      <c r="D164" s="13">
        <v>0</v>
      </c>
      <c r="F164" s="13">
        <v>1</v>
      </c>
      <c r="G164" s="22">
        <v>0</v>
      </c>
      <c r="H164" s="13">
        <v>1</v>
      </c>
      <c r="I164" s="4">
        <v>41</v>
      </c>
      <c r="J164" s="4">
        <v>41</v>
      </c>
      <c r="K164" s="4" t="s">
        <v>124</v>
      </c>
      <c r="L164" s="4" t="s">
        <v>13</v>
      </c>
      <c r="M164" s="4">
        <v>2024</v>
      </c>
      <c r="N164" s="4">
        <v>1</v>
      </c>
      <c r="O164" s="4">
        <v>1</v>
      </c>
      <c r="P164" s="4"/>
    </row>
    <row r="165" spans="1:16">
      <c r="A165" s="4" t="s">
        <v>347</v>
      </c>
      <c r="B165" s="4" t="s">
        <v>348</v>
      </c>
      <c r="C165" s="9" t="s">
        <v>349</v>
      </c>
      <c r="D165" s="13">
        <v>0</v>
      </c>
      <c r="F165" s="13">
        <v>1</v>
      </c>
      <c r="G165" s="22">
        <v>0</v>
      </c>
      <c r="H165" s="13">
        <v>1</v>
      </c>
      <c r="I165" s="4">
        <v>1</v>
      </c>
      <c r="J165" s="4">
        <v>46</v>
      </c>
      <c r="K165" s="4" t="s">
        <v>124</v>
      </c>
      <c r="L165" s="4" t="s">
        <v>13</v>
      </c>
      <c r="M165" s="4">
        <v>2025</v>
      </c>
      <c r="N165" s="4">
        <v>1</v>
      </c>
      <c r="O165" s="4">
        <v>1</v>
      </c>
      <c r="P165" s="4"/>
    </row>
    <row r="166" spans="1:16">
      <c r="A166" s="4" t="s">
        <v>347</v>
      </c>
      <c r="B166" s="4" t="s">
        <v>350</v>
      </c>
      <c r="C166" s="14" t="s">
        <v>351</v>
      </c>
      <c r="D166" s="13">
        <v>0</v>
      </c>
      <c r="F166" s="13">
        <v>1</v>
      </c>
      <c r="G166" s="22">
        <v>0</v>
      </c>
      <c r="H166" s="13">
        <v>1</v>
      </c>
      <c r="I166" s="4">
        <v>2</v>
      </c>
      <c r="J166" s="4">
        <v>46</v>
      </c>
      <c r="K166" s="4" t="s">
        <v>124</v>
      </c>
      <c r="L166" s="4" t="s">
        <v>13</v>
      </c>
      <c r="M166" s="4">
        <v>2025</v>
      </c>
      <c r="N166" s="4">
        <v>1</v>
      </c>
      <c r="O166" s="4">
        <v>1</v>
      </c>
      <c r="P166" s="4"/>
    </row>
    <row r="167" spans="1:16">
      <c r="A167" s="4" t="s">
        <v>347</v>
      </c>
      <c r="B167" s="4" t="s">
        <v>352</v>
      </c>
      <c r="C167" s="14" t="s">
        <v>353</v>
      </c>
      <c r="D167" s="13">
        <v>0</v>
      </c>
      <c r="F167" s="13">
        <v>1</v>
      </c>
      <c r="G167" s="22">
        <v>0</v>
      </c>
      <c r="H167" s="13">
        <v>1</v>
      </c>
      <c r="I167" s="4">
        <v>3</v>
      </c>
      <c r="J167" s="4">
        <v>46</v>
      </c>
      <c r="K167" s="4" t="s">
        <v>124</v>
      </c>
      <c r="L167" s="4" t="s">
        <v>13</v>
      </c>
      <c r="M167" s="4">
        <v>2025</v>
      </c>
      <c r="N167" s="4">
        <v>1</v>
      </c>
      <c r="O167" s="4">
        <v>1</v>
      </c>
      <c r="P167" s="4"/>
    </row>
    <row r="168" spans="1:16">
      <c r="A168" s="4" t="s">
        <v>347</v>
      </c>
      <c r="B168" s="4" t="s">
        <v>354</v>
      </c>
      <c r="C168" s="14" t="s">
        <v>355</v>
      </c>
      <c r="D168" s="13">
        <v>1</v>
      </c>
      <c r="E168" s="13" t="s">
        <v>399</v>
      </c>
      <c r="F168" s="13">
        <v>1</v>
      </c>
      <c r="G168" s="22">
        <v>1</v>
      </c>
      <c r="H168" s="20">
        <v>1</v>
      </c>
      <c r="I168" s="4">
        <v>4</v>
      </c>
      <c r="J168" s="4">
        <v>46</v>
      </c>
      <c r="K168" s="4" t="s">
        <v>124</v>
      </c>
      <c r="L168" s="4" t="s">
        <v>13</v>
      </c>
      <c r="M168" s="4">
        <v>2025</v>
      </c>
      <c r="N168" s="4">
        <v>1</v>
      </c>
      <c r="O168" s="4">
        <v>1</v>
      </c>
      <c r="P168" s="4"/>
    </row>
    <row r="169" spans="1:16">
      <c r="A169" s="4" t="s">
        <v>347</v>
      </c>
      <c r="B169" s="4" t="s">
        <v>356</v>
      </c>
      <c r="C169" s="14" t="s">
        <v>357</v>
      </c>
      <c r="D169" s="13">
        <v>1</v>
      </c>
      <c r="E169" s="13" t="s">
        <v>397</v>
      </c>
      <c r="F169" s="13">
        <v>1</v>
      </c>
      <c r="G169" s="22">
        <v>0</v>
      </c>
      <c r="H169" s="13">
        <v>1</v>
      </c>
      <c r="I169" s="4">
        <v>5</v>
      </c>
      <c r="J169" s="4">
        <v>46</v>
      </c>
      <c r="K169" s="4" t="s">
        <v>124</v>
      </c>
      <c r="L169" s="4" t="s">
        <v>13</v>
      </c>
      <c r="M169" s="4">
        <v>2025</v>
      </c>
      <c r="N169" s="4">
        <v>1</v>
      </c>
      <c r="O169" s="4">
        <v>1</v>
      </c>
      <c r="P169" s="4"/>
    </row>
    <row r="170" spans="1:16">
      <c r="A170" s="4" t="s">
        <v>347</v>
      </c>
      <c r="B170" s="4" t="s">
        <v>358</v>
      </c>
      <c r="C170" s="14" t="s">
        <v>359</v>
      </c>
      <c r="D170" s="13">
        <v>1</v>
      </c>
      <c r="E170" s="13" t="s">
        <v>399</v>
      </c>
      <c r="F170" s="13">
        <v>1</v>
      </c>
      <c r="G170" s="22">
        <v>0</v>
      </c>
      <c r="H170" s="13">
        <v>1</v>
      </c>
      <c r="I170" s="4">
        <v>6</v>
      </c>
      <c r="J170" s="4">
        <v>46</v>
      </c>
      <c r="K170" s="4" t="s">
        <v>124</v>
      </c>
      <c r="L170" s="4" t="s">
        <v>13</v>
      </c>
      <c r="M170" s="4">
        <v>2025</v>
      </c>
      <c r="N170" s="4">
        <v>1</v>
      </c>
      <c r="O170" s="4">
        <v>1</v>
      </c>
      <c r="P170" s="4"/>
    </row>
    <row r="171" spans="1:16">
      <c r="A171" s="4" t="s">
        <v>347</v>
      </c>
      <c r="B171" s="4" t="s">
        <v>360</v>
      </c>
      <c r="C171" s="14" t="s">
        <v>361</v>
      </c>
      <c r="D171" s="13">
        <v>1</v>
      </c>
      <c r="E171" s="13" t="s">
        <v>399</v>
      </c>
      <c r="F171" s="13">
        <v>1</v>
      </c>
      <c r="G171" s="22">
        <v>0</v>
      </c>
      <c r="H171" s="13">
        <v>1</v>
      </c>
      <c r="I171" s="4">
        <v>7</v>
      </c>
      <c r="J171" s="4">
        <v>46</v>
      </c>
      <c r="K171" s="4" t="s">
        <v>124</v>
      </c>
      <c r="L171" s="4" t="s">
        <v>13</v>
      </c>
      <c r="M171" s="4">
        <v>2025</v>
      </c>
      <c r="N171" s="4">
        <v>1</v>
      </c>
      <c r="O171" s="4">
        <v>1</v>
      </c>
      <c r="P171" s="4"/>
    </row>
    <row r="172" spans="1:16">
      <c r="A172" s="4" t="s">
        <v>347</v>
      </c>
      <c r="B172" s="4" t="s">
        <v>362</v>
      </c>
      <c r="C172" s="9" t="s">
        <v>363</v>
      </c>
      <c r="D172" s="13">
        <v>1</v>
      </c>
      <c r="E172" s="13" t="s">
        <v>397</v>
      </c>
      <c r="F172" s="13">
        <v>1</v>
      </c>
      <c r="G172" s="22">
        <v>0</v>
      </c>
      <c r="H172" s="13">
        <v>1</v>
      </c>
      <c r="I172" s="4">
        <v>16</v>
      </c>
      <c r="J172" s="4">
        <v>46</v>
      </c>
      <c r="K172" s="4" t="s">
        <v>124</v>
      </c>
      <c r="L172" s="4" t="s">
        <v>13</v>
      </c>
      <c r="M172" s="4">
        <v>2025</v>
      </c>
      <c r="N172" s="4">
        <v>1</v>
      </c>
      <c r="O172" s="4">
        <v>1</v>
      </c>
      <c r="P172" s="4"/>
    </row>
    <row r="173" spans="1:16">
      <c r="A173" s="4" t="s">
        <v>347</v>
      </c>
      <c r="B173" s="4" t="s">
        <v>364</v>
      </c>
      <c r="C173" s="9" t="s">
        <v>365</v>
      </c>
      <c r="D173" s="13">
        <v>1</v>
      </c>
      <c r="E173" s="13" t="s">
        <v>397</v>
      </c>
      <c r="F173" s="13">
        <v>1</v>
      </c>
      <c r="G173" s="22">
        <v>0</v>
      </c>
      <c r="H173" s="13">
        <v>1</v>
      </c>
      <c r="I173" s="4">
        <v>18</v>
      </c>
      <c r="J173" s="4">
        <v>46</v>
      </c>
      <c r="K173" s="4" t="s">
        <v>124</v>
      </c>
      <c r="L173" s="4" t="s">
        <v>13</v>
      </c>
      <c r="M173" s="4">
        <v>2025</v>
      </c>
      <c r="N173" s="4">
        <v>1</v>
      </c>
      <c r="O173" s="4">
        <v>1</v>
      </c>
      <c r="P173" s="4"/>
    </row>
    <row r="174" spans="1:16">
      <c r="A174" s="4" t="s">
        <v>347</v>
      </c>
      <c r="B174" s="4" t="s">
        <v>366</v>
      </c>
      <c r="C174" s="9" t="s">
        <v>367</v>
      </c>
      <c r="D174" s="13">
        <v>1</v>
      </c>
      <c r="E174" s="13" t="s">
        <v>399</v>
      </c>
      <c r="F174" s="13">
        <v>1</v>
      </c>
      <c r="G174" s="22">
        <v>0</v>
      </c>
      <c r="H174" s="20">
        <v>2</v>
      </c>
      <c r="I174" s="4">
        <v>23</v>
      </c>
      <c r="J174" s="4">
        <v>46</v>
      </c>
      <c r="K174" s="4" t="s">
        <v>124</v>
      </c>
      <c r="L174" s="4" t="s">
        <v>13</v>
      </c>
      <c r="M174" s="4">
        <v>2025</v>
      </c>
      <c r="N174" s="4">
        <v>1</v>
      </c>
      <c r="O174" s="4">
        <v>1</v>
      </c>
      <c r="P174" s="4"/>
    </row>
    <row r="175" spans="1:16">
      <c r="A175" s="4" t="s">
        <v>347</v>
      </c>
      <c r="B175" s="4" t="s">
        <v>368</v>
      </c>
      <c r="C175" s="9" t="s">
        <v>369</v>
      </c>
      <c r="D175" s="13">
        <v>1</v>
      </c>
      <c r="E175" s="13" t="s">
        <v>399</v>
      </c>
      <c r="F175" s="13">
        <v>1</v>
      </c>
      <c r="G175" s="22">
        <v>1</v>
      </c>
      <c r="H175" s="13">
        <v>1</v>
      </c>
      <c r="I175" s="4">
        <v>26</v>
      </c>
      <c r="J175" s="4">
        <v>46</v>
      </c>
      <c r="K175" s="4" t="s">
        <v>124</v>
      </c>
      <c r="L175" s="4" t="s">
        <v>13</v>
      </c>
      <c r="M175" s="4">
        <v>2025</v>
      </c>
      <c r="N175" s="4">
        <v>1</v>
      </c>
      <c r="O175" s="4">
        <v>1</v>
      </c>
      <c r="P175" s="4"/>
    </row>
    <row r="176" spans="1:16">
      <c r="A176" s="4" t="s">
        <v>347</v>
      </c>
      <c r="B176" s="4" t="s">
        <v>370</v>
      </c>
      <c r="C176" s="9" t="s">
        <v>371</v>
      </c>
      <c r="D176" s="13">
        <v>1</v>
      </c>
      <c r="E176" s="13" t="s">
        <v>399</v>
      </c>
      <c r="F176" s="13">
        <v>1</v>
      </c>
      <c r="G176" s="22">
        <v>0</v>
      </c>
      <c r="H176" s="20">
        <v>2</v>
      </c>
      <c r="I176" s="4">
        <v>28</v>
      </c>
      <c r="J176" s="4">
        <v>46</v>
      </c>
      <c r="K176" s="4" t="s">
        <v>124</v>
      </c>
      <c r="L176" s="4" t="s">
        <v>13</v>
      </c>
      <c r="M176" s="4">
        <v>2025</v>
      </c>
      <c r="N176" s="4">
        <v>1</v>
      </c>
      <c r="O176" s="4">
        <v>1</v>
      </c>
      <c r="P176" s="4"/>
    </row>
    <row r="177" spans="1:16">
      <c r="A177" s="4" t="s">
        <v>347</v>
      </c>
      <c r="B177" s="4" t="s">
        <v>372</v>
      </c>
      <c r="C177" s="9" t="s">
        <v>373</v>
      </c>
      <c r="D177" s="13">
        <v>1</v>
      </c>
      <c r="E177" s="13" t="s">
        <v>399</v>
      </c>
      <c r="F177" s="13">
        <v>1</v>
      </c>
      <c r="G177" s="22">
        <v>0</v>
      </c>
      <c r="H177" s="13">
        <v>1</v>
      </c>
      <c r="I177" s="4">
        <v>30</v>
      </c>
      <c r="J177" s="4">
        <v>46</v>
      </c>
      <c r="K177" s="4" t="s">
        <v>124</v>
      </c>
      <c r="L177" s="4" t="s">
        <v>13</v>
      </c>
      <c r="M177" s="4">
        <v>2025</v>
      </c>
      <c r="N177" s="4">
        <v>1</v>
      </c>
      <c r="O177" s="4">
        <v>1</v>
      </c>
      <c r="P177" s="4"/>
    </row>
    <row r="178" spans="1:16">
      <c r="A178" s="4" t="s">
        <v>347</v>
      </c>
      <c r="B178" s="4" t="s">
        <v>374</v>
      </c>
      <c r="C178" s="9" t="s">
        <v>375</v>
      </c>
      <c r="D178" s="13">
        <v>1</v>
      </c>
      <c r="E178" s="13" t="s">
        <v>397</v>
      </c>
      <c r="F178" s="13">
        <v>1</v>
      </c>
      <c r="G178" s="22">
        <v>0</v>
      </c>
      <c r="H178" s="13">
        <v>1</v>
      </c>
      <c r="I178" s="4">
        <v>35</v>
      </c>
      <c r="J178" s="4">
        <v>46</v>
      </c>
      <c r="K178" s="4" t="s">
        <v>124</v>
      </c>
      <c r="L178" s="4" t="s">
        <v>13</v>
      </c>
      <c r="M178" s="4">
        <v>2025</v>
      </c>
      <c r="N178" s="4">
        <v>1</v>
      </c>
      <c r="O178" s="4">
        <v>1</v>
      </c>
      <c r="P178" s="4"/>
    </row>
    <row r="179" spans="1:16">
      <c r="A179" s="4" t="s">
        <v>347</v>
      </c>
      <c r="B179" s="4" t="s">
        <v>376</v>
      </c>
      <c r="C179" s="9" t="s">
        <v>377</v>
      </c>
      <c r="D179" s="13">
        <v>1</v>
      </c>
      <c r="E179" s="13" t="s">
        <v>399</v>
      </c>
      <c r="F179" s="13">
        <v>1</v>
      </c>
      <c r="G179" s="22">
        <v>0</v>
      </c>
      <c r="H179" s="13">
        <v>1</v>
      </c>
      <c r="I179" s="4">
        <v>36</v>
      </c>
      <c r="J179" s="4">
        <v>46</v>
      </c>
      <c r="K179" s="4" t="s">
        <v>124</v>
      </c>
      <c r="L179" s="4" t="s">
        <v>13</v>
      </c>
      <c r="M179" s="4">
        <v>2025</v>
      </c>
      <c r="N179" s="4">
        <v>1</v>
      </c>
      <c r="O179" s="4">
        <v>1</v>
      </c>
      <c r="P179" s="4"/>
    </row>
    <row r="180" spans="1:16">
      <c r="A180" s="4" t="s">
        <v>347</v>
      </c>
      <c r="B180" s="4" t="s">
        <v>378</v>
      </c>
      <c r="C180" s="9" t="s">
        <v>379</v>
      </c>
      <c r="D180" s="13">
        <v>1</v>
      </c>
      <c r="E180" s="13" t="s">
        <v>399</v>
      </c>
      <c r="F180" s="13">
        <v>1</v>
      </c>
      <c r="G180" s="22">
        <v>0</v>
      </c>
      <c r="H180" s="13">
        <v>1</v>
      </c>
      <c r="I180" s="4">
        <v>37</v>
      </c>
      <c r="J180" s="4">
        <v>46</v>
      </c>
      <c r="K180" s="4" t="s">
        <v>124</v>
      </c>
      <c r="L180" s="4" t="s">
        <v>13</v>
      </c>
      <c r="M180" s="4">
        <v>2025</v>
      </c>
      <c r="N180" s="4">
        <v>1</v>
      </c>
      <c r="O180" s="4">
        <v>1</v>
      </c>
      <c r="P180" s="4"/>
    </row>
    <row r="181" spans="1:16">
      <c r="A181" s="4" t="s">
        <v>347</v>
      </c>
      <c r="B181" s="4" t="s">
        <v>380</v>
      </c>
      <c r="C181" s="9" t="s">
        <v>381</v>
      </c>
      <c r="D181" s="13">
        <v>1</v>
      </c>
      <c r="E181" s="13" t="s">
        <v>397</v>
      </c>
      <c r="F181" s="13">
        <v>1</v>
      </c>
      <c r="G181" s="22">
        <v>0</v>
      </c>
      <c r="H181" s="13">
        <v>1</v>
      </c>
      <c r="I181" s="4">
        <v>38</v>
      </c>
      <c r="J181" s="4">
        <v>46</v>
      </c>
      <c r="K181" s="4" t="s">
        <v>124</v>
      </c>
      <c r="L181" s="4" t="s">
        <v>13</v>
      </c>
      <c r="M181" s="4">
        <v>2025</v>
      </c>
      <c r="N181" s="4">
        <v>1</v>
      </c>
      <c r="O181" s="4">
        <v>1</v>
      </c>
      <c r="P181" s="4"/>
    </row>
    <row r="182" spans="1:16" ht="30" customHeight="1">
      <c r="A182" s="4" t="s">
        <v>347</v>
      </c>
      <c r="B182" s="4" t="s">
        <v>385</v>
      </c>
      <c r="C182" s="9" t="s">
        <v>382</v>
      </c>
      <c r="D182" s="13">
        <v>1</v>
      </c>
      <c r="E182" s="13" t="s">
        <v>397</v>
      </c>
      <c r="F182" s="13">
        <v>1</v>
      </c>
      <c r="G182" s="22">
        <v>1</v>
      </c>
      <c r="H182" s="20">
        <v>1</v>
      </c>
      <c r="I182" s="4">
        <v>43</v>
      </c>
      <c r="J182" s="4">
        <v>46</v>
      </c>
      <c r="K182" s="4" t="s">
        <v>124</v>
      </c>
      <c r="L182" s="4" t="s">
        <v>13</v>
      </c>
      <c r="M182" s="4">
        <v>2025</v>
      </c>
      <c r="N182" s="4">
        <v>1</v>
      </c>
      <c r="O182" s="4">
        <v>1</v>
      </c>
      <c r="P182" s="4"/>
    </row>
    <row r="183" spans="1:16">
      <c r="A183" s="4" t="s">
        <v>347</v>
      </c>
      <c r="B183" s="4" t="s">
        <v>388</v>
      </c>
      <c r="C183" s="9" t="s">
        <v>383</v>
      </c>
      <c r="D183" s="13">
        <v>0</v>
      </c>
      <c r="F183" s="13">
        <v>1</v>
      </c>
      <c r="G183" s="22">
        <v>0</v>
      </c>
      <c r="H183" s="13">
        <v>1</v>
      </c>
      <c r="I183" s="4">
        <v>44</v>
      </c>
      <c r="J183" s="4">
        <v>46</v>
      </c>
      <c r="K183" s="4" t="s">
        <v>124</v>
      </c>
      <c r="L183" s="4" t="s">
        <v>13</v>
      </c>
      <c r="M183" s="4">
        <v>2025</v>
      </c>
      <c r="N183" s="4">
        <v>1</v>
      </c>
      <c r="O183" s="4">
        <v>1</v>
      </c>
      <c r="P183" s="4"/>
    </row>
    <row r="184" spans="1:16">
      <c r="A184" s="4" t="s">
        <v>347</v>
      </c>
      <c r="B184" s="4" t="s">
        <v>389</v>
      </c>
      <c r="C184" s="9" t="s">
        <v>384</v>
      </c>
      <c r="D184" s="13">
        <v>0</v>
      </c>
      <c r="F184" s="13">
        <v>1</v>
      </c>
      <c r="G184" s="22">
        <v>0</v>
      </c>
      <c r="H184" s="13">
        <v>1</v>
      </c>
      <c r="I184" s="4">
        <v>45</v>
      </c>
      <c r="J184" s="4">
        <v>46</v>
      </c>
      <c r="K184" s="4" t="s">
        <v>124</v>
      </c>
      <c r="L184" s="4" t="s">
        <v>13</v>
      </c>
      <c r="M184" s="4">
        <v>2025</v>
      </c>
      <c r="N184" s="4">
        <v>1</v>
      </c>
      <c r="O184" s="4">
        <v>1</v>
      </c>
      <c r="P184" s="4"/>
    </row>
    <row r="185" spans="1:16">
      <c r="A185" s="4" t="s">
        <v>347</v>
      </c>
      <c r="B185" s="4" t="s">
        <v>390</v>
      </c>
      <c r="C185" s="9" t="s">
        <v>386</v>
      </c>
      <c r="D185" s="13">
        <v>0</v>
      </c>
      <c r="F185" s="13">
        <v>1</v>
      </c>
      <c r="G185" s="22">
        <v>0</v>
      </c>
      <c r="H185" s="13">
        <v>1</v>
      </c>
      <c r="I185" s="4">
        <v>46</v>
      </c>
      <c r="J185" s="4">
        <v>46</v>
      </c>
      <c r="K185" s="4" t="s">
        <v>124</v>
      </c>
      <c r="L185" s="4" t="s">
        <v>13</v>
      </c>
      <c r="M185" s="4">
        <v>2025</v>
      </c>
      <c r="N185" s="4">
        <v>1</v>
      </c>
      <c r="O185" s="4">
        <v>1</v>
      </c>
      <c r="P185" s="4"/>
    </row>
    <row r="186" spans="1:16">
      <c r="A186" s="4" t="s">
        <v>414</v>
      </c>
      <c r="B186" s="4" t="s">
        <v>416</v>
      </c>
      <c r="C186" s="9" t="s">
        <v>417</v>
      </c>
      <c r="D186" s="13">
        <v>0</v>
      </c>
      <c r="F186" s="13">
        <v>1</v>
      </c>
      <c r="G186" s="23">
        <v>0</v>
      </c>
      <c r="H186" s="13">
        <v>1</v>
      </c>
      <c r="I186" s="4">
        <v>5</v>
      </c>
      <c r="J186" s="4">
        <v>11</v>
      </c>
      <c r="K186" s="4" t="s">
        <v>415</v>
      </c>
      <c r="L186" s="4" t="s">
        <v>13</v>
      </c>
      <c r="M186" s="4">
        <v>2019</v>
      </c>
      <c r="N186" s="4">
        <v>1</v>
      </c>
      <c r="O186" s="4">
        <v>1</v>
      </c>
    </row>
    <row r="187" spans="1:16">
      <c r="A187" s="4" t="s">
        <v>414</v>
      </c>
      <c r="B187" s="4" t="s">
        <v>418</v>
      </c>
      <c r="C187" s="9" t="s">
        <v>419</v>
      </c>
      <c r="D187" s="13">
        <v>0</v>
      </c>
      <c r="F187" s="13">
        <v>1</v>
      </c>
      <c r="G187" s="23">
        <v>0</v>
      </c>
      <c r="I187" s="4">
        <v>6</v>
      </c>
      <c r="J187" s="4">
        <v>11</v>
      </c>
      <c r="K187" s="4" t="s">
        <v>415</v>
      </c>
      <c r="L187" s="4" t="s">
        <v>13</v>
      </c>
      <c r="M187" s="4">
        <v>2019</v>
      </c>
      <c r="N187" s="4">
        <v>1</v>
      </c>
      <c r="O187" s="4">
        <v>1</v>
      </c>
    </row>
    <row r="188" spans="1:16" ht="17" customHeight="1">
      <c r="A188" s="4" t="s">
        <v>414</v>
      </c>
      <c r="B188" s="4" t="s">
        <v>472</v>
      </c>
      <c r="C188" s="9" t="s">
        <v>475</v>
      </c>
      <c r="F188" s="13">
        <v>1</v>
      </c>
      <c r="G188" s="23">
        <v>1</v>
      </c>
      <c r="I188" s="4">
        <v>8</v>
      </c>
      <c r="J188" s="4">
        <v>11</v>
      </c>
      <c r="K188" s="4" t="s">
        <v>415</v>
      </c>
      <c r="L188" s="4" t="s">
        <v>13</v>
      </c>
      <c r="M188" s="4">
        <v>2019</v>
      </c>
      <c r="N188" s="4">
        <v>1</v>
      </c>
      <c r="O188" s="4">
        <v>1</v>
      </c>
    </row>
    <row r="189" spans="1:16" ht="17" customHeight="1">
      <c r="A189" s="4" t="s">
        <v>414</v>
      </c>
      <c r="B189" s="4" t="s">
        <v>473</v>
      </c>
      <c r="C189" s="9" t="s">
        <v>474</v>
      </c>
      <c r="F189" s="13">
        <v>1</v>
      </c>
      <c r="G189" s="23">
        <v>1</v>
      </c>
      <c r="I189" s="4">
        <v>9</v>
      </c>
      <c r="J189" s="4">
        <v>11</v>
      </c>
      <c r="K189" s="4" t="s">
        <v>415</v>
      </c>
      <c r="L189" s="4" t="s">
        <v>13</v>
      </c>
      <c r="M189" s="4">
        <v>2019</v>
      </c>
      <c r="N189" s="4">
        <v>1</v>
      </c>
      <c r="O189" s="4">
        <v>1</v>
      </c>
    </row>
    <row r="190" spans="1:16">
      <c r="A190" s="4" t="s">
        <v>414</v>
      </c>
      <c r="B190" s="4" t="s">
        <v>476</v>
      </c>
      <c r="C190" s="9" t="s">
        <v>477</v>
      </c>
      <c r="F190" s="13">
        <v>1</v>
      </c>
      <c r="G190" s="23">
        <v>0</v>
      </c>
      <c r="I190" s="4">
        <v>10</v>
      </c>
      <c r="J190" s="4">
        <v>11</v>
      </c>
      <c r="K190" s="4" t="s">
        <v>415</v>
      </c>
      <c r="L190" s="4" t="s">
        <v>13</v>
      </c>
      <c r="M190" s="4">
        <v>2019</v>
      </c>
      <c r="N190" s="4">
        <v>1</v>
      </c>
      <c r="O190" s="4">
        <v>1</v>
      </c>
    </row>
    <row r="191" spans="1:16">
      <c r="A191" s="4" t="s">
        <v>420</v>
      </c>
      <c r="B191" s="4" t="s">
        <v>421</v>
      </c>
      <c r="C191" s="9" t="s">
        <v>422</v>
      </c>
      <c r="D191" s="13">
        <v>0</v>
      </c>
      <c r="F191" s="13">
        <v>1</v>
      </c>
      <c r="G191" s="23">
        <v>1</v>
      </c>
      <c r="I191" s="4">
        <v>1</v>
      </c>
      <c r="J191" s="4">
        <v>15</v>
      </c>
      <c r="K191" s="4" t="s">
        <v>415</v>
      </c>
      <c r="L191" s="4" t="s">
        <v>13</v>
      </c>
      <c r="M191" s="4">
        <v>2025</v>
      </c>
      <c r="N191" s="4">
        <v>1</v>
      </c>
      <c r="O191" s="4">
        <v>1</v>
      </c>
    </row>
    <row r="192" spans="1:16">
      <c r="A192" s="4" t="s">
        <v>420</v>
      </c>
      <c r="B192" s="4" t="s">
        <v>423</v>
      </c>
      <c r="C192" s="9" t="s">
        <v>424</v>
      </c>
      <c r="D192" s="13">
        <v>0</v>
      </c>
      <c r="F192" s="13">
        <v>1</v>
      </c>
      <c r="G192" s="23">
        <v>0</v>
      </c>
      <c r="I192" s="4">
        <v>2</v>
      </c>
      <c r="J192" s="4">
        <v>15</v>
      </c>
      <c r="K192" s="4" t="s">
        <v>415</v>
      </c>
      <c r="L192" s="4" t="s">
        <v>13</v>
      </c>
      <c r="M192" s="4">
        <v>2025</v>
      </c>
      <c r="N192" s="4">
        <v>1</v>
      </c>
      <c r="O192" s="4">
        <v>1</v>
      </c>
    </row>
    <row r="193" spans="1:15">
      <c r="A193" s="4" t="s">
        <v>420</v>
      </c>
      <c r="B193" s="4" t="s">
        <v>425</v>
      </c>
      <c r="C193" s="9" t="s">
        <v>426</v>
      </c>
      <c r="D193" s="13">
        <v>1</v>
      </c>
      <c r="E193" s="13" t="s">
        <v>399</v>
      </c>
      <c r="F193" s="13">
        <v>1</v>
      </c>
      <c r="G193" s="23">
        <v>1</v>
      </c>
      <c r="I193" s="4">
        <v>4</v>
      </c>
      <c r="J193" s="4">
        <v>15</v>
      </c>
      <c r="K193" s="4" t="s">
        <v>415</v>
      </c>
      <c r="L193" s="4" t="s">
        <v>13</v>
      </c>
      <c r="M193" s="4">
        <v>2025</v>
      </c>
      <c r="N193" s="4">
        <v>1</v>
      </c>
      <c r="O193" s="4">
        <v>1</v>
      </c>
    </row>
    <row r="194" spans="1:15">
      <c r="A194" s="4" t="s">
        <v>420</v>
      </c>
      <c r="B194" s="4" t="s">
        <v>427</v>
      </c>
      <c r="C194" s="9" t="s">
        <v>428</v>
      </c>
      <c r="D194" s="13">
        <v>1</v>
      </c>
      <c r="E194" s="13" t="s">
        <v>395</v>
      </c>
      <c r="F194" s="13">
        <v>1</v>
      </c>
      <c r="G194" s="23">
        <v>1</v>
      </c>
      <c r="I194" s="4">
        <v>5</v>
      </c>
      <c r="J194" s="4">
        <v>15</v>
      </c>
      <c r="K194" s="4" t="s">
        <v>415</v>
      </c>
      <c r="L194" s="4" t="s">
        <v>13</v>
      </c>
      <c r="M194" s="4">
        <v>2025</v>
      </c>
      <c r="N194" s="4">
        <v>1</v>
      </c>
      <c r="O194" s="4">
        <v>1</v>
      </c>
    </row>
    <row r="195" spans="1:15">
      <c r="A195" s="4" t="s">
        <v>420</v>
      </c>
      <c r="B195" s="4" t="s">
        <v>429</v>
      </c>
      <c r="C195" s="9" t="s">
        <v>430</v>
      </c>
      <c r="D195" s="13">
        <v>1</v>
      </c>
      <c r="E195" s="13" t="s">
        <v>399</v>
      </c>
      <c r="F195" s="13">
        <v>1</v>
      </c>
      <c r="G195" s="23">
        <v>1</v>
      </c>
      <c r="I195" s="4">
        <v>6</v>
      </c>
      <c r="J195" s="4">
        <v>15</v>
      </c>
      <c r="K195" s="4" t="s">
        <v>415</v>
      </c>
      <c r="L195" s="4" t="s">
        <v>13</v>
      </c>
      <c r="M195" s="4">
        <v>2025</v>
      </c>
      <c r="N195" s="4">
        <v>1</v>
      </c>
      <c r="O195" s="4">
        <v>1</v>
      </c>
    </row>
    <row r="196" spans="1:15">
      <c r="A196" s="4" t="s">
        <v>420</v>
      </c>
      <c r="B196" s="4" t="s">
        <v>431</v>
      </c>
      <c r="C196" s="9" t="s">
        <v>432</v>
      </c>
      <c r="D196" s="13">
        <v>1</v>
      </c>
      <c r="E196" s="13" t="s">
        <v>395</v>
      </c>
      <c r="F196" s="13">
        <v>1</v>
      </c>
      <c r="G196" s="23">
        <v>1</v>
      </c>
      <c r="I196" s="4">
        <v>7</v>
      </c>
      <c r="J196" s="4">
        <v>15</v>
      </c>
      <c r="K196" s="4" t="s">
        <v>415</v>
      </c>
      <c r="L196" s="4" t="s">
        <v>13</v>
      </c>
      <c r="M196" s="4">
        <v>2025</v>
      </c>
      <c r="N196" s="4">
        <v>1</v>
      </c>
      <c r="O196" s="4">
        <v>1</v>
      </c>
    </row>
    <row r="197" spans="1:15">
      <c r="A197" s="4" t="s">
        <v>420</v>
      </c>
      <c r="B197" s="4" t="s">
        <v>433</v>
      </c>
      <c r="C197" s="9" t="s">
        <v>434</v>
      </c>
      <c r="D197" s="13">
        <v>1</v>
      </c>
      <c r="E197" s="13" t="s">
        <v>395</v>
      </c>
      <c r="F197" s="13">
        <v>1</v>
      </c>
      <c r="G197" s="23">
        <v>1</v>
      </c>
      <c r="I197" s="4">
        <v>8</v>
      </c>
      <c r="J197" s="4">
        <v>15</v>
      </c>
      <c r="K197" s="4" t="s">
        <v>415</v>
      </c>
      <c r="L197" s="4" t="s">
        <v>13</v>
      </c>
      <c r="M197" s="4">
        <v>2025</v>
      </c>
      <c r="N197" s="4">
        <v>1</v>
      </c>
      <c r="O197" s="4">
        <v>1</v>
      </c>
    </row>
    <row r="198" spans="1:15">
      <c r="A198" s="4" t="s">
        <v>420</v>
      </c>
      <c r="B198" s="4" t="s">
        <v>435</v>
      </c>
      <c r="C198" s="9" t="s">
        <v>436</v>
      </c>
      <c r="D198" s="13">
        <v>1</v>
      </c>
      <c r="E198" s="13" t="s">
        <v>395</v>
      </c>
      <c r="F198" s="13">
        <v>1</v>
      </c>
      <c r="G198" s="23">
        <v>1</v>
      </c>
      <c r="I198" s="4">
        <v>9</v>
      </c>
      <c r="J198" s="4">
        <v>15</v>
      </c>
      <c r="K198" s="4" t="s">
        <v>415</v>
      </c>
      <c r="L198" s="4" t="s">
        <v>13</v>
      </c>
      <c r="M198" s="4">
        <v>2025</v>
      </c>
      <c r="N198" s="4">
        <v>1</v>
      </c>
      <c r="O198" s="4">
        <v>1</v>
      </c>
    </row>
    <row r="199" spans="1:15">
      <c r="A199" s="4" t="s">
        <v>420</v>
      </c>
      <c r="B199" s="4" t="s">
        <v>437</v>
      </c>
      <c r="C199" s="9" t="s">
        <v>438</v>
      </c>
      <c r="D199" s="13">
        <v>1</v>
      </c>
      <c r="E199" s="13" t="s">
        <v>399</v>
      </c>
      <c r="F199" s="13">
        <v>1</v>
      </c>
      <c r="G199" s="23">
        <v>1</v>
      </c>
      <c r="I199" s="4">
        <v>10</v>
      </c>
      <c r="J199" s="4">
        <v>15</v>
      </c>
      <c r="K199" s="4" t="s">
        <v>415</v>
      </c>
      <c r="L199" s="4" t="s">
        <v>13</v>
      </c>
      <c r="M199" s="4">
        <v>2025</v>
      </c>
      <c r="N199" s="4">
        <v>1</v>
      </c>
      <c r="O199" s="4">
        <v>1</v>
      </c>
    </row>
    <row r="200" spans="1:15">
      <c r="A200" s="4" t="s">
        <v>420</v>
      </c>
      <c r="B200" s="4" t="s">
        <v>439</v>
      </c>
      <c r="C200" s="9" t="s">
        <v>440</v>
      </c>
      <c r="D200" s="13">
        <v>1</v>
      </c>
      <c r="E200" s="13" t="s">
        <v>395</v>
      </c>
      <c r="F200" s="13">
        <v>1</v>
      </c>
      <c r="G200" s="23">
        <v>1</v>
      </c>
      <c r="I200" s="4">
        <v>11</v>
      </c>
      <c r="J200" s="4">
        <v>15</v>
      </c>
      <c r="K200" s="4" t="s">
        <v>415</v>
      </c>
      <c r="L200" s="4" t="s">
        <v>13</v>
      </c>
      <c r="M200" s="4">
        <v>2025</v>
      </c>
      <c r="N200" s="4">
        <v>1</v>
      </c>
      <c r="O200" s="4">
        <v>1</v>
      </c>
    </row>
    <row r="201" spans="1:15">
      <c r="A201" s="4" t="s">
        <v>420</v>
      </c>
      <c r="B201" s="4" t="s">
        <v>441</v>
      </c>
      <c r="C201" s="9" t="s">
        <v>442</v>
      </c>
      <c r="D201" s="13">
        <v>1</v>
      </c>
      <c r="E201" s="13" t="s">
        <v>443</v>
      </c>
      <c r="F201" s="13">
        <v>1</v>
      </c>
      <c r="G201" s="23">
        <v>1</v>
      </c>
      <c r="I201" s="4">
        <v>12</v>
      </c>
      <c r="J201" s="4">
        <v>15</v>
      </c>
      <c r="K201" s="4" t="s">
        <v>415</v>
      </c>
      <c r="L201" s="4" t="s">
        <v>13</v>
      </c>
      <c r="M201" s="4">
        <v>2025</v>
      </c>
      <c r="N201" s="4">
        <v>1</v>
      </c>
      <c r="O201" s="4">
        <v>1</v>
      </c>
    </row>
    <row r="202" spans="1:15">
      <c r="A202" s="4" t="s">
        <v>420</v>
      </c>
      <c r="B202" s="4" t="s">
        <v>444</v>
      </c>
      <c r="C202" s="9" t="s">
        <v>445</v>
      </c>
      <c r="D202" s="13">
        <v>1</v>
      </c>
      <c r="E202" s="13" t="s">
        <v>395</v>
      </c>
      <c r="F202" s="13">
        <v>1</v>
      </c>
      <c r="G202" s="23">
        <v>1</v>
      </c>
      <c r="I202" s="4">
        <v>13</v>
      </c>
      <c r="J202" s="4">
        <v>15</v>
      </c>
      <c r="K202" s="4" t="s">
        <v>415</v>
      </c>
      <c r="L202" s="4" t="s">
        <v>13</v>
      </c>
      <c r="M202" s="4">
        <v>2025</v>
      </c>
      <c r="N202" s="4">
        <v>1</v>
      </c>
      <c r="O202" s="4">
        <v>1</v>
      </c>
    </row>
    <row r="203" spans="1:15">
      <c r="A203" s="4" t="s">
        <v>420</v>
      </c>
      <c r="B203" s="4" t="s">
        <v>446</v>
      </c>
      <c r="C203" s="9" t="s">
        <v>447</v>
      </c>
      <c r="D203" s="13">
        <v>1</v>
      </c>
      <c r="E203" s="13" t="s">
        <v>399</v>
      </c>
      <c r="F203" s="13">
        <v>1</v>
      </c>
      <c r="G203" s="23">
        <v>1</v>
      </c>
      <c r="I203" s="4">
        <v>14</v>
      </c>
      <c r="J203" s="4">
        <v>15</v>
      </c>
      <c r="K203" s="4" t="s">
        <v>415</v>
      </c>
      <c r="L203" s="4" t="s">
        <v>13</v>
      </c>
      <c r="M203" s="4">
        <v>2025</v>
      </c>
      <c r="N203" s="4">
        <v>1</v>
      </c>
      <c r="O203" s="4">
        <v>1</v>
      </c>
    </row>
    <row r="204" spans="1:15">
      <c r="A204" s="4" t="s">
        <v>420</v>
      </c>
      <c r="B204" s="4" t="s">
        <v>448</v>
      </c>
      <c r="C204" s="9" t="s">
        <v>449</v>
      </c>
      <c r="D204" s="13">
        <v>1</v>
      </c>
      <c r="E204" s="13" t="s">
        <v>395</v>
      </c>
      <c r="F204" s="13">
        <v>1</v>
      </c>
      <c r="G204" s="23">
        <v>1</v>
      </c>
      <c r="I204" s="4">
        <v>15</v>
      </c>
      <c r="J204" s="4">
        <v>15</v>
      </c>
      <c r="K204" s="4" t="s">
        <v>415</v>
      </c>
      <c r="L204" s="4" t="s">
        <v>13</v>
      </c>
      <c r="M204" s="4">
        <v>2025</v>
      </c>
      <c r="N204" s="4">
        <v>1</v>
      </c>
      <c r="O204" s="4">
        <v>1</v>
      </c>
    </row>
    <row r="205" spans="1:15">
      <c r="A205" s="4" t="s">
        <v>450</v>
      </c>
      <c r="B205" s="4" t="s">
        <v>452</v>
      </c>
      <c r="C205" s="9" t="s">
        <v>453</v>
      </c>
      <c r="D205" s="13">
        <v>0</v>
      </c>
      <c r="F205" s="13">
        <v>1</v>
      </c>
      <c r="G205" s="23">
        <v>1</v>
      </c>
      <c r="I205" s="4">
        <v>2</v>
      </c>
      <c r="J205" s="4">
        <v>7</v>
      </c>
      <c r="K205" s="4" t="s">
        <v>451</v>
      </c>
      <c r="L205" s="4" t="s">
        <v>13</v>
      </c>
      <c r="M205" s="4">
        <v>2019</v>
      </c>
      <c r="N205" s="4">
        <v>1</v>
      </c>
      <c r="O205" s="4">
        <v>1</v>
      </c>
    </row>
    <row r="206" spans="1:15">
      <c r="A206" s="4" t="s">
        <v>450</v>
      </c>
      <c r="B206" s="4" t="s">
        <v>454</v>
      </c>
      <c r="C206" s="9" t="s">
        <v>455</v>
      </c>
      <c r="D206" s="13">
        <v>1</v>
      </c>
      <c r="E206" s="13" t="s">
        <v>397</v>
      </c>
      <c r="F206" s="13">
        <v>1</v>
      </c>
      <c r="G206" s="23">
        <v>1</v>
      </c>
      <c r="I206" s="4">
        <v>5</v>
      </c>
      <c r="J206" s="4">
        <v>7</v>
      </c>
      <c r="K206" s="4" t="s">
        <v>451</v>
      </c>
      <c r="L206" s="4" t="s">
        <v>13</v>
      </c>
      <c r="M206" s="4">
        <v>2019</v>
      </c>
      <c r="N206" s="4">
        <v>1</v>
      </c>
      <c r="O206" s="4">
        <v>1</v>
      </c>
    </row>
    <row r="207" spans="1:15">
      <c r="A207" s="4" t="s">
        <v>450</v>
      </c>
      <c r="B207" s="4" t="s">
        <v>456</v>
      </c>
      <c r="C207" s="9" t="s">
        <v>457</v>
      </c>
      <c r="D207" s="13">
        <v>1</v>
      </c>
      <c r="E207" s="13" t="s">
        <v>399</v>
      </c>
      <c r="F207" s="13">
        <v>1</v>
      </c>
      <c r="G207" s="23">
        <v>0</v>
      </c>
      <c r="I207" s="4">
        <v>7</v>
      </c>
      <c r="J207" s="4">
        <v>7</v>
      </c>
      <c r="K207" s="4" t="s">
        <v>451</v>
      </c>
      <c r="L207" s="4" t="s">
        <v>13</v>
      </c>
      <c r="M207" s="4">
        <v>2019</v>
      </c>
      <c r="N207" s="4">
        <v>1</v>
      </c>
      <c r="O207" s="4">
        <v>1</v>
      </c>
    </row>
    <row r="208" spans="1:15">
      <c r="A208" s="4" t="s">
        <v>458</v>
      </c>
      <c r="B208" s="4" t="s">
        <v>459</v>
      </c>
      <c r="C208" s="9" t="s">
        <v>460</v>
      </c>
      <c r="D208" s="13">
        <v>1</v>
      </c>
      <c r="E208" s="13" t="s">
        <v>399</v>
      </c>
      <c r="F208" s="13">
        <v>1</v>
      </c>
      <c r="G208" s="23">
        <v>0</v>
      </c>
      <c r="I208" s="4">
        <v>4</v>
      </c>
      <c r="J208" s="4">
        <v>5</v>
      </c>
      <c r="K208" s="4" t="s">
        <v>451</v>
      </c>
      <c r="L208" s="4" t="s">
        <v>13</v>
      </c>
      <c r="M208" s="4">
        <v>2020</v>
      </c>
      <c r="N208" s="4">
        <v>1</v>
      </c>
      <c r="O208" s="4">
        <v>1</v>
      </c>
    </row>
    <row r="209" spans="1:15">
      <c r="A209" s="4" t="s">
        <v>458</v>
      </c>
      <c r="B209" s="4" t="s">
        <v>461</v>
      </c>
      <c r="C209" s="9" t="s">
        <v>462</v>
      </c>
      <c r="D209" s="13">
        <v>1</v>
      </c>
      <c r="E209" s="13" t="s">
        <v>399</v>
      </c>
      <c r="F209" s="13">
        <v>1</v>
      </c>
      <c r="G209" s="23">
        <v>0</v>
      </c>
      <c r="I209" s="4">
        <v>5</v>
      </c>
      <c r="J209" s="4">
        <v>5</v>
      </c>
      <c r="K209" s="4" t="s">
        <v>451</v>
      </c>
      <c r="L209" s="4" t="s">
        <v>13</v>
      </c>
      <c r="M209" s="4">
        <v>2020</v>
      </c>
      <c r="N209" s="4">
        <v>1</v>
      </c>
      <c r="O209" s="4">
        <v>1</v>
      </c>
    </row>
    <row r="210" spans="1:15">
      <c r="A210" s="4" t="s">
        <v>463</v>
      </c>
      <c r="B210" s="4" t="s">
        <v>464</v>
      </c>
      <c r="C210" s="9" t="s">
        <v>465</v>
      </c>
      <c r="D210" s="13">
        <v>1</v>
      </c>
      <c r="E210" s="13" t="s">
        <v>399</v>
      </c>
      <c r="F210" s="13">
        <v>1</v>
      </c>
      <c r="G210" s="23">
        <v>1</v>
      </c>
      <c r="I210" s="4">
        <v>2</v>
      </c>
      <c r="J210" s="4">
        <v>8</v>
      </c>
      <c r="K210" s="4" t="s">
        <v>451</v>
      </c>
      <c r="L210" s="4" t="s">
        <v>13</v>
      </c>
      <c r="M210" s="4">
        <v>2021</v>
      </c>
      <c r="N210" s="4">
        <v>1</v>
      </c>
      <c r="O210" s="4">
        <v>1</v>
      </c>
    </row>
    <row r="211" spans="1:15">
      <c r="A211" s="4" t="s">
        <v>463</v>
      </c>
      <c r="B211" s="4" t="s">
        <v>466</v>
      </c>
      <c r="C211" s="9" t="s">
        <v>467</v>
      </c>
      <c r="D211" s="13">
        <v>1</v>
      </c>
      <c r="E211" s="13" t="s">
        <v>399</v>
      </c>
      <c r="F211" s="13">
        <v>1</v>
      </c>
      <c r="G211" s="23">
        <v>0</v>
      </c>
      <c r="I211" s="4">
        <v>4</v>
      </c>
      <c r="J211" s="4">
        <v>8</v>
      </c>
      <c r="K211" s="4" t="s">
        <v>451</v>
      </c>
      <c r="L211" s="4" t="s">
        <v>13</v>
      </c>
      <c r="M211" s="4">
        <v>2021</v>
      </c>
      <c r="N211" s="4">
        <v>1</v>
      </c>
      <c r="O211" s="4">
        <v>1</v>
      </c>
    </row>
    <row r="212" spans="1:15">
      <c r="A212" s="4" t="s">
        <v>463</v>
      </c>
      <c r="B212" s="4" t="s">
        <v>468</v>
      </c>
      <c r="C212" s="9" t="s">
        <v>469</v>
      </c>
      <c r="D212" s="13">
        <v>0</v>
      </c>
      <c r="F212" s="13">
        <v>1</v>
      </c>
      <c r="G212" s="23">
        <v>0</v>
      </c>
      <c r="I212" s="4">
        <v>6</v>
      </c>
      <c r="J212" s="4">
        <v>8</v>
      </c>
      <c r="K212" s="4" t="s">
        <v>451</v>
      </c>
      <c r="L212" s="4" t="s">
        <v>13</v>
      </c>
      <c r="M212" s="4">
        <v>2021</v>
      </c>
      <c r="N212" s="4">
        <v>1</v>
      </c>
      <c r="O212" s="4">
        <v>1</v>
      </c>
    </row>
    <row r="213" spans="1:15">
      <c r="A213" s="4" t="s">
        <v>463</v>
      </c>
      <c r="B213" s="4" t="s">
        <v>470</v>
      </c>
      <c r="C213" s="9" t="s">
        <v>471</v>
      </c>
      <c r="D213" s="13">
        <v>1</v>
      </c>
      <c r="E213" s="13" t="s">
        <v>397</v>
      </c>
      <c r="F213" s="13">
        <v>1</v>
      </c>
      <c r="G213" s="23">
        <v>0</v>
      </c>
      <c r="I213" s="4">
        <v>7</v>
      </c>
      <c r="J213" s="4">
        <v>8</v>
      </c>
      <c r="K213" s="4" t="s">
        <v>451</v>
      </c>
      <c r="L213" s="4" t="s">
        <v>13</v>
      </c>
      <c r="M213" s="4">
        <v>2021</v>
      </c>
      <c r="N213" s="4">
        <v>1</v>
      </c>
      <c r="O213" s="4">
        <v>1</v>
      </c>
    </row>
    <row r="214" spans="1:15">
      <c r="A214" s="4" t="s">
        <v>478</v>
      </c>
      <c r="B214" s="4" t="s">
        <v>479</v>
      </c>
      <c r="C214" t="s">
        <v>480</v>
      </c>
      <c r="F214" s="13">
        <v>1</v>
      </c>
      <c r="G214" s="23">
        <v>0</v>
      </c>
      <c r="I214" s="4">
        <v>1</v>
      </c>
      <c r="J214" s="4">
        <v>8</v>
      </c>
      <c r="K214" s="4" t="s">
        <v>451</v>
      </c>
      <c r="L214" s="4" t="s">
        <v>13</v>
      </c>
      <c r="M214" s="4">
        <v>2022</v>
      </c>
      <c r="N214" s="4">
        <v>1</v>
      </c>
      <c r="O214" s="4">
        <v>1</v>
      </c>
    </row>
    <row r="215" spans="1:15">
      <c r="A215" s="4" t="s">
        <v>478</v>
      </c>
      <c r="B215" s="4" t="s">
        <v>481</v>
      </c>
      <c r="C215" s="9" t="s">
        <v>482</v>
      </c>
      <c r="F215" s="13">
        <v>1</v>
      </c>
      <c r="G215" s="23">
        <v>1</v>
      </c>
      <c r="I215" s="4">
        <v>2</v>
      </c>
      <c r="J215" s="4">
        <v>8</v>
      </c>
      <c r="K215" s="4" t="s">
        <v>451</v>
      </c>
      <c r="L215" s="4" t="s">
        <v>13</v>
      </c>
      <c r="M215" s="4">
        <v>2022</v>
      </c>
      <c r="N215" s="4">
        <v>1</v>
      </c>
      <c r="O215" s="4">
        <v>1</v>
      </c>
    </row>
    <row r="216" spans="1:15">
      <c r="A216" s="4" t="s">
        <v>478</v>
      </c>
      <c r="B216" s="4" t="s">
        <v>485</v>
      </c>
      <c r="C216" s="9" t="s">
        <v>483</v>
      </c>
      <c r="F216" s="13">
        <v>1</v>
      </c>
      <c r="G216" s="23">
        <v>0</v>
      </c>
      <c r="I216" s="4">
        <v>5</v>
      </c>
      <c r="J216" s="4">
        <v>8</v>
      </c>
      <c r="K216" s="4" t="s">
        <v>451</v>
      </c>
      <c r="L216" s="4" t="s">
        <v>13</v>
      </c>
      <c r="M216" s="4">
        <v>2022</v>
      </c>
      <c r="N216" s="4">
        <v>1</v>
      </c>
      <c r="O216" s="4">
        <v>1</v>
      </c>
    </row>
    <row r="217" spans="1:15">
      <c r="A217" s="4" t="s">
        <v>478</v>
      </c>
      <c r="B217" s="4" t="s">
        <v>486</v>
      </c>
      <c r="C217" s="9" t="s">
        <v>484</v>
      </c>
      <c r="F217" s="13">
        <v>1</v>
      </c>
      <c r="G217" s="23">
        <v>0</v>
      </c>
      <c r="I217" s="4">
        <v>7</v>
      </c>
      <c r="J217" s="4">
        <v>8</v>
      </c>
      <c r="K217" s="4" t="s">
        <v>451</v>
      </c>
      <c r="L217" s="4" t="s">
        <v>13</v>
      </c>
      <c r="M217" s="4">
        <v>2022</v>
      </c>
      <c r="N217" s="4">
        <v>1</v>
      </c>
      <c r="O217" s="4">
        <v>1</v>
      </c>
    </row>
    <row r="218" spans="1:15">
      <c r="A218" s="4" t="s">
        <v>487</v>
      </c>
      <c r="B218" s="4" t="s">
        <v>492</v>
      </c>
      <c r="C218" s="9" t="s">
        <v>488</v>
      </c>
      <c r="F218" s="13">
        <v>1</v>
      </c>
      <c r="G218" s="23">
        <v>0</v>
      </c>
      <c r="I218" s="4">
        <v>3</v>
      </c>
      <c r="J218" s="4">
        <v>10</v>
      </c>
      <c r="K218" s="4" t="s">
        <v>451</v>
      </c>
      <c r="L218" s="4" t="s">
        <v>13</v>
      </c>
      <c r="M218" s="4">
        <v>2023</v>
      </c>
      <c r="N218" s="4">
        <v>1</v>
      </c>
      <c r="O218" s="4">
        <v>1</v>
      </c>
    </row>
    <row r="219" spans="1:15">
      <c r="A219" s="4" t="s">
        <v>487</v>
      </c>
      <c r="B219" s="4" t="s">
        <v>493</v>
      </c>
      <c r="C219" s="9" t="s">
        <v>489</v>
      </c>
      <c r="F219" s="13">
        <v>1</v>
      </c>
      <c r="G219" s="23">
        <v>0</v>
      </c>
      <c r="I219" s="4">
        <v>4</v>
      </c>
      <c r="J219" s="4">
        <v>10</v>
      </c>
      <c r="K219" s="4" t="s">
        <v>451</v>
      </c>
      <c r="L219" s="4" t="s">
        <v>13</v>
      </c>
      <c r="M219" s="4">
        <v>2023</v>
      </c>
      <c r="N219" s="4">
        <v>1</v>
      </c>
      <c r="O219" s="4">
        <v>1</v>
      </c>
    </row>
    <row r="220" spans="1:15">
      <c r="A220" s="4" t="s">
        <v>487</v>
      </c>
      <c r="B220" s="4" t="s">
        <v>494</v>
      </c>
      <c r="C220" s="9" t="s">
        <v>490</v>
      </c>
      <c r="F220" s="13">
        <v>1</v>
      </c>
      <c r="G220" s="23">
        <v>1</v>
      </c>
      <c r="I220" s="4">
        <v>5</v>
      </c>
      <c r="J220" s="4">
        <v>10</v>
      </c>
      <c r="K220" s="4" t="s">
        <v>451</v>
      </c>
      <c r="L220" s="4" t="s">
        <v>13</v>
      </c>
      <c r="M220" s="4">
        <v>2023</v>
      </c>
      <c r="N220" s="4">
        <v>1</v>
      </c>
      <c r="O220" s="4">
        <v>1</v>
      </c>
    </row>
    <row r="221" spans="1:15">
      <c r="A221" s="4" t="s">
        <v>487</v>
      </c>
      <c r="B221" s="4" t="s">
        <v>495</v>
      </c>
      <c r="C221" s="9" t="s">
        <v>491</v>
      </c>
      <c r="F221" s="13">
        <v>1</v>
      </c>
      <c r="G221" s="23">
        <v>0</v>
      </c>
      <c r="I221" s="4">
        <v>10</v>
      </c>
      <c r="J221" s="4">
        <v>10</v>
      </c>
      <c r="K221" s="4" t="s">
        <v>451</v>
      </c>
      <c r="L221" s="4" t="s">
        <v>13</v>
      </c>
      <c r="M221" s="4">
        <v>2023</v>
      </c>
      <c r="N221" s="4">
        <v>1</v>
      </c>
      <c r="O221" s="4">
        <v>1</v>
      </c>
    </row>
    <row r="222" spans="1:15">
      <c r="A222" s="4" t="s">
        <v>496</v>
      </c>
      <c r="B222" s="4" t="s">
        <v>506</v>
      </c>
      <c r="C222" s="9" t="s">
        <v>497</v>
      </c>
      <c r="F222" s="13">
        <v>1</v>
      </c>
      <c r="G222" s="23">
        <v>1</v>
      </c>
      <c r="I222" s="4">
        <v>2</v>
      </c>
      <c r="J222" s="4">
        <v>11</v>
      </c>
      <c r="K222" s="4" t="s">
        <v>451</v>
      </c>
      <c r="L222" s="4" t="s">
        <v>13</v>
      </c>
      <c r="M222" s="4">
        <v>2024</v>
      </c>
      <c r="N222" s="4">
        <v>1</v>
      </c>
      <c r="O222" s="4">
        <v>1</v>
      </c>
    </row>
    <row r="223" spans="1:15">
      <c r="A223" s="4" t="s">
        <v>496</v>
      </c>
      <c r="B223" s="4" t="s">
        <v>507</v>
      </c>
      <c r="C223" s="9" t="s">
        <v>498</v>
      </c>
      <c r="F223" s="13">
        <v>1</v>
      </c>
      <c r="G223" s="23">
        <v>1</v>
      </c>
      <c r="I223" s="4">
        <v>3</v>
      </c>
      <c r="J223" s="4">
        <v>11</v>
      </c>
      <c r="K223" s="4" t="s">
        <v>451</v>
      </c>
      <c r="L223" s="4" t="s">
        <v>13</v>
      </c>
      <c r="M223" s="4">
        <v>2024</v>
      </c>
      <c r="N223" s="4">
        <v>1</v>
      </c>
      <c r="O223" s="4">
        <v>1</v>
      </c>
    </row>
    <row r="224" spans="1:15">
      <c r="A224" s="4" t="s">
        <v>496</v>
      </c>
      <c r="B224" s="4" t="s">
        <v>508</v>
      </c>
      <c r="C224" s="9" t="s">
        <v>499</v>
      </c>
      <c r="F224" s="13">
        <v>1</v>
      </c>
      <c r="G224" s="23">
        <v>0</v>
      </c>
      <c r="I224" s="4">
        <v>4</v>
      </c>
      <c r="J224" s="4">
        <v>11</v>
      </c>
      <c r="K224" s="4" t="s">
        <v>451</v>
      </c>
      <c r="L224" s="4" t="s">
        <v>13</v>
      </c>
      <c r="M224" s="4">
        <v>2024</v>
      </c>
      <c r="N224" s="4">
        <v>1</v>
      </c>
      <c r="O224" s="4">
        <v>1</v>
      </c>
    </row>
    <row r="225" spans="1:15">
      <c r="A225" s="4" t="s">
        <v>496</v>
      </c>
      <c r="B225" s="4" t="s">
        <v>509</v>
      </c>
      <c r="C225" s="9" t="s">
        <v>500</v>
      </c>
      <c r="F225" s="13">
        <v>1</v>
      </c>
      <c r="G225" s="23">
        <v>0</v>
      </c>
      <c r="I225" s="4">
        <v>5</v>
      </c>
      <c r="J225" s="4">
        <v>11</v>
      </c>
      <c r="K225" s="4" t="s">
        <v>451</v>
      </c>
      <c r="L225" s="4" t="s">
        <v>13</v>
      </c>
      <c r="M225" s="4">
        <v>2024</v>
      </c>
      <c r="N225" s="4">
        <v>1</v>
      </c>
      <c r="O225" s="4">
        <v>1</v>
      </c>
    </row>
    <row r="226" spans="1:15">
      <c r="A226" s="4" t="s">
        <v>496</v>
      </c>
      <c r="B226" s="4" t="s">
        <v>510</v>
      </c>
      <c r="C226" s="9" t="s">
        <v>501</v>
      </c>
      <c r="F226" s="13">
        <v>1</v>
      </c>
      <c r="G226" s="23">
        <v>1</v>
      </c>
      <c r="I226" s="4">
        <v>6</v>
      </c>
      <c r="J226" s="4">
        <v>11</v>
      </c>
      <c r="K226" s="4" t="s">
        <v>451</v>
      </c>
      <c r="L226" s="4" t="s">
        <v>13</v>
      </c>
      <c r="M226" s="4">
        <v>2024</v>
      </c>
      <c r="N226" s="4">
        <v>1</v>
      </c>
      <c r="O226" s="4">
        <v>1</v>
      </c>
    </row>
    <row r="227" spans="1:15">
      <c r="A227" s="4" t="s">
        <v>496</v>
      </c>
      <c r="B227" s="4" t="s">
        <v>511</v>
      </c>
      <c r="C227" s="9" t="s">
        <v>502</v>
      </c>
      <c r="F227" s="13">
        <v>1</v>
      </c>
      <c r="G227" s="23">
        <v>1</v>
      </c>
      <c r="I227" s="4">
        <v>7</v>
      </c>
      <c r="J227" s="4">
        <v>11</v>
      </c>
      <c r="K227" s="4" t="s">
        <v>451</v>
      </c>
      <c r="L227" s="4" t="s">
        <v>13</v>
      </c>
      <c r="M227" s="4">
        <v>2024</v>
      </c>
      <c r="N227" s="4">
        <v>1</v>
      </c>
      <c r="O227" s="4">
        <v>1</v>
      </c>
    </row>
    <row r="228" spans="1:15">
      <c r="A228" s="4" t="s">
        <v>496</v>
      </c>
      <c r="B228" s="4" t="s">
        <v>512</v>
      </c>
      <c r="C228" s="9" t="s">
        <v>503</v>
      </c>
      <c r="F228" s="13">
        <v>1</v>
      </c>
      <c r="G228" s="23">
        <v>1</v>
      </c>
      <c r="I228" s="4">
        <v>9</v>
      </c>
      <c r="J228" s="4">
        <v>11</v>
      </c>
      <c r="K228" s="4" t="s">
        <v>451</v>
      </c>
      <c r="L228" s="4" t="s">
        <v>13</v>
      </c>
      <c r="M228" s="4">
        <v>2024</v>
      </c>
      <c r="N228" s="4">
        <v>1</v>
      </c>
      <c r="O228" s="4">
        <v>1</v>
      </c>
    </row>
    <row r="229" spans="1:15">
      <c r="A229" s="4" t="s">
        <v>496</v>
      </c>
      <c r="B229" s="4" t="s">
        <v>513</v>
      </c>
      <c r="C229" s="9" t="s">
        <v>504</v>
      </c>
      <c r="F229" s="13">
        <v>1</v>
      </c>
      <c r="G229" s="23">
        <v>1</v>
      </c>
      <c r="I229" s="4">
        <v>10</v>
      </c>
      <c r="J229" s="4">
        <v>11</v>
      </c>
      <c r="K229" s="4" t="s">
        <v>451</v>
      </c>
      <c r="L229" s="4" t="s">
        <v>13</v>
      </c>
      <c r="M229" s="4">
        <v>2024</v>
      </c>
      <c r="N229" s="4">
        <v>1</v>
      </c>
      <c r="O229" s="4">
        <v>1</v>
      </c>
    </row>
    <row r="230" spans="1:15">
      <c r="A230" s="4" t="s">
        <v>496</v>
      </c>
      <c r="B230" s="4" t="s">
        <v>514</v>
      </c>
      <c r="C230" s="9" t="s">
        <v>505</v>
      </c>
      <c r="F230" s="13">
        <v>1</v>
      </c>
      <c r="G230" s="23">
        <v>0</v>
      </c>
      <c r="I230" s="4">
        <v>11</v>
      </c>
      <c r="J230" s="4">
        <v>11</v>
      </c>
      <c r="K230" s="4" t="s">
        <v>451</v>
      </c>
      <c r="L230" s="4" t="s">
        <v>13</v>
      </c>
      <c r="M230" s="4">
        <v>2024</v>
      </c>
      <c r="N230" s="4">
        <v>1</v>
      </c>
      <c r="O230" s="4">
        <v>1</v>
      </c>
    </row>
    <row r="231" spans="1:15">
      <c r="A231" s="4" t="s">
        <v>516</v>
      </c>
      <c r="B231" s="4" t="s">
        <v>515</v>
      </c>
      <c r="C231" s="9" t="s">
        <v>517</v>
      </c>
      <c r="F231" s="13">
        <v>1</v>
      </c>
      <c r="G231" s="23">
        <v>1</v>
      </c>
      <c r="I231" s="4">
        <v>1</v>
      </c>
      <c r="J231" s="4">
        <v>10</v>
      </c>
      <c r="K231" s="4" t="s">
        <v>451</v>
      </c>
      <c r="L231" s="4" t="s">
        <v>13</v>
      </c>
      <c r="M231" s="4">
        <v>2025</v>
      </c>
      <c r="N231" s="4">
        <v>1</v>
      </c>
      <c r="O231" s="4">
        <v>1</v>
      </c>
    </row>
    <row r="232" spans="1:15">
      <c r="A232" s="4" t="s">
        <v>516</v>
      </c>
      <c r="B232" s="4" t="s">
        <v>518</v>
      </c>
      <c r="C232" s="9" t="s">
        <v>519</v>
      </c>
      <c r="F232" s="13">
        <v>1</v>
      </c>
      <c r="G232" s="23">
        <v>1</v>
      </c>
      <c r="I232" s="4">
        <v>2</v>
      </c>
      <c r="J232" s="4">
        <v>10</v>
      </c>
      <c r="K232" s="4" t="s">
        <v>451</v>
      </c>
      <c r="L232" s="4" t="s">
        <v>13</v>
      </c>
      <c r="M232" s="4">
        <v>2025</v>
      </c>
      <c r="N232" s="4">
        <v>1</v>
      </c>
      <c r="O232" s="4">
        <v>1</v>
      </c>
    </row>
    <row r="233" spans="1:15">
      <c r="A233" s="4" t="s">
        <v>516</v>
      </c>
      <c r="B233" s="4" t="s">
        <v>525</v>
      </c>
      <c r="C233" s="9" t="s">
        <v>520</v>
      </c>
      <c r="F233" s="13">
        <v>1</v>
      </c>
      <c r="G233" s="23">
        <v>1</v>
      </c>
      <c r="I233" s="4">
        <v>3</v>
      </c>
      <c r="J233" s="4">
        <v>10</v>
      </c>
      <c r="K233" s="4" t="s">
        <v>451</v>
      </c>
      <c r="L233" s="4" t="s">
        <v>13</v>
      </c>
      <c r="M233" s="4">
        <v>2025</v>
      </c>
      <c r="N233" s="4">
        <v>1</v>
      </c>
      <c r="O233" s="4">
        <v>1</v>
      </c>
    </row>
    <row r="234" spans="1:15">
      <c r="A234" s="4" t="s">
        <v>516</v>
      </c>
      <c r="B234" s="4" t="s">
        <v>526</v>
      </c>
      <c r="C234" s="9" t="s">
        <v>521</v>
      </c>
      <c r="F234" s="13">
        <v>1</v>
      </c>
      <c r="G234" s="23">
        <v>1</v>
      </c>
      <c r="I234" s="4">
        <v>4</v>
      </c>
      <c r="J234" s="4">
        <v>10</v>
      </c>
      <c r="K234" s="4" t="s">
        <v>451</v>
      </c>
      <c r="L234" s="4" t="s">
        <v>13</v>
      </c>
      <c r="M234" s="4">
        <v>2025</v>
      </c>
      <c r="N234" s="4">
        <v>1</v>
      </c>
      <c r="O234" s="4">
        <v>1</v>
      </c>
    </row>
    <row r="235" spans="1:15">
      <c r="A235" s="4" t="s">
        <v>516</v>
      </c>
      <c r="B235" s="4" t="s">
        <v>527</v>
      </c>
      <c r="C235" s="9" t="s">
        <v>522</v>
      </c>
      <c r="F235" s="13">
        <v>1</v>
      </c>
      <c r="G235" s="23">
        <v>0</v>
      </c>
      <c r="I235" s="4">
        <v>5</v>
      </c>
      <c r="J235" s="4">
        <v>10</v>
      </c>
      <c r="K235" s="4" t="s">
        <v>451</v>
      </c>
      <c r="L235" s="4" t="s">
        <v>13</v>
      </c>
      <c r="M235" s="4">
        <v>2025</v>
      </c>
      <c r="N235" s="4">
        <v>1</v>
      </c>
      <c r="O235" s="4">
        <v>1</v>
      </c>
    </row>
    <row r="236" spans="1:15">
      <c r="A236" s="4" t="s">
        <v>516</v>
      </c>
      <c r="B236" s="4" t="s">
        <v>528</v>
      </c>
      <c r="C236" s="9" t="s">
        <v>523</v>
      </c>
      <c r="F236" s="13">
        <v>1</v>
      </c>
      <c r="G236" s="23">
        <v>1</v>
      </c>
      <c r="I236" s="4">
        <v>6</v>
      </c>
      <c r="J236" s="4">
        <v>10</v>
      </c>
      <c r="K236" s="4" t="s">
        <v>451</v>
      </c>
      <c r="L236" s="4" t="s">
        <v>13</v>
      </c>
      <c r="M236" s="4">
        <v>2025</v>
      </c>
      <c r="N236" s="4">
        <v>1</v>
      </c>
      <c r="O236" s="4">
        <v>1</v>
      </c>
    </row>
    <row r="237" spans="1:15">
      <c r="A237" s="4" t="s">
        <v>516</v>
      </c>
      <c r="B237" s="4" t="s">
        <v>529</v>
      </c>
      <c r="C237" s="9" t="s">
        <v>524</v>
      </c>
      <c r="F237" s="13">
        <v>1</v>
      </c>
      <c r="G237" s="23">
        <v>1</v>
      </c>
      <c r="I237" s="4">
        <v>9</v>
      </c>
      <c r="J237" s="4">
        <v>10</v>
      </c>
      <c r="K237" s="4" t="s">
        <v>451</v>
      </c>
      <c r="L237" s="4" t="s">
        <v>13</v>
      </c>
      <c r="M237" s="4">
        <v>2025</v>
      </c>
      <c r="N237" s="4">
        <v>1</v>
      </c>
      <c r="O237" s="4">
        <v>1</v>
      </c>
    </row>
    <row r="238" spans="1:15">
      <c r="A238" s="4" t="s">
        <v>531</v>
      </c>
      <c r="B238" s="4" t="s">
        <v>532</v>
      </c>
      <c r="C238" s="9" t="s">
        <v>533</v>
      </c>
      <c r="F238" s="13">
        <v>1</v>
      </c>
      <c r="G238" s="23">
        <v>1</v>
      </c>
      <c r="I238" s="4">
        <v>2</v>
      </c>
      <c r="J238" s="4">
        <v>4</v>
      </c>
      <c r="K238" s="4" t="s">
        <v>538</v>
      </c>
      <c r="L238" s="4" t="s">
        <v>13</v>
      </c>
      <c r="M238" s="4">
        <v>2021</v>
      </c>
      <c r="N238" s="4">
        <v>1</v>
      </c>
      <c r="O238" s="4">
        <v>1</v>
      </c>
    </row>
    <row r="239" spans="1:15">
      <c r="A239" s="4" t="s">
        <v>531</v>
      </c>
      <c r="B239" s="4" t="s">
        <v>534</v>
      </c>
      <c r="C239" s="9" t="s">
        <v>535</v>
      </c>
      <c r="F239" s="13">
        <v>1</v>
      </c>
      <c r="G239" s="23">
        <v>0</v>
      </c>
      <c r="I239" s="4">
        <v>3</v>
      </c>
      <c r="J239" s="4">
        <v>4</v>
      </c>
      <c r="K239" s="4" t="s">
        <v>538</v>
      </c>
      <c r="L239" s="4" t="s">
        <v>13</v>
      </c>
      <c r="M239" s="4">
        <v>2021</v>
      </c>
      <c r="N239" s="4">
        <v>1</v>
      </c>
      <c r="O239" s="4">
        <v>1</v>
      </c>
    </row>
    <row r="240" spans="1:15">
      <c r="A240" s="4" t="s">
        <v>531</v>
      </c>
      <c r="B240" s="4" t="s">
        <v>536</v>
      </c>
      <c r="C240" s="9" t="s">
        <v>537</v>
      </c>
      <c r="F240" s="13">
        <v>1</v>
      </c>
      <c r="G240" s="23">
        <v>0</v>
      </c>
      <c r="I240" s="4">
        <v>4</v>
      </c>
      <c r="J240" s="4">
        <v>4</v>
      </c>
      <c r="K240" s="4" t="s">
        <v>538</v>
      </c>
      <c r="L240" s="4" t="s">
        <v>13</v>
      </c>
      <c r="M240" s="4">
        <v>2021</v>
      </c>
      <c r="N240" s="4">
        <v>1</v>
      </c>
      <c r="O240" s="4">
        <v>1</v>
      </c>
    </row>
    <row r="241" spans="1:15">
      <c r="A241" s="4" t="s">
        <v>539</v>
      </c>
      <c r="B241" s="4" t="s">
        <v>542</v>
      </c>
      <c r="C241" s="9" t="s">
        <v>540</v>
      </c>
      <c r="F241" s="13">
        <v>1</v>
      </c>
      <c r="G241" s="23">
        <v>0</v>
      </c>
      <c r="I241" s="4">
        <v>5</v>
      </c>
      <c r="J241" s="4">
        <v>7</v>
      </c>
      <c r="K241" s="4" t="s">
        <v>538</v>
      </c>
      <c r="L241" s="4" t="s">
        <v>13</v>
      </c>
      <c r="M241" s="4">
        <v>2022</v>
      </c>
      <c r="N241" s="4">
        <v>1</v>
      </c>
      <c r="O241" s="4">
        <v>1</v>
      </c>
    </row>
    <row r="242" spans="1:15">
      <c r="A242" s="4" t="s">
        <v>539</v>
      </c>
      <c r="B242" s="4" t="s">
        <v>543</v>
      </c>
      <c r="C242" s="24" t="s">
        <v>541</v>
      </c>
      <c r="F242" s="13">
        <v>0</v>
      </c>
      <c r="I242" s="4">
        <v>6</v>
      </c>
      <c r="J242" s="4">
        <v>7</v>
      </c>
      <c r="K242" s="4" t="s">
        <v>538</v>
      </c>
      <c r="L242" s="4" t="s">
        <v>13</v>
      </c>
      <c r="M242" s="4">
        <v>2022</v>
      </c>
      <c r="N242" s="4">
        <v>1</v>
      </c>
      <c r="O242" s="4">
        <v>1</v>
      </c>
    </row>
    <row r="243" spans="1:15">
      <c r="A243" s="4" t="s">
        <v>544</v>
      </c>
      <c r="B243" s="4" t="s">
        <v>548</v>
      </c>
      <c r="C243" s="24" t="s">
        <v>545</v>
      </c>
      <c r="F243" s="13">
        <v>1</v>
      </c>
      <c r="G243" s="23">
        <v>1</v>
      </c>
      <c r="I243" s="4">
        <v>2</v>
      </c>
      <c r="J243" s="4">
        <v>5</v>
      </c>
      <c r="K243" s="4" t="s">
        <v>538</v>
      </c>
      <c r="L243" s="4" t="s">
        <v>13</v>
      </c>
      <c r="M243" s="4">
        <v>2023</v>
      </c>
      <c r="N243" s="4">
        <v>1</v>
      </c>
      <c r="O243" s="4">
        <v>1</v>
      </c>
    </row>
    <row r="244" spans="1:15">
      <c r="A244" s="4" t="s">
        <v>544</v>
      </c>
      <c r="B244" s="4" t="s">
        <v>549</v>
      </c>
      <c r="C244" s="9" t="s">
        <v>546</v>
      </c>
      <c r="F244" s="13">
        <v>1</v>
      </c>
      <c r="G244" s="23">
        <v>0</v>
      </c>
      <c r="I244" s="4">
        <v>3</v>
      </c>
      <c r="J244" s="4">
        <v>5</v>
      </c>
      <c r="K244" s="4" t="s">
        <v>538</v>
      </c>
      <c r="L244" s="4" t="s">
        <v>13</v>
      </c>
      <c r="M244" s="4">
        <v>2023</v>
      </c>
      <c r="N244" s="4">
        <v>1</v>
      </c>
      <c r="O244" s="4">
        <v>1</v>
      </c>
    </row>
    <row r="245" spans="1:15">
      <c r="A245" s="4" t="s">
        <v>544</v>
      </c>
      <c r="B245" s="4" t="s">
        <v>550</v>
      </c>
      <c r="C245" s="9" t="s">
        <v>547</v>
      </c>
      <c r="F245" s="13">
        <v>1</v>
      </c>
      <c r="G245" s="23">
        <v>0</v>
      </c>
      <c r="I245" s="4">
        <v>4</v>
      </c>
      <c r="J245" s="4">
        <v>5</v>
      </c>
      <c r="K245" s="4" t="s">
        <v>538</v>
      </c>
      <c r="L245" s="4" t="s">
        <v>13</v>
      </c>
      <c r="M245" s="4">
        <v>2023</v>
      </c>
      <c r="N245" s="4">
        <v>1</v>
      </c>
      <c r="O245" s="4">
        <v>1</v>
      </c>
    </row>
    <row r="246" spans="1:15">
      <c r="A246" s="4" t="s">
        <v>552</v>
      </c>
      <c r="B246" s="4" t="s">
        <v>551</v>
      </c>
      <c r="C246" s="9" t="s">
        <v>553</v>
      </c>
      <c r="F246" s="13">
        <v>1</v>
      </c>
      <c r="G246" s="23">
        <v>1</v>
      </c>
      <c r="I246" s="4">
        <v>1</v>
      </c>
      <c r="J246" s="4">
        <v>5</v>
      </c>
      <c r="K246" s="4" t="s">
        <v>538</v>
      </c>
      <c r="L246" s="4" t="s">
        <v>13</v>
      </c>
      <c r="M246" s="4">
        <v>2024</v>
      </c>
      <c r="N246" s="4">
        <v>1</v>
      </c>
      <c r="O246" s="4">
        <v>1</v>
      </c>
    </row>
    <row r="247" spans="1:15">
      <c r="A247" s="4" t="s">
        <v>552</v>
      </c>
      <c r="B247" s="4" t="s">
        <v>554</v>
      </c>
      <c r="C247" s="9" t="s">
        <v>555</v>
      </c>
      <c r="F247" s="13">
        <v>1</v>
      </c>
      <c r="G247" s="23">
        <v>1</v>
      </c>
      <c r="I247" s="4">
        <v>2</v>
      </c>
      <c r="J247" s="4">
        <v>5</v>
      </c>
      <c r="K247" s="4" t="s">
        <v>538</v>
      </c>
      <c r="L247" s="4" t="s">
        <v>13</v>
      </c>
      <c r="M247" s="4">
        <v>2024</v>
      </c>
      <c r="N247" s="4">
        <v>1</v>
      </c>
      <c r="O247" s="4">
        <v>1</v>
      </c>
    </row>
    <row r="248" spans="1:15">
      <c r="A248" s="4" t="s">
        <v>552</v>
      </c>
      <c r="B248" s="4" t="s">
        <v>559</v>
      </c>
      <c r="C248" s="9" t="s">
        <v>556</v>
      </c>
      <c r="F248" s="13">
        <v>1</v>
      </c>
      <c r="G248" s="23">
        <v>1</v>
      </c>
      <c r="I248" s="4">
        <v>3</v>
      </c>
      <c r="J248" s="4">
        <v>5</v>
      </c>
      <c r="K248" s="4" t="s">
        <v>538</v>
      </c>
      <c r="L248" s="4" t="s">
        <v>13</v>
      </c>
      <c r="M248" s="4">
        <v>2024</v>
      </c>
      <c r="N248" s="4">
        <v>1</v>
      </c>
      <c r="O248" s="4">
        <v>1</v>
      </c>
    </row>
    <row r="249" spans="1:15">
      <c r="A249" s="4" t="s">
        <v>552</v>
      </c>
      <c r="B249" s="4" t="s">
        <v>560</v>
      </c>
      <c r="C249" s="9" t="s">
        <v>557</v>
      </c>
      <c r="F249" s="13">
        <v>1</v>
      </c>
      <c r="G249" s="23">
        <v>0</v>
      </c>
      <c r="I249" s="4">
        <v>4</v>
      </c>
      <c r="J249" s="4">
        <v>5</v>
      </c>
      <c r="K249" s="4" t="s">
        <v>538</v>
      </c>
      <c r="L249" s="4" t="s">
        <v>13</v>
      </c>
      <c r="M249" s="4">
        <v>2024</v>
      </c>
      <c r="N249" s="4">
        <v>1</v>
      </c>
      <c r="O249" s="4">
        <v>1</v>
      </c>
    </row>
    <row r="250" spans="1:15">
      <c r="A250" s="4" t="s">
        <v>552</v>
      </c>
      <c r="B250" s="4" t="s">
        <v>561</v>
      </c>
      <c r="C250" s="9" t="s">
        <v>558</v>
      </c>
      <c r="F250" s="13">
        <v>1</v>
      </c>
      <c r="G250" s="23">
        <v>0</v>
      </c>
      <c r="I250" s="4">
        <v>5</v>
      </c>
      <c r="J250" s="4">
        <v>5</v>
      </c>
      <c r="K250" s="4" t="s">
        <v>538</v>
      </c>
      <c r="L250" s="4" t="s">
        <v>13</v>
      </c>
      <c r="M250" s="4">
        <v>2024</v>
      </c>
      <c r="N250" s="4">
        <v>1</v>
      </c>
      <c r="O250" s="4">
        <v>1</v>
      </c>
    </row>
    <row r="251" spans="1:15">
      <c r="A251" s="4" t="s">
        <v>563</v>
      </c>
      <c r="B251" s="4" t="s">
        <v>562</v>
      </c>
      <c r="C251" s="9" t="s">
        <v>564</v>
      </c>
      <c r="F251" s="13">
        <v>1</v>
      </c>
      <c r="G251" s="23">
        <v>1</v>
      </c>
      <c r="I251" s="4">
        <v>1</v>
      </c>
      <c r="J251" s="4">
        <v>8</v>
      </c>
      <c r="K251" s="4" t="s">
        <v>538</v>
      </c>
      <c r="L251" s="4" t="s">
        <v>13</v>
      </c>
      <c r="M251" s="4">
        <v>2025</v>
      </c>
      <c r="N251" s="4">
        <v>1</v>
      </c>
      <c r="O251" s="4">
        <v>1</v>
      </c>
    </row>
    <row r="252" spans="1:15">
      <c r="A252" s="4" t="s">
        <v>563</v>
      </c>
      <c r="B252" s="4" t="s">
        <v>565</v>
      </c>
      <c r="C252" s="9" t="s">
        <v>566</v>
      </c>
      <c r="F252" s="13">
        <v>1</v>
      </c>
      <c r="G252" s="23">
        <v>1</v>
      </c>
      <c r="I252" s="4">
        <v>2</v>
      </c>
      <c r="J252" s="4">
        <v>8</v>
      </c>
      <c r="K252" s="4" t="s">
        <v>538</v>
      </c>
      <c r="L252" s="4" t="s">
        <v>13</v>
      </c>
      <c r="M252" s="4">
        <v>2025</v>
      </c>
      <c r="N252" s="4">
        <v>1</v>
      </c>
      <c r="O252" s="4">
        <v>1</v>
      </c>
    </row>
    <row r="253" spans="1:15">
      <c r="A253" s="4" t="s">
        <v>563</v>
      </c>
      <c r="B253" s="4" t="s">
        <v>571</v>
      </c>
      <c r="C253" s="9" t="s">
        <v>567</v>
      </c>
      <c r="F253" s="13">
        <v>1</v>
      </c>
      <c r="G253" s="23">
        <v>1</v>
      </c>
      <c r="I253" s="4">
        <v>3</v>
      </c>
      <c r="J253" s="4">
        <v>8</v>
      </c>
      <c r="K253" s="4" t="s">
        <v>538</v>
      </c>
      <c r="L253" s="4" t="s">
        <v>13</v>
      </c>
      <c r="M253" s="4">
        <v>2025</v>
      </c>
      <c r="N253" s="4">
        <v>1</v>
      </c>
      <c r="O253" s="4">
        <v>1</v>
      </c>
    </row>
    <row r="254" spans="1:15">
      <c r="A254" s="4" t="s">
        <v>563</v>
      </c>
      <c r="B254" s="4" t="s">
        <v>572</v>
      </c>
      <c r="C254" s="9" t="s">
        <v>568</v>
      </c>
      <c r="F254" s="13">
        <v>1</v>
      </c>
      <c r="G254" s="23">
        <v>1</v>
      </c>
      <c r="I254" s="4">
        <v>4</v>
      </c>
      <c r="J254" s="4">
        <v>8</v>
      </c>
      <c r="K254" s="4" t="s">
        <v>538</v>
      </c>
      <c r="L254" s="4" t="s">
        <v>13</v>
      </c>
      <c r="M254" s="4">
        <v>2025</v>
      </c>
      <c r="N254" s="4">
        <v>1</v>
      </c>
      <c r="O254" s="4">
        <v>1</v>
      </c>
    </row>
    <row r="255" spans="1:15">
      <c r="A255" s="4" t="s">
        <v>563</v>
      </c>
      <c r="B255" s="4" t="s">
        <v>573</v>
      </c>
      <c r="C255" s="9" t="s">
        <v>569</v>
      </c>
      <c r="F255" s="13">
        <v>1</v>
      </c>
      <c r="G255" s="23">
        <v>1</v>
      </c>
      <c r="I255" s="4">
        <v>5</v>
      </c>
      <c r="J255" s="4">
        <v>8</v>
      </c>
      <c r="K255" s="4" t="s">
        <v>538</v>
      </c>
      <c r="L255" s="4" t="s">
        <v>13</v>
      </c>
      <c r="M255" s="4">
        <v>2025</v>
      </c>
      <c r="N255" s="4">
        <v>1</v>
      </c>
      <c r="O255" s="4">
        <v>1</v>
      </c>
    </row>
    <row r="256" spans="1:15">
      <c r="A256" s="4" t="s">
        <v>563</v>
      </c>
      <c r="B256" s="4" t="s">
        <v>574</v>
      </c>
      <c r="C256" s="9" t="s">
        <v>570</v>
      </c>
      <c r="F256" s="13">
        <v>1</v>
      </c>
      <c r="G256" s="23">
        <v>0</v>
      </c>
      <c r="I256" s="4">
        <v>6</v>
      </c>
      <c r="J256" s="4">
        <v>8</v>
      </c>
      <c r="K256" s="4" t="s">
        <v>538</v>
      </c>
      <c r="L256" s="4" t="s">
        <v>13</v>
      </c>
      <c r="M256" s="4">
        <v>2025</v>
      </c>
      <c r="N256" s="4">
        <v>1</v>
      </c>
      <c r="O256" s="4">
        <v>1</v>
      </c>
    </row>
    <row r="257" spans="1:15">
      <c r="A257" s="4" t="s">
        <v>575</v>
      </c>
      <c r="B257" s="4" t="s">
        <v>576</v>
      </c>
      <c r="C257" s="10" t="s">
        <v>577</v>
      </c>
      <c r="F257" s="13">
        <v>1</v>
      </c>
      <c r="G257" s="23">
        <v>1</v>
      </c>
      <c r="I257" s="4">
        <v>1</v>
      </c>
      <c r="J257" s="4">
        <v>10</v>
      </c>
      <c r="K257" s="4" t="s">
        <v>584</v>
      </c>
      <c r="L257" s="4" t="s">
        <v>13</v>
      </c>
      <c r="M257" s="4">
        <v>2025</v>
      </c>
      <c r="N257" s="4">
        <v>1</v>
      </c>
      <c r="O257" s="4">
        <v>1</v>
      </c>
    </row>
    <row r="258" spans="1:15">
      <c r="A258" s="4" t="s">
        <v>575</v>
      </c>
      <c r="B258" s="4" t="s">
        <v>578</v>
      </c>
      <c r="C258" s="9" t="s">
        <v>579</v>
      </c>
      <c r="F258" s="13">
        <v>1</v>
      </c>
      <c r="G258" s="23">
        <v>0</v>
      </c>
      <c r="I258" s="4">
        <v>2</v>
      </c>
      <c r="J258" s="4">
        <v>10</v>
      </c>
      <c r="K258" s="4" t="s">
        <v>584</v>
      </c>
      <c r="L258" s="4" t="s">
        <v>13</v>
      </c>
      <c r="M258" s="4">
        <v>2025</v>
      </c>
      <c r="N258" s="4">
        <v>1</v>
      </c>
      <c r="O258" s="4">
        <v>1</v>
      </c>
    </row>
    <row r="259" spans="1:15">
      <c r="A259" s="4" t="s">
        <v>575</v>
      </c>
      <c r="B259" s="4" t="s">
        <v>580</v>
      </c>
      <c r="C259" s="9" t="s">
        <v>581</v>
      </c>
      <c r="F259" s="13">
        <v>1</v>
      </c>
      <c r="G259" s="23">
        <v>1</v>
      </c>
      <c r="I259" s="4">
        <v>4</v>
      </c>
      <c r="J259" s="4">
        <v>10</v>
      </c>
      <c r="K259" s="4" t="s">
        <v>584</v>
      </c>
      <c r="L259" s="4" t="s">
        <v>13</v>
      </c>
      <c r="M259" s="4">
        <v>2025</v>
      </c>
      <c r="N259" s="4">
        <v>1</v>
      </c>
      <c r="O259" s="4">
        <v>1</v>
      </c>
    </row>
    <row r="260" spans="1:15">
      <c r="A260" s="4" t="s">
        <v>575</v>
      </c>
      <c r="B260" s="4" t="s">
        <v>582</v>
      </c>
      <c r="C260" s="9" t="s">
        <v>583</v>
      </c>
      <c r="F260" s="13">
        <v>1</v>
      </c>
      <c r="G260" s="23">
        <v>1</v>
      </c>
      <c r="I260" s="4">
        <v>5</v>
      </c>
      <c r="J260" s="4">
        <v>10</v>
      </c>
      <c r="K260" s="4" t="s">
        <v>584</v>
      </c>
      <c r="L260" s="4" t="s">
        <v>13</v>
      </c>
      <c r="M260" s="4">
        <v>2025</v>
      </c>
      <c r="N260" s="4">
        <v>1</v>
      </c>
      <c r="O260" s="4">
        <v>1</v>
      </c>
    </row>
    <row r="261" spans="1:15">
      <c r="A261" s="4" t="s">
        <v>586</v>
      </c>
      <c r="B261" s="4" t="s">
        <v>585</v>
      </c>
      <c r="C261" s="9" t="s">
        <v>587</v>
      </c>
      <c r="F261" s="13">
        <v>1</v>
      </c>
      <c r="G261" s="23">
        <v>1</v>
      </c>
      <c r="I261" s="4">
        <v>1</v>
      </c>
      <c r="J261" s="4">
        <v>11</v>
      </c>
      <c r="K261" s="4" t="s">
        <v>584</v>
      </c>
      <c r="L261" s="4" t="s">
        <v>13</v>
      </c>
      <c r="M261" s="4">
        <v>2024</v>
      </c>
      <c r="N261" s="4">
        <v>1</v>
      </c>
      <c r="O261" s="4">
        <v>1</v>
      </c>
    </row>
    <row r="262" spans="1:15">
      <c r="A262" s="4" t="s">
        <v>586</v>
      </c>
      <c r="B262" s="4" t="s">
        <v>592</v>
      </c>
      <c r="C262" s="9" t="s">
        <v>579</v>
      </c>
      <c r="F262" s="13">
        <v>1</v>
      </c>
      <c r="G262" s="23">
        <v>0</v>
      </c>
      <c r="I262" s="4">
        <v>2</v>
      </c>
      <c r="J262" s="4">
        <v>11</v>
      </c>
      <c r="K262" s="4" t="s">
        <v>584</v>
      </c>
      <c r="L262" s="4" t="s">
        <v>13</v>
      </c>
      <c r="M262" s="4">
        <v>2024</v>
      </c>
      <c r="N262" s="4">
        <v>1</v>
      </c>
      <c r="O262" s="4">
        <v>1</v>
      </c>
    </row>
    <row r="263" spans="1:15" ht="18">
      <c r="A263" s="4" t="s">
        <v>586</v>
      </c>
      <c r="B263" s="4" t="s">
        <v>593</v>
      </c>
      <c r="C263" s="27" t="s">
        <v>588</v>
      </c>
      <c r="F263" s="13">
        <v>1</v>
      </c>
      <c r="G263" s="23">
        <v>1</v>
      </c>
      <c r="I263" s="4">
        <v>3</v>
      </c>
      <c r="J263" s="4">
        <v>11</v>
      </c>
      <c r="K263" s="4" t="s">
        <v>584</v>
      </c>
      <c r="L263" s="4" t="s">
        <v>13</v>
      </c>
      <c r="M263" s="4">
        <v>2024</v>
      </c>
      <c r="N263" s="4">
        <v>1</v>
      </c>
      <c r="O263" s="4">
        <v>1</v>
      </c>
    </row>
    <row r="264" spans="1:15">
      <c r="A264" s="4" t="s">
        <v>586</v>
      </c>
      <c r="B264" s="4" t="s">
        <v>594</v>
      </c>
      <c r="C264" s="9" t="s">
        <v>589</v>
      </c>
      <c r="F264" s="13">
        <v>1</v>
      </c>
      <c r="G264" s="23">
        <v>1</v>
      </c>
      <c r="I264" s="4">
        <v>4</v>
      </c>
      <c r="J264" s="4">
        <v>11</v>
      </c>
      <c r="K264" s="4" t="s">
        <v>584</v>
      </c>
      <c r="L264" s="4" t="s">
        <v>13</v>
      </c>
      <c r="M264" s="4">
        <v>2024</v>
      </c>
      <c r="N264" s="4">
        <v>1</v>
      </c>
      <c r="O264" s="4">
        <v>1</v>
      </c>
    </row>
    <row r="265" spans="1:15">
      <c r="A265" s="4" t="s">
        <v>586</v>
      </c>
      <c r="B265" s="4" t="s">
        <v>595</v>
      </c>
      <c r="C265" s="9" t="s">
        <v>590</v>
      </c>
      <c r="F265" s="13">
        <v>1</v>
      </c>
      <c r="G265" s="23">
        <v>0</v>
      </c>
      <c r="I265" s="4">
        <v>5</v>
      </c>
      <c r="J265" s="4">
        <v>11</v>
      </c>
      <c r="K265" s="4" t="s">
        <v>584</v>
      </c>
      <c r="L265" s="4" t="s">
        <v>13</v>
      </c>
      <c r="M265" s="4">
        <v>2024</v>
      </c>
      <c r="N265" s="4">
        <v>1</v>
      </c>
      <c r="O265" s="4">
        <v>1</v>
      </c>
    </row>
    <row r="266" spans="1:15">
      <c r="A266" s="4" t="s">
        <v>586</v>
      </c>
      <c r="B266" s="4" t="s">
        <v>596</v>
      </c>
      <c r="C266" s="9" t="s">
        <v>591</v>
      </c>
      <c r="F266" s="13">
        <v>1</v>
      </c>
      <c r="G266" s="23">
        <v>1</v>
      </c>
      <c r="I266" s="4">
        <v>6</v>
      </c>
      <c r="J266" s="4">
        <v>11</v>
      </c>
      <c r="K266" s="4" t="s">
        <v>584</v>
      </c>
      <c r="L266" s="4" t="s">
        <v>13</v>
      </c>
      <c r="M266" s="4">
        <v>2024</v>
      </c>
      <c r="N266" s="4">
        <v>1</v>
      </c>
      <c r="O266" s="4">
        <v>1</v>
      </c>
    </row>
    <row r="267" spans="1:15">
      <c r="A267" s="4" t="s">
        <v>598</v>
      </c>
      <c r="B267" s="4" t="s">
        <v>597</v>
      </c>
      <c r="C267" s="9" t="s">
        <v>599</v>
      </c>
      <c r="F267" s="13">
        <v>1</v>
      </c>
      <c r="G267" s="23">
        <v>0</v>
      </c>
      <c r="I267" s="4">
        <v>1</v>
      </c>
      <c r="J267" s="4">
        <v>13</v>
      </c>
      <c r="K267" s="4" t="s">
        <v>584</v>
      </c>
      <c r="L267" s="4" t="s">
        <v>13</v>
      </c>
      <c r="M267" s="4">
        <v>2023</v>
      </c>
      <c r="N267" s="4">
        <v>1</v>
      </c>
      <c r="O267" s="4">
        <v>1</v>
      </c>
    </row>
    <row r="268" spans="1:15">
      <c r="A268" s="4" t="s">
        <v>598</v>
      </c>
      <c r="B268" s="4" t="s">
        <v>601</v>
      </c>
      <c r="C268" s="9" t="s">
        <v>600</v>
      </c>
      <c r="F268" s="13">
        <v>1</v>
      </c>
      <c r="G268" s="23">
        <v>0</v>
      </c>
      <c r="I268" s="4">
        <v>2</v>
      </c>
      <c r="J268" s="4">
        <v>13</v>
      </c>
      <c r="K268" s="4" t="s">
        <v>584</v>
      </c>
      <c r="L268" s="4" t="s">
        <v>13</v>
      </c>
      <c r="M268" s="4">
        <v>2023</v>
      </c>
      <c r="N268" s="4">
        <v>1</v>
      </c>
      <c r="O268" s="4">
        <v>1</v>
      </c>
    </row>
    <row r="269" spans="1:15">
      <c r="A269" s="4" t="s">
        <v>598</v>
      </c>
      <c r="B269" s="4" t="s">
        <v>606</v>
      </c>
      <c r="C269" s="9" t="s">
        <v>602</v>
      </c>
      <c r="F269" s="13">
        <v>1</v>
      </c>
      <c r="G269" s="23">
        <v>0</v>
      </c>
      <c r="I269" s="4">
        <v>5</v>
      </c>
      <c r="J269" s="4">
        <v>13</v>
      </c>
      <c r="K269" s="4" t="s">
        <v>584</v>
      </c>
      <c r="L269" s="4" t="s">
        <v>13</v>
      </c>
      <c r="M269" s="4">
        <v>2023</v>
      </c>
      <c r="N269" s="4">
        <v>1</v>
      </c>
      <c r="O269" s="4">
        <v>1</v>
      </c>
    </row>
    <row r="270" spans="1:15">
      <c r="A270" s="4" t="s">
        <v>598</v>
      </c>
      <c r="B270" s="4" t="s">
        <v>607</v>
      </c>
      <c r="C270" s="9" t="s">
        <v>603</v>
      </c>
      <c r="F270" s="13">
        <v>1</v>
      </c>
      <c r="G270" s="23">
        <v>1</v>
      </c>
      <c r="I270" s="4">
        <v>6</v>
      </c>
      <c r="J270" s="4">
        <v>13</v>
      </c>
      <c r="K270" s="4" t="s">
        <v>584</v>
      </c>
      <c r="L270" s="4" t="s">
        <v>13</v>
      </c>
      <c r="M270" s="4">
        <v>2023</v>
      </c>
      <c r="N270" s="4">
        <v>1</v>
      </c>
      <c r="O270" s="4">
        <v>1</v>
      </c>
    </row>
    <row r="271" spans="1:15">
      <c r="A271" s="4" t="s">
        <v>598</v>
      </c>
      <c r="B271" s="4" t="s">
        <v>608</v>
      </c>
      <c r="C271" s="9" t="s">
        <v>604</v>
      </c>
      <c r="F271" s="13">
        <v>1</v>
      </c>
      <c r="G271" s="23">
        <v>0</v>
      </c>
      <c r="I271" s="4">
        <v>8</v>
      </c>
      <c r="J271" s="4">
        <v>13</v>
      </c>
      <c r="K271" s="4" t="s">
        <v>584</v>
      </c>
      <c r="L271" s="4" t="s">
        <v>13</v>
      </c>
      <c r="M271" s="4">
        <v>2023</v>
      </c>
      <c r="N271" s="4">
        <v>1</v>
      </c>
      <c r="O271" s="4">
        <v>1</v>
      </c>
    </row>
    <row r="272" spans="1:15">
      <c r="A272" s="4" t="s">
        <v>598</v>
      </c>
      <c r="B272" s="4" t="s">
        <v>609</v>
      </c>
      <c r="C272" s="9" t="s">
        <v>605</v>
      </c>
      <c r="F272" s="13">
        <v>1</v>
      </c>
      <c r="G272" s="23">
        <v>0</v>
      </c>
      <c r="I272" s="4">
        <v>9</v>
      </c>
      <c r="J272" s="4">
        <v>13</v>
      </c>
      <c r="K272" s="4" t="s">
        <v>584</v>
      </c>
      <c r="L272" s="4" t="s">
        <v>13</v>
      </c>
      <c r="M272" s="4">
        <v>2023</v>
      </c>
      <c r="N272" s="4">
        <v>1</v>
      </c>
      <c r="O272" s="4">
        <v>1</v>
      </c>
    </row>
    <row r="273" spans="1:15">
      <c r="A273" s="4" t="s">
        <v>610</v>
      </c>
      <c r="B273" s="4" t="s">
        <v>612</v>
      </c>
      <c r="C273" s="9" t="s">
        <v>611</v>
      </c>
      <c r="F273" s="13">
        <v>1</v>
      </c>
      <c r="G273" s="23">
        <v>0</v>
      </c>
      <c r="I273" s="4">
        <v>2</v>
      </c>
      <c r="J273" s="4">
        <v>7</v>
      </c>
      <c r="K273" s="4" t="s">
        <v>584</v>
      </c>
      <c r="L273" s="4" t="s">
        <v>13</v>
      </c>
      <c r="M273" s="4">
        <v>2022</v>
      </c>
      <c r="N273" s="4">
        <v>1</v>
      </c>
      <c r="O273" s="4">
        <v>1</v>
      </c>
    </row>
    <row r="274" spans="1:15" ht="18">
      <c r="A274" s="4" t="s">
        <v>617</v>
      </c>
      <c r="B274" s="4" t="s">
        <v>615</v>
      </c>
      <c r="C274" s="26" t="s">
        <v>613</v>
      </c>
      <c r="F274" s="13">
        <v>1</v>
      </c>
      <c r="G274" s="23">
        <v>1</v>
      </c>
      <c r="I274" s="4">
        <v>4</v>
      </c>
      <c r="J274" s="4">
        <v>10</v>
      </c>
      <c r="K274" s="4" t="s">
        <v>584</v>
      </c>
      <c r="L274" s="4" t="s">
        <v>13</v>
      </c>
      <c r="M274" s="4">
        <v>2021</v>
      </c>
      <c r="N274" s="4">
        <v>1</v>
      </c>
      <c r="O274" s="4">
        <v>1</v>
      </c>
    </row>
    <row r="275" spans="1:15">
      <c r="A275" s="4" t="s">
        <v>617</v>
      </c>
      <c r="B275" s="4" t="s">
        <v>616</v>
      </c>
      <c r="C275" s="25" t="s">
        <v>614</v>
      </c>
      <c r="F275" s="13">
        <v>1</v>
      </c>
      <c r="G275" s="23">
        <v>0</v>
      </c>
      <c r="I275" s="4">
        <v>6</v>
      </c>
      <c r="J275" s="4">
        <v>10</v>
      </c>
      <c r="K275" s="4" t="s">
        <v>584</v>
      </c>
      <c r="L275" s="4" t="s">
        <v>13</v>
      </c>
      <c r="M275" s="4">
        <v>2021</v>
      </c>
      <c r="N275" s="4">
        <v>1</v>
      </c>
      <c r="O275" s="4">
        <v>1</v>
      </c>
    </row>
    <row r="276" spans="1:15" ht="18">
      <c r="A276" s="4" t="s">
        <v>618</v>
      </c>
      <c r="B276" s="4" t="s">
        <v>622</v>
      </c>
      <c r="C276" s="26" t="s">
        <v>619</v>
      </c>
      <c r="F276" s="13">
        <v>1</v>
      </c>
      <c r="G276" s="23">
        <v>0</v>
      </c>
      <c r="I276" s="4">
        <v>8</v>
      </c>
      <c r="J276" s="4">
        <v>17</v>
      </c>
      <c r="K276" s="4" t="s">
        <v>584</v>
      </c>
      <c r="L276" s="4" t="s">
        <v>13</v>
      </c>
      <c r="M276" s="4">
        <v>2019</v>
      </c>
      <c r="N276" s="4">
        <v>1</v>
      </c>
      <c r="O276" s="4">
        <v>1</v>
      </c>
    </row>
    <row r="277" spans="1:15" ht="18">
      <c r="A277" s="4" t="s">
        <v>618</v>
      </c>
      <c r="B277" s="4" t="s">
        <v>623</v>
      </c>
      <c r="C277" s="26" t="s">
        <v>620</v>
      </c>
      <c r="F277" s="13">
        <v>1</v>
      </c>
      <c r="G277" s="23">
        <v>0</v>
      </c>
      <c r="I277" s="4">
        <v>14</v>
      </c>
      <c r="J277" s="4">
        <v>17</v>
      </c>
      <c r="K277" s="4" t="s">
        <v>584</v>
      </c>
      <c r="L277" s="4" t="s">
        <v>13</v>
      </c>
      <c r="M277" s="4">
        <v>2019</v>
      </c>
      <c r="N277" s="4">
        <v>1</v>
      </c>
      <c r="O277" s="4">
        <v>1</v>
      </c>
    </row>
    <row r="278" spans="1:15" ht="18">
      <c r="A278" s="4" t="s">
        <v>618</v>
      </c>
      <c r="B278" s="4" t="s">
        <v>624</v>
      </c>
      <c r="C278" s="26" t="s">
        <v>621</v>
      </c>
      <c r="F278" s="13">
        <v>1</v>
      </c>
      <c r="G278" s="23">
        <v>0</v>
      </c>
      <c r="I278" s="4">
        <v>15</v>
      </c>
      <c r="J278" s="4">
        <v>17</v>
      </c>
      <c r="K278" s="4" t="s">
        <v>584</v>
      </c>
      <c r="L278" s="4" t="s">
        <v>13</v>
      </c>
      <c r="M278" s="4">
        <v>2019</v>
      </c>
      <c r="N278" s="4">
        <v>1</v>
      </c>
      <c r="O278" s="4">
        <v>1</v>
      </c>
    </row>
  </sheetData>
  <phoneticPr fontId="11"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F28"/>
  <sheetViews>
    <sheetView topLeftCell="A3" zoomScale="120" zoomScaleNormal="120" workbookViewId="0">
      <selection activeCell="H19" sqref="H19"/>
    </sheetView>
  </sheetViews>
  <sheetFormatPr baseColWidth="10" defaultRowHeight="16"/>
  <cols>
    <col min="2" max="2" width="0" hidden="1" customWidth="1"/>
  </cols>
  <sheetData>
    <row r="1" spans="1:4">
      <c r="A1" s="1" t="s">
        <v>270</v>
      </c>
    </row>
    <row r="2" spans="1:4">
      <c r="A2" s="15" t="s">
        <v>387</v>
      </c>
    </row>
    <row r="3" spans="1:4">
      <c r="A3" s="1" t="s">
        <v>271</v>
      </c>
      <c r="B3" s="1" t="s">
        <v>272</v>
      </c>
      <c r="C3" s="1" t="s">
        <v>273</v>
      </c>
      <c r="D3" s="1" t="s">
        <v>274</v>
      </c>
    </row>
    <row r="4" spans="1:4">
      <c r="A4">
        <v>82</v>
      </c>
      <c r="B4">
        <v>0</v>
      </c>
      <c r="C4">
        <v>120</v>
      </c>
      <c r="D4">
        <v>202</v>
      </c>
    </row>
    <row r="6" spans="1:4">
      <c r="A6" s="15" t="s">
        <v>392</v>
      </c>
    </row>
    <row r="7" spans="1:4">
      <c r="A7" s="1" t="s">
        <v>271</v>
      </c>
      <c r="B7" s="1" t="s">
        <v>272</v>
      </c>
      <c r="C7" s="1" t="s">
        <v>273</v>
      </c>
      <c r="D7" s="1" t="s">
        <v>274</v>
      </c>
    </row>
    <row r="8" spans="1:4">
      <c r="A8">
        <f>COUNTIF(Sheet1!D:D,"0")</f>
        <v>36</v>
      </c>
      <c r="B8">
        <f>COUNTIF(Sheet1!D:D," ")</f>
        <v>0</v>
      </c>
      <c r="C8">
        <f>COUNTIF(Sheet1!D:D,"1")</f>
        <v>173</v>
      </c>
      <c r="D8">
        <f>SUM(A8:C8)</f>
        <v>209</v>
      </c>
    </row>
    <row r="10" spans="1:4">
      <c r="A10" s="17" t="s">
        <v>396</v>
      </c>
    </row>
    <row r="11" spans="1:4">
      <c r="A11" s="1">
        <v>0</v>
      </c>
      <c r="C11" s="1">
        <v>1</v>
      </c>
    </row>
    <row r="12" spans="1:4">
      <c r="A12">
        <f>COUNTIF(Sheet1!D:D,"0")</f>
        <v>36</v>
      </c>
      <c r="C12">
        <f>COUNTIF(Sheet1!D:D,"1")</f>
        <v>173</v>
      </c>
    </row>
    <row r="14" spans="1:4">
      <c r="C14" s="1" t="s">
        <v>398</v>
      </c>
    </row>
    <row r="15" spans="1:4">
      <c r="C15" s="16">
        <f>COUNTIF(Sheet1!E:E,"Low")</f>
        <v>60</v>
      </c>
    </row>
    <row r="16" spans="1:4">
      <c r="C16" s="1" t="s">
        <v>399</v>
      </c>
    </row>
    <row r="17" spans="1:6">
      <c r="C17" s="16">
        <f>COUNTIF(Sheet1!E:E,"Medium")</f>
        <v>89</v>
      </c>
    </row>
    <row r="18" spans="1:6">
      <c r="C18" s="1" t="s">
        <v>395</v>
      </c>
    </row>
    <row r="19" spans="1:6">
      <c r="C19" s="16">
        <f>COUNTIF(Sheet1!E:E,"High")</f>
        <v>23</v>
      </c>
    </row>
    <row r="21" spans="1:6">
      <c r="A21" s="18" t="s">
        <v>408</v>
      </c>
      <c r="C21" s="19"/>
    </row>
    <row r="22" spans="1:6">
      <c r="A22">
        <v>0</v>
      </c>
      <c r="C22" t="s">
        <v>410</v>
      </c>
      <c r="F22">
        <f>COUNTIF(Sheet1!H:H,"0")</f>
        <v>0</v>
      </c>
    </row>
    <row r="23" spans="1:6">
      <c r="A23">
        <v>1</v>
      </c>
      <c r="C23" t="s">
        <v>409</v>
      </c>
      <c r="F23">
        <f>COUNTIF(Sheet1!H:H,"1")</f>
        <v>116</v>
      </c>
    </row>
    <row r="24" spans="1:6">
      <c r="A24">
        <v>2</v>
      </c>
      <c r="C24" t="s">
        <v>411</v>
      </c>
      <c r="F24">
        <f>COUNTIF(Sheet1!H:H,"2")</f>
        <v>69</v>
      </c>
    </row>
    <row r="26" spans="1:6">
      <c r="A26" s="18" t="s">
        <v>530</v>
      </c>
      <c r="B26" s="19"/>
      <c r="C26" s="19"/>
      <c r="D26" s="19"/>
    </row>
    <row r="27" spans="1:6">
      <c r="A27">
        <v>0</v>
      </c>
      <c r="C27" t="s">
        <v>409</v>
      </c>
      <c r="F27">
        <f>COUNTIF(Sheet1!G:G,"0")</f>
        <v>175</v>
      </c>
    </row>
    <row r="28" spans="1:6">
      <c r="A28">
        <v>1</v>
      </c>
      <c r="C28" t="s">
        <v>411</v>
      </c>
      <c r="F28">
        <f>COUNTIF(Sheet1!G:G,"1")</f>
        <v>101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2026-04-12T00:46:33Z</dcterms:modified>
</cp:coreProperties>
</file>