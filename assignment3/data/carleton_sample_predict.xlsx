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2"/>
  <workbookPr defaultThemeVersion="202300"/>
  <mc:AlternateContent xmlns:mc="http://schemas.openxmlformats.org/markup-compatibility/2006">
    <mc:Choice Requires="x15">
      <x15ac:absPath xmlns:x15ac="http://schemas.microsoft.com/office/spreadsheetml/2010/11/ac" url="/Users/saramurphy/Documents/GitHub/text-analysis-public-university-llm/assignment3/data/"/>
    </mc:Choice>
  </mc:AlternateContent>
  <xr:revisionPtr revIDLastSave="0" documentId="13_ncr:1_{1B6AAAD3-7D0B-A844-A838-356729A1F24B}" xr6:coauthVersionLast="47" xr6:coauthVersionMax="47" xr10:uidLastSave="{00000000-0000-0000-0000-000000000000}"/>
  <bookViews>
    <workbookView xWindow="5140" yWindow="1140" windowWidth="30160" windowHeight="19660" xr2:uid="{FB597964-1960-7349-B80F-395C3D8D9DDC}"/>
  </bookViews>
  <sheets>
    <sheet name="Sheet1" sheetId="1" r:id="rId1"/>
    <sheet name="Sheet2" sheetId="3"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8" i="3" l="1"/>
  <c r="F27" i="3"/>
  <c r="F24" i="3" l="1"/>
  <c r="F23" i="3"/>
  <c r="F22" i="3"/>
  <c r="C19" i="3"/>
  <c r="C17" i="3"/>
  <c r="C15" i="3"/>
  <c r="C12" i="3"/>
  <c r="A12" i="3"/>
  <c r="C8" i="3"/>
  <c r="B8" i="3"/>
  <c r="A8" i="3"/>
  <c r="D8" i="3" l="1"/>
</calcChain>
</file>

<file path=xl/sharedStrings.xml><?xml version="1.0" encoding="utf-8"?>
<sst xmlns="http://schemas.openxmlformats.org/spreadsheetml/2006/main" count="215" uniqueCount="113">
  <si>
    <t>document</t>
  </si>
  <si>
    <t>ID</t>
  </si>
  <si>
    <t>text</t>
  </si>
  <si>
    <t>university</t>
  </si>
  <si>
    <t>year</t>
  </si>
  <si>
    <t>order</t>
  </si>
  <si>
    <t>total para</t>
  </si>
  <si>
    <t>province</t>
  </si>
  <si>
    <t>ON</t>
  </si>
  <si>
    <t>treatment group</t>
  </si>
  <si>
    <t>treatment period</t>
  </si>
  <si>
    <t>pres_external</t>
  </si>
  <si>
    <t>pres_exp</t>
  </si>
  <si>
    <t>prov_external</t>
  </si>
  <si>
    <t>prov_exp</t>
  </si>
  <si>
    <t>pres_new</t>
  </si>
  <si>
    <t>prov_new</t>
  </si>
  <si>
    <t>TOTALS</t>
  </si>
  <si>
    <t>LOW</t>
  </si>
  <si>
    <t>MEDIUM</t>
  </si>
  <si>
    <t>HIGH</t>
  </si>
  <si>
    <t>TOTAL</t>
  </si>
  <si>
    <t>PART 1</t>
  </si>
  <si>
    <t>PART 2 NEW</t>
  </si>
  <si>
    <t>class_binary</t>
  </si>
  <si>
    <t>class_intensity</t>
  </si>
  <si>
    <t>High</t>
  </si>
  <si>
    <t>PART 3</t>
  </si>
  <si>
    <t>Low</t>
  </si>
  <si>
    <t xml:space="preserve">Low </t>
  </si>
  <si>
    <t>Medium</t>
  </si>
  <si>
    <t>class_rd</t>
  </si>
  <si>
    <t>Class Resource Dependence</t>
  </si>
  <si>
    <t>low resource dependence attitude</t>
  </si>
  <si>
    <t>no resource dependence content</t>
  </si>
  <si>
    <t>high resource dependene attitude</t>
  </si>
  <si>
    <t>class</t>
  </si>
  <si>
    <t>class_2</t>
  </si>
  <si>
    <t>carleton_2019</t>
  </si>
  <si>
    <t>Carleton University</t>
  </si>
  <si>
    <t>carleton_2019_2</t>
  </si>
  <si>
    <t>There has been a lot of change and transition in the 2018-2019 academic year with the arrival of
our new President, confirmation of new deans and department heads, and our Provost and Vice-
President (Academic). The university’s $300-million capital campaign also came to a successful
conclusion. Externally, a new provincial government was installed at Queen’s Park, which is
expected to impact regulations and funding models.</t>
  </si>
  <si>
    <t>carleton_2019_5</t>
  </si>
  <si>
    <t>The SMA2 gathers information on system-wide and institutional initiatives grouped under the broad
themes of: a) student experience, b) innovation in teaching and learning excellence, c) access and
equity, d) research excellence and impact, and e) innovation, economic development, and
community engagement. The previous government had indicated that performance metrics could
have a financial impact in SMA3, starting in 2021, currently representing up to 8% of total provincial
grant funding for Carleton.</t>
  </si>
  <si>
    <t>carleton_2019_7</t>
  </si>
  <si>
    <t>Although Carleton is presently in good financial health, maintaining a balanced
operating budget within the new provincial funding model will become increasingly challenging.</t>
  </si>
  <si>
    <t>carleton_2020</t>
  </si>
  <si>
    <t>carleton_2020_4</t>
  </si>
  <si>
    <t>In parallel, during the Fall of 2019, Carleton began the process of negotiating a renewed Strategic
Mandate Agreement (SMA3) with the Ministry of Colleges and Universities (MCU) of Ontario. SMA3
is aligned with the MCU’s funding model reform and introduces a performance/outcomes-based
grant in a differentiation funding envelope. While the document is essentially finalized, it has
indeterminately been put on hold by the Province due to the current public health crisis. It is now
doubtful that it will come into play for 2020-21.</t>
  </si>
  <si>
    <t>carleton_2020_5</t>
  </si>
  <si>
    <t>Although Carleton is presently in good financial health, maintaining a balanced operating budget
under the new provincial funding model, when it becomes operational, could become increasingly
challenging. The following sections of this report describe the actions taken to support continued
growth and further success at Carleton while continuing to maintain financial sustainability.</t>
  </si>
  <si>
    <t>carleton_2021</t>
  </si>
  <si>
    <t>carleton_2021_2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</si>
  <si>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2021-22 are based on a modest decline in first-year undergraduate student intake for the coming year, a fixed annual operating grant for the foreseeable future and compulsory cost increases that exceed annual revenue growth projections caused primarily by increases in compensation-related expenses.</t>
  </si>
  <si>
    <t>carleton_2021_4</t>
  </si>
  <si>
    <t>Carleton’s operating budget projects total revenue and expenses of $514.9 million for fiscal year 2021-22. This represents an increase of $12.5 million from the $502.4 million 2020-21 budget. The change is mainly attributable to international tuition fee increases ranging from 0% to 8% and flow-through of undergraduate international students. Domestic tuition fees for 2021-22 are planned to remain fixed at the 2019-20 level. These fees were reduced by 10% from those in 2018-19. The provincial government has yet to release an updated Tuition Fee Framework for post-secondary education institutions in Ontario.</t>
  </si>
  <si>
    <t>carleton_2021_6</t>
  </si>
  <si>
    <t>As the university works toward achieving these goals, we continue to emphasize and support initiatives that promise to increase and diversify external revenue sources and those that work to identify cost containment opportunities in the long term.</t>
  </si>
  <si>
    <t>carleton_2021_7</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</si>
  <si>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 have been encouraged to use existing carry forward funds to support initiatives aimed at addressing our budget priorities. The aim to draw on unit-level reserves was reinforced through conservative budget allocations in 2021-22. This has resulted in a total of $8.6 million in base funding invested through new faculty positions ($0.1 million toward a new librarian position, $1.7 million in replacement positions, and $0.8 million in benefit costs), new continuing professional staff positions ($1.5 million), improvements to Carleton’s IT infrastructure ($1.9 million), additional student support ($1.5 million), inflationary costs ($0.9 million) and other strategic initiatives ($0.2 million). As part of Carleton’s financial risk mitigation strategy, a one-time $6.8 million “strategic set aside” has been recommended for investment in future initiatives and to address unexpected income shortfall over the planning horizon.</t>
  </si>
  <si>
    <t>carleton_2022</t>
  </si>
  <si>
    <t>carleton_2022_1</t>
  </si>
  <si>
    <t>Carleton's 2022-2023 operating budget supports the uhinversity's plans for the coming year and recommends the resource allocations required to execute those plans. It also reflects the university's alignment of its strategic planning, risk assessments and annual planning activities. The primary goal of this budget, as determined by the Strategic Integrated Planning Committee, is to advance the three directions of our Stategic Integrated Plan: Share Knowledge, Shape the Future, Serve Ottawa, Serve the World; and Strive for Wellness, Strive for Sustainability. As the university works toward achieving these goals, we continue to emphasize and support initiatives that promise to increase and diversity external revenue sources and those that work to identify cost containment opportunities in the long term.</t>
  </si>
  <si>
    <t>carleton_2022_2</t>
  </si>
  <si>
    <t>We have identified a number of challenges as we strive to achieve our strategic goals while maintaining a balanced budget. These include the anticipation of a continued freeze on domestic tuition, a fixed operating grant, requirements for improvements in technology and It security, a large deferred maintenance obligation, financial pressure created by annual compensation increases and changes in recruitment and enrolment strategies among Ontario post-secondary institutions. budget assumptions for 2022-23 are based on flat first-year undergraduate student and domestic graduate student intake for the coming year, a fixed annual operating grant for the forseeable future and compulsory cost increases that exceed annual revenue growth projections caused primarily by increases in compensation-related expensesand inflation.</t>
  </si>
  <si>
    <t>Carleton's operating budget projects total revenue and expenses of $521 million for fiscal year 2022-23. This represents an increase of $6million from the $515 million 2021-22 budget. The change is mainly attributable to internatinoal tuition fee increases and flow-through of undergraduate students. Domestic 2022-23 tuition fees for Ontario residents will remain fixed at the 2019-20 level. These fees were reduced by 10% from those in 2018-19. the provincial government has permitted domestic tuition fees for out-of-province students to increase by 3% in 2021-22 and 5% in 2022-23.</t>
  </si>
  <si>
    <t>In consideration of the revenue constraints posed by the enrolment mix and projections (a cautious scenario representing a 3% decline in first-year undergraduate intake from 2020-21 levels), the current tuition fee framework, Strategic Mandate Agreement and increasing base expenditures, Resource Planning Committees (RPCs) have been encouraged to use existing carry forward funds to support initiatives aimed at addressing our budget priorities. The aim to draw on unit-level reserves was reinforced through conservative budget allocations in 2022-23. This has resulted in a total of $1.5 million in base funding invested into RPcs through new faculty positions ($0.4 million), new professional staff positions ($0.5 million), faculty allocations via the Enrolment-Linked Budget Allocation (ELBA) model ($0.5 million), and straegic and operational initiatives ($0.1 million)</t>
  </si>
  <si>
    <t>carleton_2022_5</t>
  </si>
  <si>
    <t>carleton_2022_7</t>
  </si>
  <si>
    <t>carleton_2023</t>
  </si>
  <si>
    <t>The post-secondary education sector in Ontario currently faces a number of challenges as we collectively strive to achieve our strategic goals while maintaining balanced operating budgets. Presenting balanced operating budgets have become increasingly difficult due to factors such as a continued freeze on domestic tuition for Ontario resident students, a fixed operating grant, material deferred maintenance liabilities, annual compensation increases and changes in recruitment and enrolment patterns. Despite these challenges, we are able to present a balanced operating budget for 2023-24.</t>
  </si>
  <si>
    <t>Despite significant impact posed by the COVID-19 pandemic, including international student visa processing delays experienced in 2022-23, we remain confident that a return to in-person recruitment, our reputational enhancement efforts, combined with signals that international student visa processing issues have been resolved, will bring modest growth in enrolment and associated tuition revenue for 2023-24. This is driven by a planned gradual increase in domestic undergraduate and international graduate student intake along with a partial bounce-back in international undergraduate intake.</t>
  </si>
  <si>
    <t>The impact of a continued domestic tuition fee freeze presents challenges to the university and each of its Resource Planning Committees (RPCs). Adjustments to RPC budgets will include some combination of changes to faculty and staff hiring plans, deferral of capital projects, and fewer investments in service improvements and new initiatives.</t>
  </si>
  <si>
    <t>Though Carleton is presently in good financial health, critical environmental factors continue to place pressure on maintaining a balanced budget. This budget represents investments geared toward accomplishing our goals while also ensuring we continue to maintain financial sustainability.</t>
  </si>
  <si>
    <t>carleton_2023_3</t>
  </si>
  <si>
    <t>carleton_2023_4</t>
  </si>
  <si>
    <t>carleton_2023_5</t>
  </si>
  <si>
    <t>carleton_2023_10</t>
  </si>
  <si>
    <t>carleton_2024</t>
  </si>
  <si>
    <t>The post-secondary education sector in Ontario faces numerous challenges as we collectively strive to achieve our goals while maintaining balanced operating budgets. The Council of Ontario Universities has stated: “At least 10 of the province’s 23 publicly assisted universities are now projecting budget deficits [in 2023-24] totaling $175 million, with that number expected to rise to $273 million in 2024-25.”1 This estimate was provided before the repeal of Bill 124, which will have the effect of materially increasing the projected sector-wide budget deficit. These deficits are driven by acute regulatory and policy changes on the part of government which are beyond the control of universities.</t>
  </si>
  <si>
    <t>Unfortunately, the provincial government has decided again to extend the freeze of domestic tuition for Ontario residents. The Ministry recently clarified that this freeze will extend into the next three fiscal years, or through to 2026-27. The impact of the 10% tuition fee cut in 2019-20 and subsequent freeze, up to and including 2023-24, totals an estimated $190 million in cumulative lost tuition revenue for Carleton. This also translates to a reduction in annual lost tuition revenue of approximately $55 million in 2024-25 and onward when compared to the framework in place before 2019-20.</t>
  </si>
  <si>
    <t>Additionally, the sector remains in a corridor model with respect to its operating grant from the Ministry of Colleges and Universities, meaning little opportunity exists for Ministry-provided operating grants to grow with enrolment. In March 2024, however, Carleton received a one-time grant of $7.2 million from the provincial government for unfunded growth in the STEM disciplines, along with an increase of 3%/2%/2% in the operating grant for 2024-25, 2025-26, and 2026-27, respectively. It is not clear whether these increases will become permanent or will be limited only to a three-year term.</t>
  </si>
  <si>
    <t>Prior to the pandemic, enrolment had been steadily and consistently increasing year over year for more than a decade, driven by growth in intake at both the undergraduate and graduate levels. In the fall of 2020, Carleton experienced a decline in new domestic first-year students, followed by a few consecutive years of decline in new first-year international students starting in 2021. The Fall 2023 term intake of new students saw the new domestic first-year student cohort at 87% of the peak intake year (2017), and the new international first-year student cohort stood at 61% of the comparable peak year for that cohort (2018). Successive years of declines have, and will continue, to flow through enrolment levels, affecting tuition revenue. Fortunately, the provincial grant has not been at risk during this period as we have been at or above the funded midpoint in the corridor model.</t>
  </si>
  <si>
    <t>For intake assumptions in 2024-25, we are pleased to see increases in domestic student interest but are also mindful of the financial situation of Ontario universities in general which will precipitate greater competition for domestic students. We have projected modest increases in domestic intake, therefore, both at the undergraduate and graduate levels. Given current geopolitical events coupled with new government regulations and process changes, we anticipate challenges with new international student cohort sizes. We have seen declines in application numbers at both the undergraduate and graduate levels. Caps on international student numbers exempt graduate students and given that demand is growing in some programs geared to international graduate students, we anticipate that the impact won’t be as significant at the graduate level as at the undergraduate level, although we are seeing declines in international graduate student applications at both levels. At the undergraduate level, while all efforts are being made to mitigate losses, the concern for 2024-25 is particularly acute as confusion and delays in processing visas may have significant implications.</t>
  </si>
  <si>
    <t>The University’s single largest operating expenditure is salary and benefits, representing approximately 76% of operating budget spend. As a result, the repeal of Bill 124 is projected to have a material financial impact on the University. Many peer institutions have finalized their approach to addressing the wage issues for faculty and staff post-Bill 124 and a process is now underway at Carleton to settle this issue.</t>
  </si>
  <si>
    <t>For 2023-24, based on our financial outlook at that time, the University mandated a 2% across-the-board cut for all resource planning committees (RPCs). In response to the increasing financial pressure facing the University, driven by mainly exogenous factors, a mandated 3% across-the-board cut was communicated as part of the 2024-25 operating budget process. This decision will level a differential impact on each RPC, depending on program mix and RPC revenue sources. Adjustments to RPC plans will differ based on local priorities but will include some combination of changes to faculty and staff hiring plans, deferral of capital projects, and fewer investments in service improvements and new initiatives.</t>
  </si>
  <si>
    <t>The result is a budgeted operating deficit of $26 million for 2024-25. The long-range financial outlook projects that 6% in annual RPC base budget cuts may be required between now and 2028-29 to balance the University’s operating budget should no new opportunities for revenue growth present themselves.</t>
  </si>
  <si>
    <t>Structural financial stability may come, however, not only through prudent spending and base budget cuts, but also through focused efforts to increase our revenues. Opportunities exist in the mid-term to see: (a) our new programs reach steady state; (b) a full bounce back in international enrolment; (c) the MEng Practice program bringing additional targeted international enrolment; (d) increases in domestic enrolments; and (e) MCU operating grant increases potentially set as permanent, or base, increases. Should these programmatic and regulatory changes be realized by 2028-29, they would have the effect of substantially reducing the projected $80 million base budget deficit.</t>
  </si>
  <si>
    <t>carleton_2024_2</t>
  </si>
  <si>
    <t>carleton_2024_3</t>
  </si>
  <si>
    <t>carleton_2024_4</t>
  </si>
  <si>
    <t>carleton_2024_5</t>
  </si>
  <si>
    <t>carleton_2024_6</t>
  </si>
  <si>
    <t>carleton_2024_7</t>
  </si>
  <si>
    <t>carleton_2024_9</t>
  </si>
  <si>
    <t>carleton_2024_10</t>
  </si>
  <si>
    <t>carleton_2024_11</t>
  </si>
  <si>
    <t>carleton_2025_1</t>
  </si>
  <si>
    <t>carleton_2025</t>
  </si>
  <si>
    <t>Carleton’s 2025-26 operating budget signals a year of financial instability. Since the Ontario government introduced a corridor model for distributing the operating grant in 2017, events such as the 10% domestic tuition fee cut in 2019-20 and subsequent ongoing freeze, the repeal of Bill 124, diplomatic tensions, and policy changes on international student visas imposed by Immigration, Refugees and Citizenship Canada have had a cumulative and deleterious impact on Carleton’s financial position. From a $44 million base operating budget surplus presented in 2018-19, the University now presents a $32 million base operating budget deficit for 2025-26.</t>
  </si>
  <si>
    <t>carleton_2025_2</t>
  </si>
  <si>
    <t>When assessing the financial health of the institution, the leadership team focuses its long-range financial planning on its base budget projection, which communicates the structural financial position of the institution. In 2024-25, the University budgeted a base operating deficit of $32 million, with term-limited investment income improving the fiscal result to a $26 million reported deficit. The base operating deficit is projected to remain flat in 2025-26, despite cutting $24 million in base expenditure budget for the coming year. This result highlights the current plight of Ontario universities: a sector marked by slow and constrained capacity to change coping with a rapidly evolving and unpredictable external environment. During 2024-25, the two most significant structural changes impacting Carleton University’s finances are the decline in international student intake and the retroactive application of Bill 124 salary adjustments. These events have a material flowthrough effect in 2025-26 and onward.</t>
  </si>
  <si>
    <t>The University had planned for a 25% and 10% reduction in undergraduate and graduate international students, respectively, in 2024-25 due to the impairment of Canada’s brand as a destination for international education, along with the operational losses incurred because of a delayed introduction of Provincial Attestation Letter requirements. Actual international intake in 2024-25, however, was materially lower in undergraduate and graduate students than in 2023-24. Early application data lead us to anticipate this trend will continue into 2025-26 with a projected additional 50% international undergraduate student decline and 10% international graduate student decline against 2024-25 levels. These declines continue an international student enrolment trend that began several years ago. In 2024-25, the University registered a 72% drop in international undergraduate student intake since our peak of more than 800 students in the fall of 2018. Compared to fall 2020, our undergraduate international intake has dropped 70%. Based on current projections, we are expecting as of Fall 2025 to have dropped by 86% from the peak in 2018.</t>
  </si>
  <si>
    <t>The repeal of Bill 124 also had a material financial impact on the University both in terms of retroactive salary payments and ongoing salary commitments. Salaries and benefits are the University’s largest operating expenditure, representing over 75% of operating budget expenditures. The Bill 124 salary adjustment, coupled with collective agreement-driven increases, exacerbate the structural budget challenges the University faces as increases in salaries continue to outpace revenue growth. Other financial pressures include the continued expansion of deferred maintenance obligations and an aging Enterprise Resource Planning system.</t>
  </si>
  <si>
    <t>A positive financial outcome for the University, however, occurred through an announcement made recently by the Ministry of Colleges, Universities, Research Excellence and Security (MCURES). On March 24, 2025, the Ministry announced an annual investment of $150M beginning in 2025-26 to support the continued delivery and enhancement of science, technology, engineering and mathematics (STEM) programming at Ontario’s colleges and universities. The allocation rewards institutions where enrolment has increased above the level funded in Strategic Mandate Agreement 3 (SMA3), while also providing support to all institutions that provide STEM programming in the province to help them retain existing STEM enrolments. For Carleton, this will result in $7.8 million in additional, ongoing provincial funding. Additionally, Postsecondary Education Sustainability Fund top-up monies are being allocated to institutions based on their updated financial health risk ratings. Carleton has received a medium risk rating, which will result in a one-time 3.5% increase to our operating funding, or $5.9 million.</t>
  </si>
  <si>
    <t>As revenues decrease and salary costs increase, the University has undertaken a spending reduction campaign across all Resource Planning Committees. The University has reduced its base spending by $30 million through introduction of a Voluntary Retirement Incentive Program (VRIP), reducing general and administrative spending, and making changes to class sizes and offerings. The University is reviewing the impact of staff reductions in areas where mission critical services are located and will make hiring decisions as needed. Inevitably, these budget reductions will impact service levels.</t>
  </si>
  <si>
    <t>Despite these significant efforts, the long-range financial outlook is clear: more organizational restructuring is required to restore financial stability. Continued attention to these priorities will be required to stem the depletion of university resources and the challenge to continue operating as a going concern. Organizational restructuring may begin as early as the current fiscal year. The operating budget presented for approval, however does not include an estimate for the impact of possible restructuring.</t>
  </si>
  <si>
    <t>carleton_2025_3</t>
  </si>
  <si>
    <t>carleton_2025_4</t>
  </si>
  <si>
    <t>carleton_2025_5</t>
  </si>
  <si>
    <t>carleton_2025_6</t>
  </si>
  <si>
    <t>carleton_2025_9</t>
  </si>
  <si>
    <t>Low versus High Resource Dependence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</si>
</sst>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b/>
      <sz val="12"/>
      <color theme="1"/>
      <name val="Aptos Narrow"/>
      <scheme val="minor"/>
    </font>
    <font>
      <sz val="8"/>
      <name val="Aptos Narrow"/>
      <family val="2"/>
      <scheme val="minor"/>
    </font>
    <font>
      <sz val="12"/>
      <color rgb="FF000000"/>
      <name val="Aptos Narrow"/>
      <family val="2"/>
      <scheme val="minor"/>
    </font>
  </fonts>
  <fills count="8">
    <fill>
      <patternFill patternType="none"/>
    </fill>
    <fill>
      <patternFill patternType="gray125"/>
    </fill>
    <fill>
      <patternFill patternType="solid">
        <fgColor rgb="FFFFFF00"/>
        <bgColor indexed="64"/>
      </patternFill>
    </fill>
    <fill>
      <patternFill patternType="solid">
        <fgColor theme="2" tint="-9.9978637043366805E-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5" tint="0.59999389629810485"/>
        <bgColor indexed="64"/>
      </patternFill>
    </fill>
    <fill>
      <patternFill patternType="solid">
        <fgColor theme="8" tint="0.59999389629810485"/>
        <bgColor indexed="64"/>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xf numFmtId="0" fontId="1" fillId="3" borderId="0" xfId="0" applyFont="1" applyFill="1"/>
    <xf numFmtId="0" fontId="1" fillId="4" borderId="0" xfId="0" applyFont="1" applyFill="1"/>
    <xf numFmtId="0" fontId="0" fillId="0" borderId="0" xfId="0" applyAlignment="1">
      <alignment horizontal="right"/>
    </xf>
    <xf numFmtId="0" fontId="1" fillId="5" borderId="0" xfId="0" applyFont="1" applyFill="1"/>
    <xf numFmtId="0" fontId="0" fillId="0" borderId="0" xfId="0" applyAlignment="1">
      <alignment shrinkToFit="1"/>
    </xf>
    <xf numFmtId="0" fontId="1" fillId="2" borderId="0" xfId="0" applyFont="1" applyFill="1" applyAlignment="1">
      <alignment horizontal="left"/>
    </xf>
    <xf numFmtId="0" fontId="0" fillId="2" borderId="0" xfId="0" applyFill="1" applyAlignment="1">
      <alignment horizontal="left"/>
    </xf>
    <xf numFmtId="0" fontId="1" fillId="6" borderId="0" xfId="0" applyFont="1" applyFill="1"/>
    <xf numFmtId="0" fontId="3" fillId="0" borderId="0" xfId="0" applyFont="1"/>
    <xf numFmtId="0" fontId="1" fillId="7" borderId="0" xfId="0" applyFont="1" applyFill="1"/>
    <xf numFmtId="0" fontId="1" fillId="2" borderId="0" xfId="0" applyFont="1" applyFill="1"/>
    <xf numFmtId="0" fontId="0" fillId="2" borderId="0" xfId="0" applyFill="1"/>
    <xf numFmtId="0" fontId="1" fillId="2" borderId="0" xfId="0" applyFont="1" applyFill="1" applyAlignment="1">
      <alignment horizontal="right"/>
    </xf>
    <xf numFmtId="0" fontId="0" fillId="2" borderId="0" xfId="0" applyFill="1" applyAlignment="1">
      <alignment horizontal="righ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82C0E-A951-D74A-BA67-BBDF09195F67}">
  <sheetPr>
    <pageSetUpPr fitToPage="1"/>
  </sheetPr>
  <dimension ref="A1:U34"/>
  <sheetViews>
    <sheetView tabSelected="1" zoomScaleNormal="100" workbookViewId="0">
      <selection activeCell="H41" sqref="H41"/>
    </sheetView>
  </sheetViews>
  <sheetFormatPr baseColWidth="10" defaultRowHeight="16" x14ac:dyDescent="0.2"/>
  <cols>
    <col min="1" max="1" width="12.33203125" customWidth="1"/>
    <col min="2" max="2" width="16.33203125" customWidth="1"/>
    <col min="3" max="3" width="14.6640625" customWidth="1"/>
    <col min="4" max="5" width="15" style="8" hidden="1" customWidth="1"/>
    <col min="6" max="6" width="15" style="8" customWidth="1"/>
    <col min="7" max="7" width="15" style="15" customWidth="1"/>
    <col min="8" max="8" width="15" style="8" customWidth="1"/>
    <col min="10" max="10" width="12" customWidth="1"/>
    <col min="11" max="11" width="18" customWidth="1"/>
    <col min="12" max="12" width="16.5" customWidth="1"/>
    <col min="14" max="15" width="19" customWidth="1"/>
    <col min="16" max="16" width="12.5" customWidth="1"/>
    <col min="17" max="17" width="12.1640625" customWidth="1"/>
    <col min="18" max="18" width="12.5" customWidth="1"/>
  </cols>
  <sheetData>
    <row r="1" spans="1:21" x14ac:dyDescent="0.2">
      <c r="A1" s="2" t="s">
        <v>0</v>
      </c>
      <c r="B1" s="2" t="s">
        <v>1</v>
      </c>
      <c r="C1" s="5" t="s">
        <v>2</v>
      </c>
      <c r="D1" s="7" t="s">
        <v>36</v>
      </c>
      <c r="E1" s="7" t="s">
        <v>37</v>
      </c>
      <c r="F1" s="7" t="s">
        <v>24</v>
      </c>
      <c r="G1" s="14" t="s">
        <v>25</v>
      </c>
      <c r="H1" s="7" t="s">
        <v>31</v>
      </c>
      <c r="I1" s="3" t="s">
        <v>5</v>
      </c>
      <c r="J1" s="3" t="s">
        <v>6</v>
      </c>
      <c r="K1" s="3" t="s">
        <v>3</v>
      </c>
      <c r="L1" s="3" t="s">
        <v>7</v>
      </c>
      <c r="M1" s="3" t="s">
        <v>4</v>
      </c>
      <c r="N1" s="3" t="s">
        <v>9</v>
      </c>
      <c r="O1" s="3" t="s">
        <v>10</v>
      </c>
      <c r="P1" s="3" t="s">
        <v>11</v>
      </c>
      <c r="Q1" s="3" t="s">
        <v>12</v>
      </c>
      <c r="R1" s="3" t="s">
        <v>13</v>
      </c>
      <c r="S1" s="3" t="s">
        <v>14</v>
      </c>
      <c r="T1" s="3" t="s">
        <v>15</v>
      </c>
      <c r="U1" s="3" t="s">
        <v>16</v>
      </c>
    </row>
    <row r="2" spans="1:21" x14ac:dyDescent="0.2">
      <c r="A2" s="4" t="s">
        <v>38</v>
      </c>
      <c r="B2" s="4" t="s">
        <v>40</v>
      </c>
      <c r="C2" s="6" t="s">
        <v>41</v>
      </c>
      <c r="D2" s="8">
        <v>0</v>
      </c>
      <c r="F2" s="8">
        <v>1</v>
      </c>
      <c r="G2" s="15">
        <v>1</v>
      </c>
      <c r="I2" s="4">
        <v>2</v>
      </c>
      <c r="J2" s="4">
        <v>7</v>
      </c>
      <c r="K2" s="4" t="s">
        <v>39</v>
      </c>
      <c r="L2" s="4" t="s">
        <v>8</v>
      </c>
      <c r="M2" s="4">
        <v>2019</v>
      </c>
      <c r="N2" s="4">
        <v>1</v>
      </c>
      <c r="O2" s="4">
        <v>1</v>
      </c>
    </row>
    <row r="3" spans="1:21" x14ac:dyDescent="0.2">
      <c r="A3" s="4" t="s">
        <v>38</v>
      </c>
      <c r="B3" s="4" t="s">
        <v>42</v>
      </c>
      <c r="C3" s="6" t="s">
        <v>43</v>
      </c>
      <c r="D3" s="8">
        <v>1</v>
      </c>
      <c r="E3" s="8" t="s">
        <v>28</v>
      </c>
      <c r="F3" s="8">
        <v>1</v>
      </c>
      <c r="G3" s="15">
        <v>1</v>
      </c>
      <c r="I3" s="4">
        <v>5</v>
      </c>
      <c r="J3" s="4">
        <v>7</v>
      </c>
      <c r="K3" s="4" t="s">
        <v>39</v>
      </c>
      <c r="L3" s="4" t="s">
        <v>8</v>
      </c>
      <c r="M3" s="4">
        <v>2019</v>
      </c>
      <c r="N3" s="4">
        <v>1</v>
      </c>
      <c r="O3" s="4">
        <v>1</v>
      </c>
    </row>
    <row r="4" spans="1:21" x14ac:dyDescent="0.2">
      <c r="A4" s="4" t="s">
        <v>38</v>
      </c>
      <c r="B4" s="4" t="s">
        <v>44</v>
      </c>
      <c r="C4" s="6" t="s">
        <v>45</v>
      </c>
      <c r="D4" s="8">
        <v>1</v>
      </c>
      <c r="E4" s="8" t="s">
        <v>30</v>
      </c>
      <c r="F4" s="8">
        <v>1</v>
      </c>
      <c r="G4" s="15">
        <v>0</v>
      </c>
      <c r="I4" s="4">
        <v>7</v>
      </c>
      <c r="J4" s="4">
        <v>7</v>
      </c>
      <c r="K4" s="4" t="s">
        <v>39</v>
      </c>
      <c r="L4" s="4" t="s">
        <v>8</v>
      </c>
      <c r="M4" s="4">
        <v>2019</v>
      </c>
      <c r="N4" s="4">
        <v>1</v>
      </c>
      <c r="O4" s="4">
        <v>1</v>
      </c>
    </row>
    <row r="5" spans="1:21" x14ac:dyDescent="0.2">
      <c r="A5" s="4" t="s">
        <v>46</v>
      </c>
      <c r="B5" s="4" t="s">
        <v>47</v>
      </c>
      <c r="C5" s="6" t="s">
        <v>48</v>
      </c>
      <c r="D5" s="8">
        <v>1</v>
      </c>
      <c r="E5" s="8" t="s">
        <v>30</v>
      </c>
      <c r="F5" s="8">
        <v>1</v>
      </c>
      <c r="G5" s="15">
        <v>0</v>
      </c>
      <c r="I5" s="4">
        <v>4</v>
      </c>
      <c r="J5" s="4">
        <v>5</v>
      </c>
      <c r="K5" s="4" t="s">
        <v>39</v>
      </c>
      <c r="L5" s="4" t="s">
        <v>8</v>
      </c>
      <c r="M5" s="4">
        <v>2020</v>
      </c>
      <c r="N5" s="4">
        <v>1</v>
      </c>
      <c r="O5" s="4">
        <v>1</v>
      </c>
    </row>
    <row r="6" spans="1:21" x14ac:dyDescent="0.2">
      <c r="A6" s="4" t="s">
        <v>46</v>
      </c>
      <c r="B6" s="4" t="s">
        <v>49</v>
      </c>
      <c r="C6" s="6" t="s">
        <v>50</v>
      </c>
      <c r="D6" s="8">
        <v>1</v>
      </c>
      <c r="E6" s="8" t="s">
        <v>30</v>
      </c>
      <c r="F6" s="8">
        <v>1</v>
      </c>
      <c r="G6" s="15">
        <v>0</v>
      </c>
      <c r="I6" s="4">
        <v>5</v>
      </c>
      <c r="J6" s="4">
        <v>5</v>
      </c>
      <c r="K6" s="4" t="s">
        <v>39</v>
      </c>
      <c r="L6" s="4" t="s">
        <v>8</v>
      </c>
      <c r="M6" s="4">
        <v>2020</v>
      </c>
      <c r="N6" s="4">
        <v>1</v>
      </c>
      <c r="O6" s="4">
        <v>1</v>
      </c>
    </row>
    <row r="7" spans="1:21" x14ac:dyDescent="0.2">
      <c r="A7" s="4" t="s">
        <v>51</v>
      </c>
      <c r="B7" s="4" t="s">
        <v>52</v>
      </c>
      <c r="C7" s="6" t="s">
        <v>53</v>
      </c>
      <c r="D7" s="8">
        <v>1</v>
      </c>
      <c r="E7" s="8" t="s">
        <v>30</v>
      </c>
      <c r="F7" s="8">
        <v>1</v>
      </c>
      <c r="G7" s="15">
        <v>1</v>
      </c>
      <c r="I7" s="4">
        <v>2</v>
      </c>
      <c r="J7" s="4">
        <v>8</v>
      </c>
      <c r="K7" s="4" t="s">
        <v>39</v>
      </c>
      <c r="L7" s="4" t="s">
        <v>8</v>
      </c>
      <c r="M7" s="4">
        <v>2021</v>
      </c>
      <c r="N7" s="4">
        <v>1</v>
      </c>
      <c r="O7" s="4">
        <v>1</v>
      </c>
    </row>
    <row r="8" spans="1:21" x14ac:dyDescent="0.2">
      <c r="A8" s="4" t="s">
        <v>51</v>
      </c>
      <c r="B8" s="4" t="s">
        <v>54</v>
      </c>
      <c r="C8" s="6" t="s">
        <v>55</v>
      </c>
      <c r="D8" s="8">
        <v>1</v>
      </c>
      <c r="E8" s="8" t="s">
        <v>30</v>
      </c>
      <c r="F8" s="8">
        <v>1</v>
      </c>
      <c r="G8" s="15">
        <v>0</v>
      </c>
      <c r="I8" s="4">
        <v>4</v>
      </c>
      <c r="J8" s="4">
        <v>8</v>
      </c>
      <c r="K8" s="4" t="s">
        <v>39</v>
      </c>
      <c r="L8" s="4" t="s">
        <v>8</v>
      </c>
      <c r="M8" s="4">
        <v>2021</v>
      </c>
      <c r="N8" s="4">
        <v>1</v>
      </c>
      <c r="O8" s="4">
        <v>1</v>
      </c>
    </row>
    <row r="9" spans="1:21" x14ac:dyDescent="0.2">
      <c r="A9" s="4" t="s">
        <v>51</v>
      </c>
      <c r="B9" s="4" t="s">
        <v>56</v>
      </c>
      <c r="C9" s="6" t="s">
        <v>57</v>
      </c>
      <c r="D9" s="8">
        <v>0</v>
      </c>
      <c r="F9" s="8">
        <v>1</v>
      </c>
      <c r="G9" s="15">
        <v>0</v>
      </c>
      <c r="I9" s="4">
        <v>6</v>
      </c>
      <c r="J9" s="4">
        <v>8</v>
      </c>
      <c r="K9" s="4" t="s">
        <v>39</v>
      </c>
      <c r="L9" s="4" t="s">
        <v>8</v>
      </c>
      <c r="M9" s="4">
        <v>2021</v>
      </c>
      <c r="N9" s="4">
        <v>1</v>
      </c>
      <c r="O9" s="4">
        <v>1</v>
      </c>
    </row>
    <row r="10" spans="1:21" x14ac:dyDescent="0.2">
      <c r="A10" s="4" t="s">
        <v>51</v>
      </c>
      <c r="B10" s="4" t="s">
        <v>58</v>
      </c>
      <c r="C10" s="6" t="s">
        <v>59</v>
      </c>
      <c r="D10" s="8">
        <v>1</v>
      </c>
      <c r="E10" s="8" t="s">
        <v>28</v>
      </c>
      <c r="F10" s="8">
        <v>1</v>
      </c>
      <c r="G10" s="15">
        <v>0</v>
      </c>
      <c r="I10" s="4">
        <v>7</v>
      </c>
      <c r="J10" s="4">
        <v>8</v>
      </c>
      <c r="K10" s="4" t="s">
        <v>39</v>
      </c>
      <c r="L10" s="4" t="s">
        <v>8</v>
      </c>
      <c r="M10" s="4">
        <v>2021</v>
      </c>
      <c r="N10" s="4">
        <v>1</v>
      </c>
      <c r="O10" s="4">
        <v>1</v>
      </c>
    </row>
    <row r="11" spans="1:21" x14ac:dyDescent="0.2">
      <c r="A11" s="4" t="s">
        <v>60</v>
      </c>
      <c r="B11" s="4" t="s">
        <v>61</v>
      </c>
      <c r="C11" t="s">
        <v>62</v>
      </c>
      <c r="F11" s="8">
        <v>1</v>
      </c>
      <c r="G11" s="15">
        <v>0</v>
      </c>
      <c r="I11" s="4">
        <v>1</v>
      </c>
      <c r="J11" s="4">
        <v>8</v>
      </c>
      <c r="K11" s="4" t="s">
        <v>39</v>
      </c>
      <c r="L11" s="4" t="s">
        <v>8</v>
      </c>
      <c r="M11" s="4">
        <v>2022</v>
      </c>
      <c r="N11" s="4">
        <v>1</v>
      </c>
      <c r="O11" s="4">
        <v>1</v>
      </c>
    </row>
    <row r="12" spans="1:21" x14ac:dyDescent="0.2">
      <c r="A12" s="4" t="s">
        <v>60</v>
      </c>
      <c r="B12" s="4" t="s">
        <v>63</v>
      </c>
      <c r="C12" s="6" t="s">
        <v>64</v>
      </c>
      <c r="F12" s="8">
        <v>1</v>
      </c>
      <c r="G12" s="15">
        <v>1</v>
      </c>
      <c r="I12" s="4">
        <v>2</v>
      </c>
      <c r="J12" s="4">
        <v>8</v>
      </c>
      <c r="K12" s="4" t="s">
        <v>39</v>
      </c>
      <c r="L12" s="4" t="s">
        <v>8</v>
      </c>
      <c r="M12" s="4">
        <v>2022</v>
      </c>
      <c r="N12" s="4">
        <v>1</v>
      </c>
      <c r="O12" s="4">
        <v>1</v>
      </c>
    </row>
    <row r="13" spans="1:21" x14ac:dyDescent="0.2">
      <c r="A13" s="4" t="s">
        <v>60</v>
      </c>
      <c r="B13" s="4" t="s">
        <v>67</v>
      </c>
      <c r="C13" s="6" t="s">
        <v>65</v>
      </c>
      <c r="F13" s="8">
        <v>1</v>
      </c>
      <c r="G13" s="15">
        <v>0</v>
      </c>
      <c r="I13" s="4">
        <v>5</v>
      </c>
      <c r="J13" s="4">
        <v>8</v>
      </c>
      <c r="K13" s="4" t="s">
        <v>39</v>
      </c>
      <c r="L13" s="4" t="s">
        <v>8</v>
      </c>
      <c r="M13" s="4">
        <v>2022</v>
      </c>
      <c r="N13" s="4">
        <v>1</v>
      </c>
      <c r="O13" s="4">
        <v>1</v>
      </c>
    </row>
    <row r="14" spans="1:21" x14ac:dyDescent="0.2">
      <c r="A14" s="4" t="s">
        <v>60</v>
      </c>
      <c r="B14" s="4" t="s">
        <v>68</v>
      </c>
      <c r="C14" s="6" t="s">
        <v>66</v>
      </c>
      <c r="F14" s="8">
        <v>1</v>
      </c>
      <c r="G14" s="15">
        <v>0</v>
      </c>
      <c r="I14" s="4">
        <v>7</v>
      </c>
      <c r="J14" s="4">
        <v>8</v>
      </c>
      <c r="K14" s="4" t="s">
        <v>39</v>
      </c>
      <c r="L14" s="4" t="s">
        <v>8</v>
      </c>
      <c r="M14" s="4">
        <v>2022</v>
      </c>
      <c r="N14" s="4">
        <v>1</v>
      </c>
      <c r="O14" s="4">
        <v>1</v>
      </c>
    </row>
    <row r="15" spans="1:21" x14ac:dyDescent="0.2">
      <c r="A15" s="4" t="s">
        <v>69</v>
      </c>
      <c r="B15" s="4" t="s">
        <v>74</v>
      </c>
      <c r="C15" s="6" t="s">
        <v>70</v>
      </c>
      <c r="F15" s="8">
        <v>1</v>
      </c>
      <c r="G15" s="15">
        <v>0</v>
      </c>
      <c r="I15" s="4">
        <v>3</v>
      </c>
      <c r="J15" s="4">
        <v>10</v>
      </c>
      <c r="K15" s="4" t="s">
        <v>39</v>
      </c>
      <c r="L15" s="4" t="s">
        <v>8</v>
      </c>
      <c r="M15" s="4">
        <v>2023</v>
      </c>
      <c r="N15" s="4">
        <v>1</v>
      </c>
      <c r="O15" s="4">
        <v>1</v>
      </c>
    </row>
    <row r="16" spans="1:21" x14ac:dyDescent="0.2">
      <c r="A16" s="4" t="s">
        <v>69</v>
      </c>
      <c r="B16" s="4" t="s">
        <v>75</v>
      </c>
      <c r="C16" s="6" t="s">
        <v>71</v>
      </c>
      <c r="F16" s="8">
        <v>1</v>
      </c>
      <c r="G16" s="15">
        <v>0</v>
      </c>
      <c r="I16" s="4">
        <v>4</v>
      </c>
      <c r="J16" s="4">
        <v>10</v>
      </c>
      <c r="K16" s="4" t="s">
        <v>39</v>
      </c>
      <c r="L16" s="4" t="s">
        <v>8</v>
      </c>
      <c r="M16" s="4">
        <v>2023</v>
      </c>
      <c r="N16" s="4">
        <v>1</v>
      </c>
      <c r="O16" s="4">
        <v>1</v>
      </c>
    </row>
    <row r="17" spans="1:15" x14ac:dyDescent="0.2">
      <c r="A17" s="4" t="s">
        <v>69</v>
      </c>
      <c r="B17" s="4" t="s">
        <v>76</v>
      </c>
      <c r="C17" s="6" t="s">
        <v>72</v>
      </c>
      <c r="F17" s="8">
        <v>1</v>
      </c>
      <c r="G17" s="15">
        <v>1</v>
      </c>
      <c r="I17" s="4">
        <v>5</v>
      </c>
      <c r="J17" s="4">
        <v>10</v>
      </c>
      <c r="K17" s="4" t="s">
        <v>39</v>
      </c>
      <c r="L17" s="4" t="s">
        <v>8</v>
      </c>
      <c r="M17" s="4">
        <v>2023</v>
      </c>
      <c r="N17" s="4">
        <v>1</v>
      </c>
      <c r="O17" s="4">
        <v>1</v>
      </c>
    </row>
    <row r="18" spans="1:15" x14ac:dyDescent="0.2">
      <c r="A18" s="4" t="s">
        <v>69</v>
      </c>
      <c r="B18" s="4" t="s">
        <v>77</v>
      </c>
      <c r="C18" s="6" t="s">
        <v>73</v>
      </c>
      <c r="F18" s="8">
        <v>1</v>
      </c>
      <c r="G18" s="15">
        <v>0</v>
      </c>
      <c r="I18" s="4">
        <v>10</v>
      </c>
      <c r="J18" s="4">
        <v>10</v>
      </c>
      <c r="K18" s="4" t="s">
        <v>39</v>
      </c>
      <c r="L18" s="4" t="s">
        <v>8</v>
      </c>
      <c r="M18" s="4">
        <v>2023</v>
      </c>
      <c r="N18" s="4">
        <v>1</v>
      </c>
      <c r="O18" s="4">
        <v>1</v>
      </c>
    </row>
    <row r="19" spans="1:15" x14ac:dyDescent="0.2">
      <c r="A19" s="4" t="s">
        <v>78</v>
      </c>
      <c r="B19" s="4" t="s">
        <v>88</v>
      </c>
      <c r="C19" s="6" t="s">
        <v>79</v>
      </c>
      <c r="F19" s="8">
        <v>1</v>
      </c>
      <c r="G19" s="15">
        <v>1</v>
      </c>
      <c r="I19" s="4">
        <v>2</v>
      </c>
      <c r="J19" s="4">
        <v>11</v>
      </c>
      <c r="K19" s="4" t="s">
        <v>39</v>
      </c>
      <c r="L19" s="4" t="s">
        <v>8</v>
      </c>
      <c r="M19" s="4">
        <v>2024</v>
      </c>
      <c r="N19" s="4">
        <v>1</v>
      </c>
      <c r="O19" s="4">
        <v>1</v>
      </c>
    </row>
    <row r="20" spans="1:15" x14ac:dyDescent="0.2">
      <c r="A20" s="4" t="s">
        <v>78</v>
      </c>
      <c r="B20" s="4" t="s">
        <v>89</v>
      </c>
      <c r="C20" s="6" t="s">
        <v>80</v>
      </c>
      <c r="F20" s="8">
        <v>1</v>
      </c>
      <c r="G20" s="15">
        <v>1</v>
      </c>
      <c r="I20" s="4">
        <v>3</v>
      </c>
      <c r="J20" s="4">
        <v>11</v>
      </c>
      <c r="K20" s="4" t="s">
        <v>39</v>
      </c>
      <c r="L20" s="4" t="s">
        <v>8</v>
      </c>
      <c r="M20" s="4">
        <v>2024</v>
      </c>
      <c r="N20" s="4">
        <v>1</v>
      </c>
      <c r="O20" s="4">
        <v>1</v>
      </c>
    </row>
    <row r="21" spans="1:15" x14ac:dyDescent="0.2">
      <c r="A21" s="4" t="s">
        <v>78</v>
      </c>
      <c r="B21" s="4" t="s">
        <v>90</v>
      </c>
      <c r="C21" s="6" t="s">
        <v>81</v>
      </c>
      <c r="F21" s="8">
        <v>1</v>
      </c>
      <c r="G21" s="15">
        <v>0</v>
      </c>
      <c r="I21" s="4">
        <v>4</v>
      </c>
      <c r="J21" s="4">
        <v>11</v>
      </c>
      <c r="K21" s="4" t="s">
        <v>39</v>
      </c>
      <c r="L21" s="4" t="s">
        <v>8</v>
      </c>
      <c r="M21" s="4">
        <v>2024</v>
      </c>
      <c r="N21" s="4">
        <v>1</v>
      </c>
      <c r="O21" s="4">
        <v>1</v>
      </c>
    </row>
    <row r="22" spans="1:15" x14ac:dyDescent="0.2">
      <c r="A22" s="4" t="s">
        <v>78</v>
      </c>
      <c r="B22" s="4" t="s">
        <v>91</v>
      </c>
      <c r="C22" s="6" t="s">
        <v>82</v>
      </c>
      <c r="F22" s="8">
        <v>1</v>
      </c>
      <c r="G22" s="15">
        <v>0</v>
      </c>
      <c r="I22" s="4">
        <v>5</v>
      </c>
      <c r="J22" s="4">
        <v>11</v>
      </c>
      <c r="K22" s="4" t="s">
        <v>39</v>
      </c>
      <c r="L22" s="4" t="s">
        <v>8</v>
      </c>
      <c r="M22" s="4">
        <v>2024</v>
      </c>
      <c r="N22" s="4">
        <v>1</v>
      </c>
      <c r="O22" s="4">
        <v>1</v>
      </c>
    </row>
    <row r="23" spans="1:15" x14ac:dyDescent="0.2">
      <c r="A23" s="4" t="s">
        <v>78</v>
      </c>
      <c r="B23" s="4" t="s">
        <v>92</v>
      </c>
      <c r="C23" s="6" t="s">
        <v>83</v>
      </c>
      <c r="F23" s="8">
        <v>1</v>
      </c>
      <c r="G23" s="15">
        <v>1</v>
      </c>
      <c r="I23" s="4">
        <v>6</v>
      </c>
      <c r="J23" s="4">
        <v>11</v>
      </c>
      <c r="K23" s="4" t="s">
        <v>39</v>
      </c>
      <c r="L23" s="4" t="s">
        <v>8</v>
      </c>
      <c r="M23" s="4">
        <v>2024</v>
      </c>
      <c r="N23" s="4">
        <v>1</v>
      </c>
      <c r="O23" s="4">
        <v>1</v>
      </c>
    </row>
    <row r="24" spans="1:15" x14ac:dyDescent="0.2">
      <c r="A24" s="4" t="s">
        <v>78</v>
      </c>
      <c r="B24" s="4" t="s">
        <v>93</v>
      </c>
      <c r="C24" s="6" t="s">
        <v>84</v>
      </c>
      <c r="F24" s="8">
        <v>1</v>
      </c>
      <c r="G24" s="15">
        <v>1</v>
      </c>
      <c r="I24" s="4">
        <v>7</v>
      </c>
      <c r="J24" s="4">
        <v>11</v>
      </c>
      <c r="K24" s="4" t="s">
        <v>39</v>
      </c>
      <c r="L24" s="4" t="s">
        <v>8</v>
      </c>
      <c r="M24" s="4">
        <v>2024</v>
      </c>
      <c r="N24" s="4">
        <v>1</v>
      </c>
      <c r="O24" s="4">
        <v>1</v>
      </c>
    </row>
    <row r="25" spans="1:15" x14ac:dyDescent="0.2">
      <c r="A25" s="4" t="s">
        <v>78</v>
      </c>
      <c r="B25" s="4" t="s">
        <v>94</v>
      </c>
      <c r="C25" s="6" t="s">
        <v>85</v>
      </c>
      <c r="F25" s="8">
        <v>1</v>
      </c>
      <c r="G25" s="15">
        <v>1</v>
      </c>
      <c r="I25" s="4">
        <v>9</v>
      </c>
      <c r="J25" s="4">
        <v>11</v>
      </c>
      <c r="K25" s="4" t="s">
        <v>39</v>
      </c>
      <c r="L25" s="4" t="s">
        <v>8</v>
      </c>
      <c r="M25" s="4">
        <v>2024</v>
      </c>
      <c r="N25" s="4">
        <v>1</v>
      </c>
      <c r="O25" s="4">
        <v>1</v>
      </c>
    </row>
    <row r="26" spans="1:15" x14ac:dyDescent="0.2">
      <c r="A26" s="4" t="s">
        <v>78</v>
      </c>
      <c r="B26" s="4" t="s">
        <v>95</v>
      </c>
      <c r="C26" s="6" t="s">
        <v>86</v>
      </c>
      <c r="F26" s="8">
        <v>1</v>
      </c>
      <c r="G26" s="15">
        <v>1</v>
      </c>
      <c r="I26" s="4">
        <v>10</v>
      </c>
      <c r="J26" s="4">
        <v>11</v>
      </c>
      <c r="K26" s="4" t="s">
        <v>39</v>
      </c>
      <c r="L26" s="4" t="s">
        <v>8</v>
      </c>
      <c r="M26" s="4">
        <v>2024</v>
      </c>
      <c r="N26" s="4">
        <v>1</v>
      </c>
      <c r="O26" s="4">
        <v>1</v>
      </c>
    </row>
    <row r="27" spans="1:15" x14ac:dyDescent="0.2">
      <c r="A27" s="4" t="s">
        <v>78</v>
      </c>
      <c r="B27" s="4" t="s">
        <v>96</v>
      </c>
      <c r="C27" s="6" t="s">
        <v>87</v>
      </c>
      <c r="F27" s="8">
        <v>1</v>
      </c>
      <c r="G27" s="15">
        <v>0</v>
      </c>
      <c r="I27" s="4">
        <v>11</v>
      </c>
      <c r="J27" s="4">
        <v>11</v>
      </c>
      <c r="K27" s="4" t="s">
        <v>39</v>
      </c>
      <c r="L27" s="4" t="s">
        <v>8</v>
      </c>
      <c r="M27" s="4">
        <v>2024</v>
      </c>
      <c r="N27" s="4">
        <v>1</v>
      </c>
      <c r="O27" s="4">
        <v>1</v>
      </c>
    </row>
    <row r="28" spans="1:15" x14ac:dyDescent="0.2">
      <c r="A28" s="4" t="s">
        <v>98</v>
      </c>
      <c r="B28" s="4" t="s">
        <v>97</v>
      </c>
      <c r="C28" s="6" t="s">
        <v>99</v>
      </c>
      <c r="F28" s="8">
        <v>1</v>
      </c>
      <c r="G28" s="15">
        <v>1</v>
      </c>
      <c r="I28" s="4">
        <v>1</v>
      </c>
      <c r="J28" s="4">
        <v>10</v>
      </c>
      <c r="K28" s="4" t="s">
        <v>39</v>
      </c>
      <c r="L28" s="4" t="s">
        <v>8</v>
      </c>
      <c r="M28" s="4">
        <v>2025</v>
      </c>
      <c r="N28" s="4">
        <v>1</v>
      </c>
      <c r="O28" s="4">
        <v>1</v>
      </c>
    </row>
    <row r="29" spans="1:15" x14ac:dyDescent="0.2">
      <c r="A29" s="4" t="s">
        <v>98</v>
      </c>
      <c r="B29" s="4" t="s">
        <v>100</v>
      </c>
      <c r="C29" s="6" t="s">
        <v>101</v>
      </c>
      <c r="F29" s="8">
        <v>1</v>
      </c>
      <c r="G29" s="15">
        <v>1</v>
      </c>
      <c r="I29" s="4">
        <v>2</v>
      </c>
      <c r="J29" s="4">
        <v>10</v>
      </c>
      <c r="K29" s="4" t="s">
        <v>39</v>
      </c>
      <c r="L29" s="4" t="s">
        <v>8</v>
      </c>
      <c r="M29" s="4">
        <v>2025</v>
      </c>
      <c r="N29" s="4">
        <v>1</v>
      </c>
      <c r="O29" s="4">
        <v>1</v>
      </c>
    </row>
    <row r="30" spans="1:15" x14ac:dyDescent="0.2">
      <c r="A30" s="4" t="s">
        <v>98</v>
      </c>
      <c r="B30" s="4" t="s">
        <v>107</v>
      </c>
      <c r="C30" s="6" t="s">
        <v>102</v>
      </c>
      <c r="F30" s="8">
        <v>1</v>
      </c>
      <c r="G30" s="15">
        <v>1</v>
      </c>
      <c r="I30" s="4">
        <v>3</v>
      </c>
      <c r="J30" s="4">
        <v>10</v>
      </c>
      <c r="K30" s="4" t="s">
        <v>39</v>
      </c>
      <c r="L30" s="4" t="s">
        <v>8</v>
      </c>
      <c r="M30" s="4">
        <v>2025</v>
      </c>
      <c r="N30" s="4">
        <v>1</v>
      </c>
      <c r="O30" s="4">
        <v>1</v>
      </c>
    </row>
    <row r="31" spans="1:15" x14ac:dyDescent="0.2">
      <c r="A31" s="4" t="s">
        <v>98</v>
      </c>
      <c r="B31" s="4" t="s">
        <v>108</v>
      </c>
      <c r="C31" s="6" t="s">
        <v>103</v>
      </c>
      <c r="F31" s="8">
        <v>1</v>
      </c>
      <c r="G31" s="15">
        <v>1</v>
      </c>
      <c r="I31" s="4">
        <v>4</v>
      </c>
      <c r="J31" s="4">
        <v>10</v>
      </c>
      <c r="K31" s="4" t="s">
        <v>39</v>
      </c>
      <c r="L31" s="4" t="s">
        <v>8</v>
      </c>
      <c r="M31" s="4">
        <v>2025</v>
      </c>
      <c r="N31" s="4">
        <v>1</v>
      </c>
      <c r="O31" s="4">
        <v>1</v>
      </c>
    </row>
    <row r="32" spans="1:15" x14ac:dyDescent="0.2">
      <c r="A32" s="4" t="s">
        <v>98</v>
      </c>
      <c r="B32" s="4" t="s">
        <v>109</v>
      </c>
      <c r="C32" s="6" t="s">
        <v>104</v>
      </c>
      <c r="F32" s="8">
        <v>1</v>
      </c>
      <c r="G32" s="15">
        <v>0</v>
      </c>
      <c r="I32" s="4">
        <v>5</v>
      </c>
      <c r="J32" s="4">
        <v>10</v>
      </c>
      <c r="K32" s="4" t="s">
        <v>39</v>
      </c>
      <c r="L32" s="4" t="s">
        <v>8</v>
      </c>
      <c r="M32" s="4">
        <v>2025</v>
      </c>
      <c r="N32" s="4">
        <v>1</v>
      </c>
      <c r="O32" s="4">
        <v>1</v>
      </c>
    </row>
    <row r="33" spans="1:15" x14ac:dyDescent="0.2">
      <c r="A33" s="4" t="s">
        <v>98</v>
      </c>
      <c r="B33" s="4" t="s">
        <v>110</v>
      </c>
      <c r="C33" s="6" t="s">
        <v>105</v>
      </c>
      <c r="F33" s="8">
        <v>1</v>
      </c>
      <c r="G33" s="15">
        <v>1</v>
      </c>
      <c r="I33" s="4">
        <v>6</v>
      </c>
      <c r="J33" s="4">
        <v>10</v>
      </c>
      <c r="K33" s="4" t="s">
        <v>39</v>
      </c>
      <c r="L33" s="4" t="s">
        <v>8</v>
      </c>
      <c r="M33" s="4">
        <v>2025</v>
      </c>
      <c r="N33" s="4">
        <v>1</v>
      </c>
      <c r="O33" s="4">
        <v>1</v>
      </c>
    </row>
    <row r="34" spans="1:15" x14ac:dyDescent="0.2">
      <c r="A34" s="4" t="s">
        <v>98</v>
      </c>
      <c r="B34" s="4" t="s">
        <v>111</v>
      </c>
      <c r="C34" s="6" t="s">
        <v>106</v>
      </c>
      <c r="F34" s="8">
        <v>1</v>
      </c>
      <c r="G34" s="15">
        <v>1</v>
      </c>
      <c r="I34" s="4">
        <v>9</v>
      </c>
      <c r="J34" s="4">
        <v>10</v>
      </c>
      <c r="K34" s="4" t="s">
        <v>39</v>
      </c>
      <c r="L34" s="4" t="s">
        <v>8</v>
      </c>
      <c r="M34" s="4">
        <v>2025</v>
      </c>
      <c r="N34" s="4">
        <v>1</v>
      </c>
      <c r="O34" s="4">
        <v>1</v>
      </c>
    </row>
  </sheetData>
  <phoneticPr fontId="2" type="noConversion"/>
  <pageMargins left="0.7" right="0.7" top="0.75" bottom="0.75" header="0.3" footer="0.3"/>
  <pageSetup scale="71" fitToHeight="6" orientation="landscape"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C74AD-475B-6C4E-A2B5-6ED22D55B30A}">
  <dimension ref="A1:F28"/>
  <sheetViews>
    <sheetView topLeftCell="A3" zoomScale="120" zoomScaleNormal="120" workbookViewId="0">
      <selection activeCell="H19" sqref="H19"/>
    </sheetView>
  </sheetViews>
  <sheetFormatPr baseColWidth="10" defaultRowHeight="16" x14ac:dyDescent="0.2"/>
  <cols>
    <col min="2" max="2" width="0" hidden="1" customWidth="1"/>
  </cols>
  <sheetData>
    <row r="1" spans="1:4" x14ac:dyDescent="0.2">
      <c r="A1" s="1" t="s">
        <v>17</v>
      </c>
    </row>
    <row r="2" spans="1:4" x14ac:dyDescent="0.2">
      <c r="A2" s="9" t="s">
        <v>22</v>
      </c>
    </row>
    <row r="3" spans="1:4" x14ac:dyDescent="0.2">
      <c r="A3" s="1" t="s">
        <v>18</v>
      </c>
      <c r="B3" s="1" t="s">
        <v>19</v>
      </c>
      <c r="C3" s="1" t="s">
        <v>20</v>
      </c>
      <c r="D3" s="1" t="s">
        <v>21</v>
      </c>
    </row>
    <row r="4" spans="1:4" x14ac:dyDescent="0.2">
      <c r="A4">
        <v>82</v>
      </c>
      <c r="B4">
        <v>0</v>
      </c>
      <c r="C4">
        <v>120</v>
      </c>
      <c r="D4">
        <v>202</v>
      </c>
    </row>
    <row r="6" spans="1:4" x14ac:dyDescent="0.2">
      <c r="A6" s="9" t="s">
        <v>23</v>
      </c>
    </row>
    <row r="7" spans="1:4" x14ac:dyDescent="0.2">
      <c r="A7" s="1" t="s">
        <v>18</v>
      </c>
      <c r="B7" s="1" t="s">
        <v>19</v>
      </c>
      <c r="C7" s="1" t="s">
        <v>20</v>
      </c>
      <c r="D7" s="1" t="s">
        <v>21</v>
      </c>
    </row>
    <row r="8" spans="1:4" x14ac:dyDescent="0.2">
      <c r="A8">
        <f>COUNTIF(Sheet1!D:D,"0")</f>
        <v>2</v>
      </c>
      <c r="B8">
        <f>COUNTIF(Sheet1!D:D," ")</f>
        <v>0</v>
      </c>
      <c r="C8">
        <f>COUNTIF(Sheet1!D:D,"1")</f>
        <v>7</v>
      </c>
      <c r="D8">
        <f>SUM(A8:C8)</f>
        <v>9</v>
      </c>
    </row>
    <row r="10" spans="1:4" x14ac:dyDescent="0.2">
      <c r="A10" s="11" t="s">
        <v>27</v>
      </c>
    </row>
    <row r="11" spans="1:4" x14ac:dyDescent="0.2">
      <c r="A11" s="1">
        <v>0</v>
      </c>
      <c r="C11" s="1">
        <v>1</v>
      </c>
    </row>
    <row r="12" spans="1:4" x14ac:dyDescent="0.2">
      <c r="A12">
        <f>COUNTIF(Sheet1!D:D,"0")</f>
        <v>2</v>
      </c>
      <c r="C12">
        <f>COUNTIF(Sheet1!D:D,"1")</f>
        <v>7</v>
      </c>
    </row>
    <row r="14" spans="1:4" x14ac:dyDescent="0.2">
      <c r="C14" s="1" t="s">
        <v>29</v>
      </c>
    </row>
    <row r="15" spans="1:4" x14ac:dyDescent="0.2">
      <c r="C15" s="10">
        <f>COUNTIF(Sheet1!E:E,"Low")</f>
        <v>2</v>
      </c>
    </row>
    <row r="16" spans="1:4" x14ac:dyDescent="0.2">
      <c r="C16" s="1" t="s">
        <v>30</v>
      </c>
    </row>
    <row r="17" spans="1:6" x14ac:dyDescent="0.2">
      <c r="C17" s="10">
        <f>COUNTIF(Sheet1!E:E,"Medium")</f>
        <v>5</v>
      </c>
    </row>
    <row r="18" spans="1:6" x14ac:dyDescent="0.2">
      <c r="C18" s="1" t="s">
        <v>26</v>
      </c>
    </row>
    <row r="19" spans="1:6" x14ac:dyDescent="0.2">
      <c r="C19" s="10">
        <f>COUNTIF(Sheet1!E:E,"High")</f>
        <v>0</v>
      </c>
    </row>
    <row r="21" spans="1:6" x14ac:dyDescent="0.2">
      <c r="A21" s="12" t="s">
        <v>32</v>
      </c>
      <c r="C21" s="13"/>
    </row>
    <row r="22" spans="1:6" x14ac:dyDescent="0.2">
      <c r="A22">
        <v>0</v>
      </c>
      <c r="C22" t="s">
        <v>34</v>
      </c>
      <c r="F22">
        <f>COUNTIF(Sheet1!H:H,"0")</f>
        <v>0</v>
      </c>
    </row>
    <row r="23" spans="1:6" x14ac:dyDescent="0.2">
      <c r="A23">
        <v>1</v>
      </c>
      <c r="C23" t="s">
        <v>33</v>
      </c>
      <c r="F23">
        <f>COUNTIF(Sheet1!H:H,"1")</f>
        <v>0</v>
      </c>
    </row>
    <row r="24" spans="1:6" x14ac:dyDescent="0.2">
      <c r="A24">
        <v>2</v>
      </c>
      <c r="C24" t="s">
        <v>35</v>
      </c>
      <c r="F24">
        <f>COUNTIF(Sheet1!H:H,"2")</f>
        <v>0</v>
      </c>
    </row>
    <row r="26" spans="1:6" x14ac:dyDescent="0.2">
      <c r="A26" s="12" t="s">
        <v>112</v>
      </c>
      <c r="B26" s="13"/>
      <c r="C26" s="13"/>
      <c r="D26" s="13"/>
    </row>
    <row r="27" spans="1:6" x14ac:dyDescent="0.2">
      <c r="A27">
        <v>0</v>
      </c>
      <c r="C27" t="s">
        <v>33</v>
      </c>
      <c r="F27">
        <f>COUNTIF(Sheet1!G:G,"0")</f>
        <v>16</v>
      </c>
    </row>
    <row r="28" spans="1:6" x14ac:dyDescent="0.2">
      <c r="A28">
        <v>1</v>
      </c>
      <c r="C28" t="s">
        <v>35</v>
      </c>
      <c r="F28">
        <f>COUNTIF(Sheet1!G:G,"1")</f>
        <v>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Sara Murphy</dc:creator>
  <cp:lastModifiedBy>Sara Murphy</cp:lastModifiedBy>
  <cp:lastPrinted>2026-03-23T16:15:49Z</cp:lastPrinted>
  <dcterms:created xsi:type="dcterms:W3CDTF">2026-03-17T01:57:37Z</dcterms:created>
  <dcterms:modified xsi:type="dcterms:W3CDTF">2026-04-18T03:14:25Z</dcterms:modified>
</cp:coreProperties>
</file>