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707B6877-D4F6-2A4C-B50D-5F0777F43065}" xr6:coauthVersionLast="47" xr6:coauthVersionMax="47" xr10:uidLastSave="{00000000-0000-0000-0000-000000000000}"/>
  <bookViews>
    <workbookView xWindow="8560" yWindow="500" windowWidth="29000" windowHeight="2010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 l="1"/>
  <c r="B8" i="3"/>
  <c r="A8" i="3"/>
  <c r="D8" i="3" l="1"/>
</calcChain>
</file>

<file path=xl/sharedStrings.xml><?xml version="1.0" encoding="utf-8"?>
<sst xmlns="http://schemas.openxmlformats.org/spreadsheetml/2006/main" count="2210" uniqueCount="927">
  <si>
    <t>document</t>
  </si>
  <si>
    <t>ID</t>
  </si>
  <si>
    <t>text</t>
  </si>
  <si>
    <t>class</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</si>
  <si>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</si>
  <si>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</si>
  <si>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</si>
  <si>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</si>
  <si>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</si>
  <si>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</si>
  <si>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</si>
  <si>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</si>
  <si>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</si>
  <si>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</si>
  <si>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</si>
  <si>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</si>
  <si>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</si>
  <si>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</si>
  <si>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</si>
  <si>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</si>
  <si>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are discussions with each university within the Strategic Mandate Agreement (SMA) process to negotiate what, if any growth funding will be available for both flow-through growth on previous expansion and new programs that in good faith were submitted and approved and will begin within the period covered by this SMA period (2017-18 through to 2019-20). </t>
  </si>
  <si>
    <t>For the purposes of this budget the assumption was made that the negotiations with the Ministry on the funding of both flow through growth and new growth that was included in the budget would be successful and therefore the revenues related to the growth over and above the 2016-17 actual enrolment level has been included but is a possible risk to the budget. The monetary risk to the budget in 2017-18 is $1.5M.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</si>
  <si>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</si>
  <si>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The government announced a four-year tuition framework in March 2013. This limited tuition fee growth to an institutional average of 3%. This tuition framework was due to expire after 2016-17. In December 2016, MAESD announced a extension of the same tuition framework for an additional two years. For the purposes of this budget the same tuition framework was assumed for the 2019-20 year as no better information is available.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</si>
  <si>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</si>
  <si>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</si>
  <si>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</si>
  <si>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</si>
  <si>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queens_2017_4</t>
  </si>
  <si>
    <t>queens_2017_5</t>
  </si>
  <si>
    <t>queens_2017_6</t>
  </si>
  <si>
    <t>queens_2017_7</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</si>
  <si>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</si>
  <si>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</si>
  <si>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</si>
  <si>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</si>
  <si>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</si>
  <si>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During 2017-18, the Ministry of Advanced Education and Skills Development (MAESD) began the implementation of a new funding model that includeds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</si>
  <si>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 </t>
  </si>
  <si>
    <t>The Ministry has allocated one-time only funding for 2017-18 relating to the flow through growth. For the purposes of this budget the assumption was made that this one-time funding would be included in the base funding for 2018-19 onward. No growth beyond the 2017-18 enrolment level has been assumed in government grant. The inclusion of the one-time only 2017-18 funding is a possible risk to the budget. The monetary risk to the budget in 2018-19 is $1.9M. For the SMA 2 period all funding within the differentiation bin is being allocated based on enrolment. The intent of the Ministry is that these funds will be distributed based on outcomes based metrics for SMA 3 which will start in 2020-21 assuming there is no change in policy.</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</si>
  <si>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</si>
  <si>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</si>
  <si>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Previously, all institutions were requested to move to approving tuition fees two years ahead to facilitate the implementation of net-tuition billing. As a result, we had intended on bringing fees for 2019-20 to March board. However, due to the delay in the announcement of the next tuition framework we have post-poned the approval of the fees for 2019-20 until the Ministry announces what the new tuition framework will be for 2019-20.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</si>
  <si>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</si>
  <si>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</si>
  <si>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queens_2018_3</t>
  </si>
  <si>
    <t>queens_2018_4</t>
  </si>
  <si>
    <t>queens_2018_5</t>
  </si>
  <si>
    <t>queens_2018_6</t>
  </si>
  <si>
    <t>queens_2018_7</t>
  </si>
  <si>
    <t>queens_2018_8</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</si>
  <si>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</si>
  <si>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</si>
  <si>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</si>
  <si>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</si>
  <si>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</si>
  <si>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During 2017-18, the Ministry of Training, Colleges and Universities (MTCU)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</si>
  <si>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As part of the implementation of the new grant funding formula for universities, the Ministry
committed to at a minimum maintain the 2016-17 funding level for all universities for the duration of
the second round of SMA which concludes in 2019-20. The Ministry has re-introduced the enrolment
corridor funding methodology which would ensure grant revenue remains constant if enrolment
remains within +/- 3%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</si>
  <si>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</si>
  <si>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</si>
  <si>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</si>
  <si>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</si>
  <si>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queens_2019_3</t>
  </si>
  <si>
    <t>queens_2019_4</t>
  </si>
  <si>
    <t>queens_2019_5</t>
  </si>
  <si>
    <t>queens_2019_6</t>
  </si>
  <si>
    <t>queens_2019_7</t>
  </si>
  <si>
    <t>queens_2020_1</t>
  </si>
  <si>
    <t>Subsequent to the March board meeting, the finalization and approval of the 2020-21 budget was
altered as the University found itself grappling with the impacts of the COVID-19 crisis. The total effects
of this pandemic were not yet fully understood, and the exact end state of the emergency measures
were very much unknown. Nevertheless, the emergency measures in place and on-going physical
distancing requirements were expected to impact University operations.</t>
  </si>
  <si>
    <t>Given the fluidity of the situation and the uncertainty of the impact on operations at the time, the
Board was asked to approve the 2020-21 budget developed in detail prior to COVID-19. The Principal
and Vice-Chancellor and the Provost and Vice-principal (Academic) presented the alternate enrolment
scenarios to the Board at the May meeting, along with the potential budget implications.
Subsequently, the University continued to monitor the situation and once better information was
available over the summer and into September 2020 on enrolments and other budget impacts, an
update was provided to the Board at the September 25th, 2020 meeting of the Capital Assets and
Finance committee.</t>
  </si>
  <si>
    <t>The committee was presented with information demonstrating that, overall, operating revenue was
not expected to be significantly different than what was projected in the previously approved budget;
therefore, no changes were recommended for the 2020-21 budget. Any variances to the budget are to
be reported in the regular financial updates to the Board in the December 2020, March 2021, and May
2021 meetings.</t>
  </si>
  <si>
    <t>As a result, the remainder of this document is prepared to document the 2020-21 budget approved by
the Board describing the process and other aspects related to areas such as, student financial
assistance, compensation, investment, capital, pension, research, trust and endowment, and ancillary
operations all planned in a pre-COVID context.</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</si>
  <si>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</si>
  <si>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</si>
  <si>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</si>
  <si>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</si>
  <si>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</si>
  <si>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queens_2020_2</t>
  </si>
  <si>
    <t>queens_2020_3</t>
  </si>
  <si>
    <t>queens_2020_4</t>
  </si>
  <si>
    <t>queens_2020_5</t>
  </si>
  <si>
    <t>queens_2020_6</t>
  </si>
  <si>
    <t>queens_2020_7</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</si>
  <si>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</si>
  <si>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</si>
  <si>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</si>
  <si>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</si>
  <si>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</si>
  <si>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envelope which is linked to enrolment, a performance/outcomesbased
envelope which has outcomes based metrics linked to it, and a special purposes envelope which
contains targeted grants for initiatives such as disability supports, French language, clinical programs
etc.</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</si>
  <si>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</si>
  <si>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</si>
  <si>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On April 30, 2021, the Ministry announced the tuition framework for 2021-22. The framework
continues the previously announced framework with a tuition freeze at the 2020-21 levels for
domestic funding-eligible programs, except the framework permits increasing tuition for domestic outof-
province students by up to three percent. Due to the timing of the announcement, the budget
presented here does not reflect the impact of any such increases the university may subsequently elect
to introduce. For 2021-22, the budget appropriately assumes a 0% increase for domestic fundingeligible
programs. Tuition fees will be adjusted based on any changes to the tuition framework beyond
2021-22.</t>
  </si>
  <si>
    <t>queens_2021_2</t>
  </si>
  <si>
    <t>queens_2021_3</t>
  </si>
  <si>
    <t>queens_2021_4</t>
  </si>
  <si>
    <t>queens_2021_5</t>
  </si>
  <si>
    <t>queens_2021_6</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</si>
  <si>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</si>
  <si>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</si>
  <si>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</si>
  <si>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</si>
  <si>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</si>
  <si>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</si>
  <si>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</si>
  <si>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</si>
  <si>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</si>
  <si>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</si>
  <si>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</si>
  <si>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</si>
  <si>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</si>
  <si>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</si>
  <si>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</si>
  <si>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</si>
  <si>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</si>
  <si>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</si>
  <si>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</si>
  <si>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</si>
  <si>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The province made a number of announcements late in fiscal year 2022-23, applicable to future years,
which are outlined in the Government Grant section of this report. These announcements confirm
activation of performance-based funding linked to SMA3 to start in 2023-24 at a system-wide
proportion of ten per cent for Year 4 (2023-24). However, additional funding has been announced
linked to growth in the undergraduate and postgraduate medical spaces and nursing spaces which is
expected to be provided outside of the corridor and performance-based funding envelopes.</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</si>
  <si>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</si>
  <si>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</si>
  <si>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</si>
  <si>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</si>
  <si>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</si>
  <si>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</si>
  <si>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queens_2023_6</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</si>
  <si>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</si>
  <si>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</si>
  <si>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</si>
  <si>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</si>
  <si>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</si>
  <si>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</si>
  <si>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</si>
  <si>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</si>
  <si>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</si>
  <si>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</si>
  <si>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</si>
  <si>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</si>
  <si>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</si>
  <si>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</si>
  <si>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</si>
  <si>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</si>
  <si>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</si>
  <si>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</si>
  <si>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</si>
  <si>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</si>
  <si>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</si>
  <si>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</si>
  <si>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</si>
  <si>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</si>
  <si>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</si>
  <si>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</si>
  <si>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</si>
  <si>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</si>
  <si>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</si>
  <si>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</si>
  <si>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</si>
  <si>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queens_2025_5</t>
  </si>
  <si>
    <t>queens_2025_6</t>
  </si>
  <si>
    <t>queens_2025_7</t>
  </si>
  <si>
    <t>queens_2025_8</t>
  </si>
  <si>
    <t>uoft_2017</t>
  </si>
  <si>
    <t>uoft_2017_1</t>
  </si>
  <si>
    <t>University of Toronto</t>
  </si>
  <si>
    <t>Canada, and the world, is facing considerable political, immigration and trade uncertainty with the new US administration, the UK’s withdrawal from the European Union, and rising European populism. Much remains to be seen in terms of the impact on Canadian universities.</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</si>
  <si>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</si>
  <si>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of Ontario is undergoing a shift in its approach to funding universities and colleges. 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being operationalized through the introduction of a Strategic Mandate Agreement for each institution, which “outlines the role the University currently performs in Ontario’s postsecondary education system and how it will build on its current strengths to achieve its vision and help drive system-wide objectives and government priorities.” Future funding is expected to be increasingly directed towards achievement of excellence metrics, rather than enrolment numbers.</t>
  </si>
  <si>
    <t>The Province of Ontario is entering a period of significant decline in the 18-20 year-old population, primarily in the northern part of the province where the government has expressed concern about the sustainability of universities. In the Greater Toronto Area, projections for this age group call for a slight decline to 2021 and growth of over 20% to 2035. As a result of these demographics, undergraduate growth across the province will be more closely managed, likely through negotiated undergraduate targets; this is a noteworthy departure from the relatively unrestricted approach to undergraduate growth in the last decade.</t>
  </si>
  <si>
    <t>In 2014 the University of Toronto negotiated its first Strategic Mandate Agreement (SMA1) with the Ministry of Advanced Education and Skills Development (MAESD). SMA1 recognized the University’s strength across a broad array of programs and included an allocation of graduate expansion spaces and conversion of undergraduate teacher education spaces to additional graduate teacher education spaces. SMA1 continued to rely on enrolment growth as the key driver (&gt; 90% at UofT) for provincial grant allocations. SMA1 will conclude on April 30, 2017; discussions have begun with MAESD on SMA2, which will cover the 3-year period 2017-18 to 2019-20.</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</si>
  <si>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</si>
  <si>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The government has suggested that the new formula will likely include three envelopes:
1. The core operating grant, linked to enrolment
2. The differentiation envelope, linked to SMA metrics
3. Special purpose grants</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</si>
  <si>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</si>
  <si>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For the 2016-17 academic year, across an undergraduate population of 61,000 undergraduate students (FTEs), actual results came within 152 FTE of plan, a variance of 0.2%, spread across all three campuses. Our plans call for UTM to increase undergraduate enrolment by about 500 FTE over the next three years and then hold steady for a period after that; UTSC plans growth of about 1,000 undergraduate students over the next five years; the St. George campus is projecting a decline of about 500 FTE in undergraduate enrolment over five years, all as specified in the University’s Towards 2030 plan. The growth will be accompanied by considerable capital investment and faculty hiring at the three campuses.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</si>
  <si>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</si>
  <si>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</si>
  <si>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A full discussion of tuition fees is contained in the annual Tuition Fee Report 2017-18, and a full discussion of student assistance in the annual Student Aid Report 2015-16, both which accompany this report when presented to the Business Board of Governing Council. It should be noted that the 2015-16 year is the most recent year for which the University and the province have complete information on student assistance. Key highlights of the reports are noted below.</t>
  </si>
  <si>
    <t>Tuition fees at the University of Toronto are determined in accordance with the University’s Tuition Fee Policy, the Statement of Commitment Regarding International Students and the Provincial Government’s Tuition Framework which ran for a four-year period to 2016-17 and was recently extended to 2018-19. The long range budget projections assume the provincial Tuition Framework will remain unchanged over the final three years of the planning period.</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</si>
  <si>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</si>
  <si>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</si>
  <si>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The 2016 Ontario budget announced a fundamental restructuring of the provincial financial aid system, to begin in 2017-18. These changes are discussed later in this report.</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</si>
  <si>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</si>
  <si>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In the 2014 federal budget, the government positioned postsecondary research within their Science, Technology and Innovation strategy. The federal budget announced the creation of the Canada First Research Excellence Fund (CFREF), a $1.5 billion fund over ten years. The objective of the fund is to “help Canada’s postsecondary institutions excel globally in research areas that create long-term economic advantages for Canada.” In July 2015 the University of Toronto was awarded the largest research grant in our history under the CFREF program. The $114 million grant is spread over seven years, whereby the University and its partners, which include the Hospital for Sick Children, the University Health Network, and Mount Sinai Hospital to deliver a new program, called Medicine by Design. The initiative and the funding build on years of support for U of T’s regenerative medicine researchers from federal granting councils, the Canada Foundation for Innovation and support from the Canada Research Chairs and Canada Excellence Research Chairs programs. The University did not receive funding in the second round of CFREF awards.</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</si>
  <si>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</si>
  <si>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</si>
  <si>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</si>
  <si>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</si>
  <si>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uoft_2017_3</t>
  </si>
  <si>
    <t>uoft_2017_4</t>
  </si>
  <si>
    <t>uoft_2017_5</t>
  </si>
  <si>
    <t>uoft_2017_6</t>
  </si>
  <si>
    <t>uoft_2017_7</t>
  </si>
  <si>
    <t>uoft_2017_8</t>
  </si>
  <si>
    <t>uoft_2017_9</t>
  </si>
  <si>
    <t>uoft_2017_10</t>
  </si>
  <si>
    <t>uoft_2017_11</t>
  </si>
  <si>
    <t>uoft_2017_12</t>
  </si>
  <si>
    <t>uoft_2017_13</t>
  </si>
  <si>
    <t>uoft_2017_14</t>
  </si>
  <si>
    <t>uoft_2017_15</t>
  </si>
  <si>
    <t>uoft_2017_16</t>
  </si>
  <si>
    <t>uoft_2017_17</t>
  </si>
  <si>
    <t>uoft_2017_18</t>
  </si>
  <si>
    <t>uoft_2017_19</t>
  </si>
  <si>
    <t>uoft_2017_20</t>
  </si>
  <si>
    <t>uoft_2017_21</t>
  </si>
  <si>
    <t>uoft_2018</t>
  </si>
  <si>
    <t>uoft_2018_1</t>
  </si>
  <si>
    <t>The Canadian economy grew strongly in 2017. Global economic growth continues to strengthen, and the US economy remains robust. Still, Canada remains subject to considerable political, immigration and trade uncertainty, including uncertainty regarding the outcome of ongoing NAFTA renegotiations. Much remains to be seen in terms of the impact on Canadian universities.</t>
  </si>
  <si>
    <r>
      <t>The Bank of Canada Monetary Policy report released in January 2018</t>
    </r>
    <r>
      <rPr>
        <sz val="7"/>
        <color theme="1"/>
        <rFont val="Calibri"/>
        <family val="2"/>
      </rPr>
      <t xml:space="preserve">3 </t>
    </r>
    <r>
      <rPr>
        <sz val="11"/>
        <color theme="1"/>
        <rFont val="Calibri"/>
        <family val="2"/>
      </rPr>
      <t>projects ongoing growth in economic activity in Canada, with modest growth in real GDP of 2.2% in 2018 and 1.6% in 2019. Inflation is expected to remain close to 2% over the planning period. </t>
    </r>
  </si>
  <si>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</si>
  <si>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The Province of Ontario is entering a period of decline in the 18-20 year-old population, primarily in the northern part of the province where the government has expressed concern about the sustainability of universities. In the Greater Toronto Area, projections call for a slight decline in this age group to 2021, followed by a period of growth of approximately 20% to 2036. As a result of these demographics, undergraduate growth across the province will be more closely managed through negotiated enrolment targets; this is a noteworthy departure from the relatively unrestricted approach to undergraduate growth in the last decade.</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</si>
  <si>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</si>
  <si>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</si>
  <si>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</si>
  <si>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</si>
  <si>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t>
  </si>
  <si>
    <t>The agreement begins the transition to the new funding framework, including stable funding for enrolment within a negotiated enrolment corridor. Funding for enrolment will remain stable provided the University maintains a five-year average enrolment within ±3% of its negotiated target.</t>
  </si>
  <si>
    <t>In addition, the University will receive differentiation funding tied to performance in priority areas such as student experience; innovation, economic development and community engagement; research excellence and impact; access and equity; and innovative teaching. The differentiation envelope will be revenue-neutral throughout the period of SMA2 (2017-2020) while the Province consults with the sector to refine metrics and targets, which will be tied to funding for SMA3 (2020-2023).</t>
  </si>
  <si>
    <t>Fall 2017 undergraduate enrolment results came within just 1 FTE of plan, a variance of 0.002% across all three campuses. This reflects the net impact of a positive variance of 815 (+6.1%) in international enrolment, offset by a negative variance of 814 (-1.7%) in domestic enrolment versus the 2017-18 budget plan. Domestic enrolment growth targets for 2017-18 were set before the outcome of SMA2 negotiations was known.</t>
  </si>
  <si>
    <t>Plans call for undergraduate enrolment growth of 600 FTE (domestic and international students) over the next five years at each of UTM and UTSC; the St. George campus is projecting a decline of about 1,700 FTE over the same period, all as specified in the University’s Towards 2030 plan. Domestic enrolment will be held roughly constant until 2019-20 at UTM and UTSC, and reduced at the St. George campus, as specified in SMA2. Plans call for International enrolment growth of 1,142 FTE at all three campuses over the planning period.</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</si>
  <si>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</si>
  <si>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 </t>
  </si>
  <si>
    <t>Tuition fees at the University of Toronto are determined in accordance with the University’s Tuition Fee Policy, the Statement of Commitment Regarding International Students, and the provincial government’s Tuition Fee Framework 2013-14 to 2016-17, which has been extended to 2018-19 to support a major reform in OSAP. The long range budget projections assume the current Tuition Fee Framework will remain unchanged in 2019-20 and beyond.</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</si>
  <si>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</si>
  <si>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OSAP-eligible students in 2016-17 paid, on average, just 47% of the posted tuition rate.</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</si>
  <si>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</si>
  <si>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</si>
  <si>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November of 2017, the federal Minister of Science announced a series of changes to the Canada Research Chairs program, including a revised distribution of Chairs across the three federal research granting councils. This change resulted in an increased allocation of Chairs to the University of Toronto and its affiliated hospital partners. The University of Toronto CRC Equity, Diversity, and Inclusion Action Plan will guide our efforts in ensuring the representation of individuals from the federally designated groups — persons with disabilities, Indigenous peoples, visible minorities and women — among our Canada Research Chairholders.</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</si>
  <si>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</si>
  <si>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</si>
  <si>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uoft_2018_2</t>
  </si>
  <si>
    <t>uoft_2018_3</t>
  </si>
  <si>
    <t>uoft_2018_4</t>
  </si>
  <si>
    <t>uoft_2018_5</t>
  </si>
  <si>
    <t>uoft_2018_6</t>
  </si>
  <si>
    <t>uoft_2018_7</t>
  </si>
  <si>
    <t>uoft_2018_8</t>
  </si>
  <si>
    <t>uoft_2018_9</t>
  </si>
  <si>
    <t>uoft_2018_10</t>
  </si>
  <si>
    <t>uoft_2018_11</t>
  </si>
  <si>
    <t>uoft_2018_12</t>
  </si>
  <si>
    <t>uoft_2018_13</t>
  </si>
  <si>
    <t>uoft_2018_14</t>
  </si>
  <si>
    <t>uoft_2018_15</t>
  </si>
  <si>
    <t>uoft_2018_16</t>
  </si>
  <si>
    <t>uoft_2018_17</t>
  </si>
  <si>
    <t>uoft_2018_18</t>
  </si>
  <si>
    <t>uoft_2018_19</t>
  </si>
  <si>
    <t>uoft_2018_20</t>
  </si>
  <si>
    <t>uoft_2018_21</t>
  </si>
  <si>
    <t>uoft_2018_22</t>
  </si>
  <si>
    <t>uoft_2018_23</t>
  </si>
  <si>
    <t>uoft_2018_24</t>
  </si>
  <si>
    <t>uoft_2018_25</t>
  </si>
  <si>
    <t>uoft_2019</t>
  </si>
  <si>
    <t>uoft_2019_1</t>
  </si>
  <si>
    <t>A new Progressive Conservative government was sworn in at
Queen’s Park in June 2018. The new government immediately
established an Independent Financial Commission of Inquiry
to evaluate the previous government’s accounting practices and
update the Province’s baseline fiscal outlook. The Commission
reported a deficit of $15 billion for 2018–19, up from the
$6.7 billion planned deficit in the Provincial Budget 2018.</t>
  </si>
  <si>
    <t>The new government also engaged EY Canada to conduct a
line-by-line audit of provincial spending, spanning 15 years of
expenditures in both the public service and transfer payments
to broader public sector organizations. The review concluded
that expenditures had grown by 3.0% annually in real terms,
and that the pace of growth exceeded the rate of population
growth in the province.</t>
  </si>
  <si>
    <t>According to Ontario’s fall economic outlook2, the government
is now projecting a deficit of $14.5 billion for 2018–19, which
represents a positive variance of $0.5 billion from the report
of the Commission in August 2018. This change is a result
of $3.2 billion in program savings, offset by $2.7 billion
in tax reductions, including the elimination of the previous
government’s cap-and-trade program.</t>
  </si>
  <si>
    <t>The government is committed to returning the Province to
balanced budgets on a modest, reasonable and pragmatic
timetable. The University anticipates that this spending restraint
will impose significant pressure on all provincially-funded sectors.</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</si>
  <si>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unregulated, and will therefore be
unaffected. The announcement represents a reduction of
approximately $65 million in budgeted revenue over 2018–19.</t>
  </si>
  <si>
    <t>At the same time, the Minister of Training, Colleges and
Universities announced a new framework for ancillary fees.
Changes to the ancillary fee framework will allow students to
opt-out of the fees that fund some services and activities, while
protecting fees that fund mandatory core services and facilities
such as athletics, recreation, and health and counselling
services. At the time of writing this report, details have not
been provided regarding which specific fees will fall into each
of these categories.</t>
  </si>
  <si>
    <t>The Ontario post-secondary education system operates
under a differentiation policy framework3.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</si>
  <si>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Fiscal year 2019–20 is the third and final year of the University’s (SMA2)4. The SMA2 sets out a multi-year enrolment plan,
including funding for 631 new master’s and 198 new doctoral
student spaces by Fall 2019. In response to Ontario’s changing
demographics, the University and the Province agreed to reduce
domestic undergraduate enrolment by 1,800 domestic students
at the St. George Campus, and to hold constant the level of
domestic undergraduate enrolment at the University of Toronto
Scarborough and University of Toronto Mississauga over the
period of the agreement. Enrolment funding will remain stable
through 2019–20 provided the University maintains a five-year
average enrolment within ±3% of its negotiated target.
current Strategic Mandate Agreement with the Province</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</si>
  <si>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</si>
  <si>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</si>
  <si>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</si>
  <si>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</si>
  <si>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</si>
  <si>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</si>
  <si>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</si>
  <si>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</si>
  <si>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uoft_2019_2</t>
  </si>
  <si>
    <t>uoft_2019_3</t>
  </si>
  <si>
    <t>uoft_2019_4</t>
  </si>
  <si>
    <t>uoft_2019_5</t>
  </si>
  <si>
    <t>uoft_2019_6</t>
  </si>
  <si>
    <t>uoft_2019_7</t>
  </si>
  <si>
    <t>uoft_2019_8</t>
  </si>
  <si>
    <t>uoft_2019_9</t>
  </si>
  <si>
    <t>uoft_2019_10</t>
  </si>
  <si>
    <t>uoft_2019_11</t>
  </si>
  <si>
    <t>uoft_2019_12</t>
  </si>
  <si>
    <t>uoft_2019_13</t>
  </si>
  <si>
    <t>uoft_2019_14</t>
  </si>
  <si>
    <t>uoft_2019_15</t>
  </si>
  <si>
    <t>uoft_2019_16</t>
  </si>
  <si>
    <t>uoft_2020</t>
  </si>
  <si>
    <t>uoft_2020_1</t>
  </si>
  <si>
    <t>pres_external</t>
  </si>
  <si>
    <t>pres_exp</t>
  </si>
  <si>
    <t>prov_external</t>
  </si>
  <si>
    <t>prov_exp</t>
  </si>
  <si>
    <t>According to Ontario’s fall economic outlook3, the government is projecting a deficit of $9.0 billion for 2019-20, which represents a positive variance of $1.3 billion from the deficit target set out in the 2019 Provincial Budget. This change is primarily due to economic growth and higher than planned tax revenues.</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</si>
  <si>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</si>
  <si>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unaffected. The announcement represents a reduction of $113 million in projected domestic fee revenue for 2020-21 relative to the previous long range budget guidelines that assumed the former tuition framework would remain in place.</t>
  </si>
  <si>
    <t>At the same time, the Minister of Colleges and Universities announced a new framework for ancillary fees. Changes to the ancillary fee framework allowed students to opt-out of incidental fees that fund some services and activities, while protecting fees that fund mandatory core services and facilities such as athletics, recreation, and health and counselling services. This new provision, called the “Student Choice Initiative” was implemented in Fall 2019. In November 2019, Ontario’s Divisional Court struck down this new provision in the ancillary fee framework, finding it inconsistent with universities’ autonomous governance. At the time of writing this report, an appeal of this decision is pending. At this time, incidental fees are being assessed for Winter 2020 for all students. For students who opted-out prior to the system suspension on November 25, the University is awaiting the court’s decision.</t>
  </si>
  <si>
    <r>
      <t>The Ontario post-secondary education system operates under a differentiation policy framework</t>
    </r>
    <r>
      <rPr>
        <sz val="5"/>
        <color rgb="FF211D1E"/>
        <rFont val="Helvetica"/>
        <family val="2"/>
      </rPr>
      <t>4</t>
    </r>
    <r>
      <rPr>
        <sz val="9"/>
        <color rgb="FF211D1E"/>
        <rFont val="Helvetica"/>
        <family val="2"/>
      </rPr>
      <t>. The framework is operationalized through a series of institutional Strategic Mandate Agreements, which specify the role of each University in the system and how they will build on institutional strengths to drive system-wide objectives and government priorities. </t>
    </r>
  </si>
  <si>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</si>
  <si>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Fiscal year 2020-21 will be the first year of the University’s third Strategic Mandate Agreement with the Province (SMA3). In the 2019 Ontario Budget, the Government announced that an increased percentage of funding for colleges and universities will be tied to performance outcomes. Under SMA3, performance based funding will gradually rise from 25 per cent of total Provincial operating grants (5.6% of total revenue) in 2020-21 to 60 per cent of operating grants (11.7% of total revenue) by 2024-25. Funding will be conditional on achieving performance targets on a series of metrics.</t>
  </si>
  <si>
    <t>The number of performance indicators will be phased in, from six in 2020-21 to 10 in 2024-25. Targets will be established by the Ministry based on previous performance, taking into consideration the variability of performance in recent years. Performance metrics include six measures of graduate skills and job outcomes, and four measures of economic and community impact. They include:
•
Graduate Employment Rate in a Related Field
•
Enrolment in Areas of Institutional Strength/Focus
•
Graduation Rate
•
Experiential Learning
•
Graduate Employment Earnings
•
Skills and Competencies
•
Community/Local Impact
•
Economic Impact
•
Research Funding and Capacity: Federal Tri-Agency Funding Secured
•
Innovation: Research Revenue from Private Sector Sources</t>
  </si>
  <si>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</si>
  <si>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The SMA3 will also set out a multi-year enrolment plan. In response to Ontario’s changing demographics, the University and the Province have agreed to hold constant the level of funding for domestic undergraduate enrolment at the University of Toronto over the period of the agreement. Enrolment funding will remain stable through 2024-25 provided the University maintains a five-year average enrolment within ±3% of its enrolment target.</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</si>
  <si>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</si>
  <si>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</si>
  <si>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</si>
  <si>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</si>
  <si>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</si>
  <si>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</si>
  <si>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uoft_2020_3</t>
  </si>
  <si>
    <t>uoft_2020_4</t>
  </si>
  <si>
    <t>uoft_2020_5</t>
  </si>
  <si>
    <t>uoft_2020_6</t>
  </si>
  <si>
    <t>uoft_2020_7</t>
  </si>
  <si>
    <t>uoft_2020_8</t>
  </si>
  <si>
    <t>uoft_2020_9</t>
  </si>
  <si>
    <t>uoft_2020_10</t>
  </si>
  <si>
    <t>uoft_2020_11</t>
  </si>
  <si>
    <t>uoft_2020_12</t>
  </si>
  <si>
    <t>uoft_2020_13</t>
  </si>
  <si>
    <t>uoft_2020_14</t>
  </si>
  <si>
    <t>uoft_2020_15</t>
  </si>
  <si>
    <t>uoft_2020_16</t>
  </si>
  <si>
    <t>uoft_2020_17</t>
  </si>
  <si>
    <t>pres_new</t>
  </si>
  <si>
    <t>prov_new</t>
  </si>
  <si>
    <t>uoft_2021</t>
  </si>
  <si>
    <t>uoft_2021_1</t>
  </si>
  <si>
    <t>Last year’s budget was developed prior to the outbreak of COVID-19, and was based on assumptions of normal levels of enrolment and on-campus activity. Despite the significant uncertainty created by the COVID-19 pandemic, the University was able to successfully deliver the vast majority of academic programs in 2020-21 in alternative formats, adapting to fast-changing public health regulations as necessary. The incoming undergraduate class for Fall 2020 was 0.2% larger than that of Fall 2019, including the largest incoming cohort of international undergraduate students in the University’s history. Many students from around the globe began their studies remotely, with the intention of attending classes on campus when in-person teaching resumes. While the overall enrolment results were positive, there was some variability in enrolment at the level of individual programs, with modest enrolment reductions in professional undergraduate and graduate programs in particular.</t>
  </si>
  <si>
    <t>As the University worked to address the challenges of COVID-19, there were significant cost increases in many areas, including repatriating students who were overseas during the initial outbreak in Spring 2020, emergency financial support for students dealing with loss of employment opportunities and unexpected expenses caused by the pandemic, quarantine costs for international students entering Canada, changes to instructional design and IT systems to enable online course delivery, and environmental health and safety costs to support the safe re-opening of research labs and workplaces. Many of these were one-time expenditures, partially offset by savings in planned travel costs and lower occupancy costs due to reduced on-campus activity. Some expenses, such as support for new IT platforms and innovative teaching methods, will continue to be needed in future years and have been incorporated into the long range plan.</t>
  </si>
  <si>
    <t>Levels of on-campus activity were significantly reduced, and campus services such as residences, food, and parking were particularly hard hit. Service ancillaries implemented significant cost-saving strategies, but the magnitude of revenue reductions made it impossible to avoid financial losses in many cases. Under normal circumstances, service ancillaries are expected to operate without subsidy from the University’s operating budget and rely solely on revenue from the services they provide. These campus services are crucial to ensuring that students, faculty, and staff are able to participate in University life on all three campuses, and the University may need to support some ancillaries as they develop a path to recovery over the coming years.</t>
  </si>
  <si>
    <t>Given the extent and extraordinary circumstances of the ancillary losses in 2020-21, the University is proposing to allocate up to $50 million of deficit spending room to ancillary operations. Deficit spending will be allowed only where it is necessary to do so, after considering cost containment strategies, levels of reserves, and funding for critical infrastructure projects. Units with sufficient reserves will continue without need for deficit spending, so it is possible that the full amount will not be required. This approach is intended to ensure that the level of the ancillary budget deficit will be only as high as absolutely necessary.</t>
  </si>
  <si>
    <t>Ancillary units will be expected to eliminate any deficits over a five-year period. The University will work with each unit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after consultation with the academic divisions whose faculty, staff, and students benefit from these services.</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</si>
  <si>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</si>
  <si>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will be re-directed to a differentiation envelope tied to performance metrics. Performance-based funding will gradually increase from 25 per cent of total Provincial operating grants (5.9% of total revenue) in 2020-21 to 60 per cent of operating grants (11.9% of total revenue) by 2024-25.</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</si>
  <si>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</si>
  <si>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</si>
  <si>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t>
  </si>
  <si>
    <t>According to the Ontario Budget released in November 20204, the Government is not planning any material new investments in the post-secondary education sector over the next three years, including no inflationary increases to the University’s operating grant. Areas of priority investment for the Government include: development, delivery, and expansion of Ontario’s micro-credentials strategy; supporting the ongoing cost of the Ontario Student Assistance Program (OSAP); and continued investment in deferred maintenance.</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</si>
  <si>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</si>
  <si>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</si>
  <si>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The student fee framework announced in 2019 also allowed
students to opt-out of incidental fees that fund some services
and activities, while protecting fees that fund mandatory
core services and facilities such as athletics, recreation, and
health and counselling services. This new provision in the
fee framework, called the “Student Choice Initiative” was
implemented in Fall 2019. In November 2019, Ontario’s
Divisional Court struck down this new provision, finding it
inconsistent with universities’ autonomous governance. At
this time, a Government appeal of this decision is pending.
In the interim, implementation of ancillary fee opt-outs have
been suspended.</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</si>
  <si>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</si>
  <si>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</si>
  <si>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As with most federal research funding programs, the CRC
program places significant emphasis on equity, diversity and
inclusion (EDI). The CRC Equity, Diversity and Inclusion
Action Plan5 guides the University’s efforts in ensuring the
representation of individuals from the federally designated
groups — persons with disabilities, Indigenous peoples,
visible minorities, and women — among Canada Research
Chair holders.</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</si>
  <si>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</si>
  <si>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</si>
  <si>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</si>
  <si>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In 2019, the final report of the Alternative Funding Sources
Advisory Group6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</si>
  <si>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</si>
  <si>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uoft_2021_2</t>
  </si>
  <si>
    <t>uoft_2021_3</t>
  </si>
  <si>
    <t>uoft_2021_4</t>
  </si>
  <si>
    <t>uoft_2021_5</t>
  </si>
  <si>
    <t>uoft_2021_6</t>
  </si>
  <si>
    <t>uoft_2021_7</t>
  </si>
  <si>
    <t>uoft_2021_8</t>
  </si>
  <si>
    <t>uoft_2021_9</t>
  </si>
  <si>
    <t>uoft_2021_10</t>
  </si>
  <si>
    <t>uoft_2021_11</t>
  </si>
  <si>
    <t>uoft_2021_12</t>
  </si>
  <si>
    <t>uoft_2021_13</t>
  </si>
  <si>
    <t>uoft_2021_14</t>
  </si>
  <si>
    <t>uoft_2021_15</t>
  </si>
  <si>
    <t>uoft_2021_16</t>
  </si>
  <si>
    <t>uoft_2021_17</t>
  </si>
  <si>
    <t>uoft_2021_18</t>
  </si>
  <si>
    <t>uoft_2021_19</t>
  </si>
  <si>
    <t>uoft_2021_20</t>
  </si>
  <si>
    <t>uoft_2021_21</t>
  </si>
  <si>
    <t>uoft_2021_22</t>
  </si>
  <si>
    <t>uoft_2022</t>
  </si>
  <si>
    <t>uoft_2022_1</t>
  </si>
  <si>
    <t>The ongoing COVID-19 pandemic continues to evolve as new variants emerge, requiring flexibility in planning for operations. With the rollout of vaccines and associated relaxing of public health measures, the University moved to deliver approximately 50% of courses in person in the Fall 2021 session with plans to increase this for the start of the Winter 2022 session. However, in response to the fast spread of the Omicron variant in December, these plans were adjusted and the increase in on-campus activity was delayed until later in the session. Experience gained throughout the pandemic has allowed the University to quickly pivot as necessary to changing public health measures while ensuring continuity of academic programs for our students.</t>
  </si>
  <si>
    <t>The University continues to plan for a gradual increase in campus activities over the planning period. We have led the way in requiring vaccinations with over 99% of students, faculty and staff fully vaccinated as of February 2022 – a critical element to facilitate greater on-campus activity.</t>
  </si>
  <si>
    <t>Demand for the University’s programs continues to be very strong with larger domestic and international undergraduate applicant pools for Fall 2021, leading to a 10.8% increase in intake compared to last year. However, this increase was largely offset by lower retention rates for domestic continuing students across many of the direct entry divisions, resulting in a small overall increase of 0.2% in undergraduate enrolment vs Fall 2020. Divisions are investigating the reasons behind the decrease in retention rates to determine if this is a temporary pandemic-related shift or if there are longer term issues to be addressed. Graduate enrolment increased by 4% vs. last year with demand for professional masters and doctoral programs particularly strong.
Summer enrolment activity</t>
  </si>
  <si>
    <t>Summer enrolment activity continues to be significantly higher than pre-pandemic levels, although down slightly from the peak in 2020 in the early stages of the pandemic. Students have shown increasing interest in taking courses across all three terms which allows for a broader set of offerings through the summer session, reduced pressure on courses through the Fall/Winter, and more activity on campuses over the summer.</t>
  </si>
  <si>
    <t>Ancillary operations provide important services that contribute to the quality of the student experience. In order to support their continued operations, the University’s 2021-22 budget plan included up to $50 million of deficit spending room for ancillary operations such as residences, food, and parking services to provide flexibility for multi-year plans to recover from the financial impacts of the pandemic. Deficit spending will be allowed only where it is necessary to do so, after considering cost containment strategies, levels of reserves, and funding for critical infrastructure projects. Ancillary units will be expected to eliminate any deficits over a five-year period.</t>
  </si>
  <si>
    <t>Under this plan, ancillary operations established deficit budgets for 2021-22 as they anticipated continued reduced occupancy in residences and in on-campus activities. Campus residences have rebounded more quickly than anticipated with high occupancy rates at most facilities in Fall 2021, although the impact of emerging variants continues to pose some risk to short-term occupancy plans. Food and parking services are also ahead of plan but to a lesser extent given the continued reduction in on-campus activity this year.</t>
  </si>
  <si>
    <t>The University is working with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</si>
  <si>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Ontario post-secondary education system operates under a differentiation policy framework2.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</si>
  <si>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is being re-directed to a differentiation envelope tied to performance metrics. Performance-based funding will gradually increase from 25 per cent of total Provincial operating grants (6% of total revenue) in 2020-21 to 60 per cent of operating grants (12% of total revenue) by 2024-25.</t>
  </si>
  <si>
    <t>In the context of the COVID-19 pandemic, the government has confirmed that no performance-based funding will be at risk until at least the third year of the agreement which, because of the slip year nature of funding impacts, would be the University’s 2023-24 fiscal year. The Ministry will engage in an annual review of performance outcomes and will evaluate potential COVID-19 impacts on targets for future years.</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</si>
  <si>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</si>
  <si>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Areas of priority investment for the Government include expansion of Nursing enrolment, which may lead to a small amount of enrolment growth funding for the University; supporting the ongoing cost of the Ontario Student Assistance Program (OSAP), including extension of eligibility to some micro-credential programs; and continued investment in addressing deferred maintenance.</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</si>
  <si>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</si>
  <si>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</si>
  <si>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At this time, no domestic fee framework has been announced
for the 2022-23 fiscal year. The University has conservatively
assumed an extension of the existing framework, including a
freeze for the 2022-23 budget year. This one-year extension
of the domestic tuition fee freeze would further reduce
tuition fee revenue by $28 million in 2022-23 relative to the
University’s previous long range budget plans from prior to
the 2019-20 Framework.</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</si>
  <si>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</si>
  <si>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The student fee framework announced in 2019 included
a new provision called the “Student Choice Initiative” that
allowed students to opt-out of incidental fees that fund
some student services and activities, while protecting fees
that fund mandatory core services and facilities such as
athletics, recreation, and health and counselling services.
However, in November 2019, Ontario’s Divisional Court
struck down this new provision, finding it inconsistent with
universities’ autonomous governance. In August 2021,
Ontario’s Court of Appeal dismissed the Government’s
bid to overturn the decision to strike down the provision.
As a result, the University will continue to suspend
implementation of this policy.</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</si>
  <si>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</si>
  <si>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</si>
  <si>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As with most federal research funding programs, the CRC
program places significant emphasis on equity, diversity and
inclusion (EDI) and has established representation targets
that must be achieved by 2029, with interim targets along
the way. The University’s CRC Equity, Diversity and Inclusion
Action Plan6 guides the University’s efforts in ensuring the
representation of individuals from the federally designated
groups — persons with disabilities, Indigenous peoples,
visible minorities, and women — among Canada Research
Chair holders. The Division of the Vice-President Research
and Innovation closely monitors progress toward the required
targets and works with academic divisions and hospitals to
ensure that the targets are met.</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</si>
  <si>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</si>
  <si>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</si>
  <si>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</si>
  <si>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</si>
  <si>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In 2019, the final report of the Alternative Funding Sources
Advisory Group7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</si>
  <si>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</si>
  <si>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uoft_2022_2</t>
  </si>
  <si>
    <t>uoft_2022_3</t>
  </si>
  <si>
    <t>uoft_2022_4</t>
  </si>
  <si>
    <t>uoft_2022_5</t>
  </si>
  <si>
    <t>uoft_2022_6</t>
  </si>
  <si>
    <t>uoft_2022_7</t>
  </si>
  <si>
    <t>uoft_2022_8</t>
  </si>
  <si>
    <t>uoft_2022_9</t>
  </si>
  <si>
    <t>uoft_2022_10</t>
  </si>
  <si>
    <t>uoft_2022_11</t>
  </si>
  <si>
    <t>uoft_2022_12</t>
  </si>
  <si>
    <t>uoft_2022_13</t>
  </si>
  <si>
    <t>uoft_2022_14</t>
  </si>
  <si>
    <t>uoft_2022_15</t>
  </si>
  <si>
    <t>uoft_2022_16</t>
  </si>
  <si>
    <t>uoft_2022_17</t>
  </si>
  <si>
    <t>uoft_2022_18</t>
  </si>
  <si>
    <t>uoft_2022_19</t>
  </si>
  <si>
    <t>uoft_2022_20</t>
  </si>
  <si>
    <t>uoft_2022_21</t>
  </si>
  <si>
    <t>uoft_2022_22</t>
  </si>
  <si>
    <t>uoft_2022_23</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</si>
  <si>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</si>
  <si>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</si>
  <si>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</si>
  <si>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</si>
  <si>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</si>
  <si>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</si>
  <si>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</si>
  <si>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</si>
  <si>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</si>
  <si>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</si>
  <si>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</si>
  <si>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</si>
  <si>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</si>
  <si>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</si>
  <si>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uoft_2023_1</t>
  </si>
  <si>
    <t>The University has successfully navigated through the challenges of the COVID-19 global pandemic and this year we had our biggest back to school ever, welcoming over 90,000 students to our three campuses, many for the first time in their academic careers. Throughout the pandemic, our faculty, librarians, and staff worked tirelessly to ensure operational continuity while maintaining excellence in our academic and research programs and our students demonstrated outstanding resiliency as have adapted to changes required to meet public health measures. Demand for our programs remained strong throughout and our scholars had an outsized impact on pandemic-related research and through contributions to health care and public health planning.</t>
  </si>
  <si>
    <t>uoft_2023_2</t>
  </si>
  <si>
    <t>While our ancillary operations were impacted by the reduced activity on our campuses, they are rebounding faster than anticipated. Residences are back to full occupancy this year and other services such as food and transportation are making steady progress as on-campus activity increases. These units are now able to turn their focus away from crisis management and back towards planning for the future.</t>
  </si>
  <si>
    <t>uoft_2023_3</t>
  </si>
  <si>
    <t>As is often the case with historic events like this, the pandemic has led to innovations that will benefit all as we move forward. In March 2022, the Provost established the new University Resilience Project Team (RPT) to build upon the work and insights gained over the last two years, capitalize on the innovations developed during the pandemic, and build strategies for long-term institutional resilience. Over the course of this year, the team has consulted with a wide array of stakeholders from all divisions across our three campuses and have developed recommendations across themes of Navigation, Engagement, and Future Proofing.</t>
  </si>
  <si>
    <t>uoft_2023_4</t>
  </si>
  <si>
    <t>The University expects to continue as an in-person institution, although, we recognize that there are benefits and demand for a selection of online courses going forward. To leverage the lessons learned during the pandemic, the University has implemented an “Online by Design” initiative to support faculty in developing courses designed from the ground up for an online learning environment.</t>
  </si>
  <si>
    <t>uoft_2023_5</t>
  </si>
  <si>
    <t>We continue to implement changes to increase our capacity to meet student mental health needs. Our much improved continuum of mental health supports to both domestic and international students has led to a three-fold increase in mental health service interactions since 2019-20, trending towards 41,000 interactions across in-person and internet-based service models this year. Additionally, in collaboration with CAMH, the University has launched an acute care navigation pathway to serve complex and high need students. In the first four months of this service, U of T and CAMH collaborated to identify and serve over 100 students seen in the Emergency Department and Inpatient Units. Through this innovative partnership, we have achieved important learnings and are well positioned to further develop this service in 2023-24. Progress across mental health is well aligned with the recommendations of the Presidential and Provostial Task Force of 2019.
Demand for the University’s programs continues to be</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</si>
  <si>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</si>
  <si>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</si>
  <si>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uoft_2023_7</t>
  </si>
  <si>
    <t>Overall, undergraduate enrolment was about (1.2%) below target this year – although, still 364 FTEs above last year – primarily because of the lower than planned intake.</t>
  </si>
  <si>
    <t>uoft_2023_8</t>
  </si>
  <si>
    <t>Many divisions experienced some softening in graduate intakes this year with overall graduate enrolment coming in (2.8%) below plan, although still within our funded enrolment corridor. Plans included significant growth over Fall 2021 so, while enrolment was under target, divisions still saw year over year growth of 0.9%.</t>
  </si>
  <si>
    <t>uoft_2023_9</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</si>
  <si>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</si>
  <si>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uoft_2023_10</t>
  </si>
  <si>
    <t>The University’s 2021-22 budget plan included up to $50 million of deficit spending room for ancillary operations such as residences, food, and parking services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in the first two years of the pandemic and are ahead of their five-year plans.</t>
  </si>
  <si>
    <t>uoft_2023_11</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</si>
  <si>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</si>
  <si>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uoft_2023_12</t>
  </si>
  <si>
    <r>
      <t>The Ontario post-secondary education system operates under a differentiation policy framework</t>
    </r>
    <r>
      <rPr>
        <vertAlign val="superscript"/>
        <sz val="6"/>
        <color theme="1"/>
        <rFont val="Helvetica"/>
        <family val="2"/>
      </rPr>
      <t xml:space="preserve">2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</si>
  <si>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uoft_2023_13</t>
  </si>
  <si>
    <t>The University’s third Strategic Mandate Agreement with the Province (SMA3)3 came into effect on April 1, 2020 and covers the period 2020-2025. With the implementation of SMA3, the Government is shifting a significant portion of existing operating grant revenue to a differentiation envelope that will be linked to performance metrics. Over the five years, the Differentiation Envelope portion of funding will increase from 25 per cent of total
Provincial operating grants (6% of total revenue) in 2020-21 to 60 per cent of operating grants (12% of total revenue) by 2024-25.</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</si>
  <si>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</si>
  <si>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</si>
  <si>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</si>
  <si>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</si>
  <si>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uoft_2023_16</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</si>
  <si>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t>
  </si>
  <si>
    <t>uoft_2023_17</t>
  </si>
  <si>
    <t>According to the 2022 Ontario Budget released in April 20224 and follow up November 2022 Fall Economic Statement5 the Government is not planning any inflationary increases to the University’s operating grant over the next three years.</t>
  </si>
  <si>
    <t>uoft_2023_18</t>
  </si>
  <si>
    <t>Nursing education continues to be a priority area for the Government which funded additional spaces at colleges and universities in 2021 and again in 2022. Under this program, the University received 30 additional spaces for our undergraduate BScN program for Fall 2022 entry (17% increase in intake). Given the continuing high demand for nursing graduates in the health care sector, the University is anticipating that this expansion will continue over the planning period.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</si>
  <si>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</si>
  <si>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</si>
  <si>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uoft_2023_20</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</si>
  <si>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At full capacity, the SAMIH will prepare the following number of graduates on an annual basis:
• 30 physicians (with potential to expand to 50 in the future)
• 30 physician assistants
• 30 nurse practitioners
• 40 physical therapists
• 300 undergraduates in life sciences</t>
  </si>
  <si>
    <t>uoft_2023_21</t>
  </si>
  <si>
    <t>In addition, the Government has allocated an additional 45 postgraduate medical resident spaces to the University as part of the SAMIH expansion. </t>
  </si>
  <si>
    <t>uoft_2023_22</t>
  </si>
  <si>
    <t>SAMIH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 </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</si>
  <si>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</si>
  <si>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</si>
  <si>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uoft_2023_24</t>
  </si>
  <si>
    <t>Changes to domestic tuition fees in publicly 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institutions that contravene the framework. The frameworks only apply to tuition for students for which the Government provides operating grant funding, so do not apply to majority of international students, non-publicly funded programs such as Executive MBA, and continuing education programs. </t>
  </si>
  <si>
    <t>uoft_2023_25</t>
  </si>
  <si>
    <t>On January 17, 2019, the Ontario government announced a 10 per cent cut to domestic tuition fees for 2019-20, and a freeze at that level for 2020-21. The freeze was subsequently extended for two additional years to 2022-23. Tuition paid by international students was unaffected.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</si>
  <si>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</si>
  <si>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</si>
  <si>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</si>
  <si>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</si>
  <si>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</si>
  <si>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</si>
  <si>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</si>
  <si>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</si>
  <si>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</si>
  <si>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</si>
  <si>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</si>
  <si>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</si>
  <si>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</si>
  <si>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</si>
  <si>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</si>
  <si>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</si>
  <si>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</si>
  <si>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</si>
  <si>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</si>
  <si>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</si>
  <si>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</si>
  <si>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</si>
  <si>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</si>
  <si>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</si>
  <si>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</si>
  <si>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</si>
  <si>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</si>
  <si>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uoft_2024_1</t>
  </si>
  <si>
    <t>Approximately 87% of the University’s operating revenue is related to enrolment through student fees and operating grants. Demand for the University’s programs continues to be very strong with overall enrolment growing to 99,794 undergraduate and graduate students taking 88,652 FTEs of course activity in Fall 2023, a 2,355 FTE increase over the previous year.</t>
  </si>
  <si>
    <t>uoft_2024_2</t>
  </si>
  <si>
    <t>We continue to see strong domestic and international applicant pools to our direct-entry undergraduate programs, with growth of 3.3% in the incoming class to 16,361 in Fall 2023, although (2.3%) below the plan for this year which had assumed a bit more growth. Domestic intake was 269 above target which offset a (657) negative variance on international intake – although, both domestic and international intake increased over last year. In 2023-24, we have also seen an increase in retention rates of continuing students, which resulted in higher upper-year enrolment than expected based on historical rates. This very positive result means that overall undergraduate domestic and international enrolment slightly exceeded the budget plan by a combined 1.1%. </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</si>
  <si>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</si>
  <si>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</si>
  <si>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</si>
  <si>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</si>
  <si>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uoft_2024_5</t>
  </si>
  <si>
    <t>Many divisions continued to experience some softening in graduate intakes again this year with overall graduate enrolment coming in (2.8%) below plan, although still within our funded enrolment corridor. Fall 2023 graduate enrolment across all years of study was 20,424 FTEs, essentially unchanged from 2022. </t>
  </si>
  <si>
    <t>uoft_2024_6</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</si>
  <si>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 </t>
  </si>
  <si>
    <t>uoft_2024_7</t>
  </si>
  <si>
    <t>Geopolitical issues continue to present some risk to our international enrolment plans. We are seeing some impact from the recent tensions in the Canada-India relationship on demand with applications from that country for Fall 2024 down by about 41% compared to last year. Applicants from China are also down about 7% as of February. This volatility demonstrates why the University’s diversification strategy to build and increase connections with a broader range of international countries is so important. </t>
  </si>
  <si>
    <t>uoft_2024_8</t>
  </si>
  <si>
    <t>The impact of post-Bill 124 compensation decisions is a dominating factor in this year’s budget plan. </t>
  </si>
  <si>
    <t>uoft_2024_9</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</si>
  <si>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over the past year. This decision removed the “no-catch up” restrictions in the Act which, when combined with high inflation rates, has led to large top-ups to the already negotiated Bill 124 1% increases such as:
+6.5% over three years for OPSEU employees with public colleges
+6.25% over two years for Ontario Power Workers
+6.25% retro over two years for Ontario Hospital Paramedical Employees</t>
  </si>
  <si>
    <t>uoft_2024_10</t>
  </si>
  <si>
    <t>While the University does not have any reopener clauses in its agreements, the final year of the Bill 124 period agreement with our Faculty &amp; Librarians (2022) was in arbitration when the Court made its decision. As a result, negotiation resumed on this final year and the Arbitrator ultimately awarded a 7% increase in addition to the 1% already negotiated. This 7% special increase was subsequently included in the 2023 agreement with USW and other administrative staff. The University is anticipating that this special increase will ultimately cost about $125 million above what was planned for this year.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</si>
  <si>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</si>
  <si>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</si>
  <si>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</si>
  <si>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</si>
  <si>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uoft_2024_13</t>
  </si>
  <si>
    <t>As of the writing of this report, the Government has not yet formally responded to the BRP’s recommendations. However, they have signaled that the domestic tuition freeze will be extended for another year and they are considering operating grant support for colleges and universities. As noted later in this report, the Budget assumes continuation of the domestic tuition freeze to 2024-25 and increased operating grants to offset the financial impact. </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</si>
  <si>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</si>
  <si>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</si>
  <si>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</si>
  <si>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</si>
  <si>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uoft_2024_16</t>
  </si>
  <si>
    <t>uoft_2024_17</t>
  </si>
  <si>
    <t>Under the SMA3 performance-based funding formula,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and the University has allocated its performance-based funding envelope across these metrics, with an option to adjust each year in response to changing priorities.</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</si>
  <si>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</si>
  <si>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</si>
  <si>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uoft_2024_19</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</si>
  <si>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</si>
  <si>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uoft_2024_20</t>
  </si>
  <si>
    <t>Nursing education continues to be a priority area for the Government, which has funded additional spaces at colleges and universities since 2021. Under this program, the University received 55 additional spaces for our undergraduate BScN program in Fall 2024 entry (31% increase in intake over 2020). Given the continuing high demand for nursing graduates in the health care sector, the University is anticipating that this expansion will continue over the planning period. </t>
  </si>
  <si>
    <t>uoft_2024_21</t>
  </si>
  <si>
    <t>In addition, in 2022-23, the Government committed $124.7 million over three years to significantly increase funding for nursing clinical operations at colleges and universities. Under this initiative, the University’s allocation for nursing clinical funding has roughly tripled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 </t>
  </si>
  <si>
    <t>uoft_2024_22</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</si>
  <si>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</si>
  <si>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uoft_2024_23</t>
  </si>
  <si>
    <t>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</si>
  <si>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uoft_2024_24</t>
  </si>
  <si>
    <t>In addition, 30 MN Nurse Practitioner spaces will be delivered through SAMIH. </t>
  </si>
  <si>
    <t>uoft_2024_25</t>
  </si>
  <si>
    <t>uoft_2024_26</t>
  </si>
  <si>
    <t>In 2023-24, the Government continued its on-going $10.5 million annual funding for mental health services at colleges and universities – from which the University received $365k.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
  </si>
  <si>
    <t>uoft_2024_27</t>
  </si>
  <si>
    <t>However, the Government repositioned the $5 million in additional funding provided in 2022-23 into a two-year, project-based program for 2023-24 and 2024-25. The University has submitted a proposal for funding but has not received the results as of the writing of this report. </t>
  </si>
  <si>
    <t>uoft_2024_28</t>
  </si>
  <si>
    <t>uoft_2024_29</t>
  </si>
  <si>
    <t>In 2019-20, the Ontario government announced a 10 per cent cut to domestic tuition fees and has subsequently frozen fees at these levels for four years to 2023-24. Tuition paid by international students was unaffected. The cumulative impact of the 10% cut and four-year freeze is a $195 million reduction in annual operating revenue to the University as of 2023-24 compared to the 3% average framework in place prior to 2019-20. </t>
  </si>
  <si>
    <t>uoft_2024_30</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</si>
  <si>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</si>
  <si>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</si>
  <si>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We will revisit these plans, if necessary, when the Government formally announces its framework for 2024-25.</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</si>
  <si>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</si>
  <si>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</si>
  <si>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</si>
  <si>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uof_2024_34</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</si>
  <si>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</si>
  <si>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uoft_2024_35</t>
  </si>
  <si>
    <t>uoft_2024_36</t>
  </si>
  <si>
    <t>Ancillary services across all three campuses make important contributions to the student and campus experience through residences, food operations, parking, and other services for student, faculty, and staff. These self-funding units rely on on-campus activity and faced significant financial challenges during the pandemic. </t>
  </si>
  <si>
    <t>uoft_2024_37</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</si>
  <si>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</si>
  <si>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uoft_2024_38</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</si>
  <si>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</si>
  <si>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</si>
  <si>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</si>
  <si>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</si>
  <si>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</si>
  <si>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uoft_2024_42</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</si>
  <si>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</si>
  <si>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</si>
  <si>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</si>
  <si>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</si>
  <si>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</si>
  <si>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</si>
  <si>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</si>
  <si>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</si>
  <si>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</si>
  <si>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</si>
  <si>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</si>
  <si>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</si>
  <si>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</si>
  <si>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</si>
  <si>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</si>
  <si>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</si>
  <si>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uoft_2025_8</t>
  </si>
  <si>
    <t>It is important to note that the University separately
manages domestic and international enrolment spaces.
Each pool has separate targets and we endeavour to fill all
of our funded domestic spaces each year. We do not fill
domestic spaces with international students. In fact, in
2024 we admitted more domestic students than funded for
given the very strong demand and softening of the
Budget Report 2025-26 7 University of Toronto
international market. Although, this is only a temporary
measure as we cannot sustain this growth on domestic
tuition revenue alone.</t>
  </si>
  <si>
    <t>uoft_2025_9</t>
  </si>
  <si>
    <t>Many divisions continued to experience some softening in
graduate intakes again this year with overall graduate
enrolment coming in 0.7% below plan, although still 1.9%
higher than 2023-24. We are seeing some shifts in the
market for professional masters programs and divisions are
developing new programs and modifications to respond to
demand. One area of significant change is in the Rotman
School of Management, which is are planning a new
advanced standing option for the MBA (ie. shortened
program) and management programs for working
professionals and students from non-business
backgrounds.</t>
  </si>
  <si>
    <t>uoft_2025_10</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</si>
  <si>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</si>
  <si>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uoft_2025_11</t>
  </si>
  <si>
    <t>Geopolitical issues continue to present some risk to our
international enrolment plans. We are seeing a continued
impact on demand resulting from the tensions in the
Canada-India relationship with applications from that
country for Fall 2025 down by almost two-thirds compared
to 2023. This volatility demonstrates why the University’s
diversification strategy to build and increase connections
with a broader range of international countries is so
important.</t>
  </si>
  <si>
    <t>uoft_2025_12</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</si>
  <si>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and continues to impact the University’s
budget plan.</t>
  </si>
  <si>
    <t>uoft_2025_13</t>
  </si>
  <si>
    <t>The final year of the Bill 124 period agreement with our
Faculty &amp; Librarians (2022) was in arbitration when the
Court made its decision. As a result, negotiation resumed
on this final year and the Arbitrator ultimately awarded a
7% increase in addition to the 1% already negotiated
under the Bill 124 constraints. Negotiations with the
Faculty Association on the next agreement, fully post-Bill
124, continue.</t>
  </si>
  <si>
    <t>uoft_2025_14</t>
  </si>
  <si>
    <t>This 7% special increase was subsequently included in
post-Bill 124 negotiated agreements with other employee
groups and for other administrative staff. The University is
anticipating that this special increase will ultimately cost
about $125 million above what was planned.</t>
  </si>
  <si>
    <t>uoft_2025_15</t>
  </si>
  <si>
    <t>In response, divisions have had to review their hiring plans,
contingencies, capital plans, and other priorities. It is
taking several years for divisions to fully absorb this
extraordinary increase in base costs, which is limiting
funding available for other priorities. The multi-year
smoothing introduced to manage this incremental cost
impact to shared service budgets is requiring additional
funds from the 2025-26 budget beyond what will be
needed to fund next year’s compensation increases.</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</si>
  <si>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</si>
  <si>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</si>
  <si>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uoft_2025_17</t>
  </si>
  <si>
    <t>The University’s fourth Strategic Mandate Agreement with
the Province (SMA4) will come into effect on April 1st,
2025 and continue for five years. This follows the 2020-
2025 SMA32 that introduced a new performance-based
funding model. The University is currently working with the
Province to finalize the SMA4, which is expected to include
the following features:
• Continuation of the SMA3 performance-based
funding framework but with eight metrics, down from
the 10 included in SMA3. One of the two SMA3
research metrics is being eliminated under SMA4
and the Skills &amp; Competencies metric will be
discontinued.
• Enrolment-related metrics will now be focused on
domestic students and exclude international.
• 5% of funding will now be linked to meeting certain
reporting deadlines, engaging with MCU on work to
develop efficiencies and new skills &amp; competencies
metrics, and attesting to a commitment to research
security. These elements are still under development
as of the writing of this report.</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</si>
  <si>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</si>
  <si>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</si>
  <si>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uoft_2025_19</t>
  </si>
  <si>
    <t>The SMA3 also set out a multi-year enrolment plan where
the Province held constant the level of funded domestic
enrolment at the University of Toronto over the period of
the agreement. The University has been eligible for full
enrolment funding provided it maintained a five-year
average enrolment within ±3% of its target. This excluded
separately funded enrolment expansions in nursing and
the Scarborough Academy of Medicine &amp; Integrated Health
discussed later in this document.</t>
  </si>
  <si>
    <t>uoft_2025_20</t>
  </si>
  <si>
    <t>The funded enrolment corridor is not expected to change
for the first two years of SMA4. However, the Government
has indicated an interest in expanding enrolments in
science, technology, engineering, and math (STEM) and
the University has submitted a proposal to expand
programs by 4,850 undergraduates and 565 masters
students in areas such as engineering (including a new
undergraduate biomedical engineering program),
computer science, life &amp; physical sciences, data sciences,
kinesiology, and information studies. At this stage, this
proposed enrolment growth has not yet been factored into
the University’s long-range budget plan.</t>
  </si>
  <si>
    <t>uoft_2025_21</t>
  </si>
  <si>
    <t>In March 2023, the Government created a Blue Ribbon
Panel3 of postsecondary education experts to provide
advice on securing the financial sustainability of the sector.
The Panel recommended unfreezing domestic tuition, an
immediate 10% increase in operating grant funding, and
consideration of future enrolment growth funding to meet
demand.</t>
  </si>
  <si>
    <t>uoft_2025_22</t>
  </si>
  <si>
    <t>In response, the Government created a three-year
Postsecondary Education Financial Sustainability Fund
with a 7% phased-in increase to operating grants: 3% in
2024-25, 2% in 2025-26, and 2% in 2026-27. However,
the Government has not yet committed to continuing this
additional funding beyond 2026-27. They are planning a
funding review over the next two years that could inform
decisions on future funding.</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</si>
  <si>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</si>
  <si>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</si>
  <si>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uoft_2025_24</t>
  </si>
  <si>
    <t>Changes to domestic tuition fees in publicly-funded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Figure 4: 2025-26 Domestic Tuition Fees
institutions that contravene the framework. The frameworks
only apply to tuition for students for which the Government
provides operating grant funding, so do not apply to the
majority of international students, non-publicly funded
programs such as Executive MBA, and continuing
education programs.</t>
  </si>
  <si>
    <t>uoft_2025_25</t>
  </si>
  <si>
    <t>In 2019-20, the Ontario government required a 10 per cent
cut to domestic tuition fees and has subsequently frozen
fees at these lower levels out to at least 2026-27.</t>
  </si>
  <si>
    <t>uoft_2025_26</t>
  </si>
  <si>
    <t>In 2022-23, the Government introduced flexibility to
increase non-Ontario domestic tuition by 5% per year – a
helpful change but limited in impact as this applies to just
a small portion of the University’s domestic enrolment.</t>
  </si>
  <si>
    <t>uoft_2025_27</t>
  </si>
  <si>
    <t>In 2023-24, the Government approved multi-year plans to
increase fees for some programs where they were
significantly lower than the comparative sector average.
This applies to our MA, MSc, and MSc in Applied
Computing programs (more information is provided later in
this report).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</si>
  <si>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</si>
  <si>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</si>
  <si>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uoft_2025_29</t>
  </si>
  <si>
    <t>Nursing education continues to be a priority area for the
Government, which has funded additional spaces at
colleges and universities since 2021. Under this program,
the University received 55 additional spaces for our
undergraduate BScN program (31% increase in intake
over 2020). Given the continuing high demand for nursing
graduates in the health care sector, the University is
anticipating that this expansion will continue over the
planning period.</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</si>
  <si>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</si>
  <si>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</si>
  <si>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uoft_2025_31</t>
  </si>
  <si>
    <t>In May 2022, the Government announced expansion
funding for the new Scarborough Academy of Medicine
and Integrated Health (SAMIH) that will be located at the
University of Toronto Scarborough (UTSC) campus. SAMIH
is a collaboration between UTSC, the Temerty Faculty of
Medicine, the Lawrence Bloomberg Faculty of Nursing,
and the Leslie Dan Faculty of Pharmacy. It will serve as a
hub for undergraduate health education and health
professional training. 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</si>
  <si>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uoft_2025_32</t>
  </si>
  <si>
    <t>In addition, 30 MN Nurse Practitioner spaces will be
delivered through SAMIH.</t>
  </si>
  <si>
    <t>uoft_2025_33</t>
  </si>
  <si>
    <t>The home for SAMIH is currently under construction and
the Academy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t>
  </si>
  <si>
    <t>uof_2025_34</t>
  </si>
  <si>
    <t>In addition to the base and expansion operating grant
funding described above, the Provincial Government also
provides Special Purpose Funding for a number of targeted
initiatives each year such as mental health support
programs, accessibility &amp; accommodation supports,
campus safety, access &amp; outreach programs, Indigenous
student bursaries, and others. In total, the University
received $5.5 million in special purpose funding in 2023-
24. Allocations for many of these programs are announced
in-year and often flow through the restricted fund portion of
the University’s systems given the specific nature of the
eligible expenditures. However, the annual operating
budget does include a provision for Accessibility Funding,
assumed to be $3.8 million for 2025-26.</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</si>
  <si>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</si>
  <si>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</si>
  <si>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</si>
  <si>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</si>
  <si>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</si>
  <si>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</si>
  <si>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</si>
  <si>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</si>
  <si>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uoft_2025_39</t>
  </si>
  <si>
    <t>Similarly, the Provincial Government provides support
through Ontario Graduate Scholarships and the QEII
Graduate Scholarships in Science and Technology.
However, these awards have remained frozen in value and
the number available has not kept pace with the rapid
growth in graduate enrolment.</t>
  </si>
  <si>
    <t>uoft_2025_40</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</si>
  <si>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</si>
  <si>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uoft_2025_41</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</si>
  <si>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</si>
  <si>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uoft_2025_42</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</si>
  <si>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</si>
  <si>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</si>
  <si>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</si>
  <si>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</si>
  <si>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</si>
  <si>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</si>
  <si>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</si>
  <si>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Ancillary services across all three campuses make
important contributions to the student and campus
experience through residences, food operations, parking,
and other services for student, faculty, and staff. These
self-funded units rely on on-campus activity and faced
significant financial challenges during the pandemic.</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</si>
  <si>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</si>
  <si>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</si>
  <si>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carleton_2019</t>
  </si>
  <si>
    <t>windsor_2019</t>
  </si>
  <si>
    <t>windsor_2019_1</t>
  </si>
  <si>
    <t>On January 17, 2019, The Honourable Merrilee Fullerton, Minister of Training, Colleges and Universities for the government of Ontario, announced that:
• All domestic tuition rates will be decreased by 10% and frozen at that level for 2020/21;
• The Ontario Student Assistance Program (OSAP) will be refocused to ensure it remains sustainable and viable for future students while directing a greater proportion of OSAP funding to families with the greatest financial need;
• A Student Choice Initiative will be put into place that would:
o Ensure transparency regarding the fees that students are expected to pay;
o Bring consistency and simplicity to how students can opt-out of ancillary fees;
o Ensure students have more choice regarding the services and activities they wish to support.</t>
  </si>
  <si>
    <t>windsor_2019_2</t>
  </si>
  <si>
    <t>The new tuition fee framework will provide funding-eligible students in all years of study with a 10% reduction in tuition fees in 2019/20 as compared to 2018/19. During the 2020/21 tuition fee freeze, institutions will be expected to charge the same full-time and part-time tuition fees that they charged in 2019/20 for each program and year of study, with students enrolled in the first year of a program in 2020/21 paying the same tuition as students enrolled in first year of the program in 2019/20.</t>
  </si>
  <si>
    <t>windsor_2019_3</t>
  </si>
  <si>
    <t>The financial impact of the 10% rollback to UWindsor in 2019/20 is a shortfall in tuition revenue of approximately $10 million. </t>
  </si>
  <si>
    <t>windsor_2019_4</t>
  </si>
  <si>
    <t>A number of changes to OSAP were announced, including:
• Focusing OSAP on students who have demonstrated financial need;
• Eliminating the non-needs based portion of the Ontario Student Grant;
• Increasing the number of years from 4 to 6 when defining “independent” students;
• Factoring parental income into the OSAP needs assessment for students up to 6 years removed from high school; and
• Beginning to charge interest during the six-month grace period after graduation.</t>
  </si>
  <si>
    <t>windsor_2019_5</t>
  </si>
  <si>
    <t>The impact to the University’s Budget, if any, is unknown at this time but may affect enrolment or add pressures to the financial support provided to students through the operating budget.</t>
  </si>
  <si>
    <t>windsor_2019_6</t>
  </si>
  <si>
    <t>The Student Choice Initiative guidelines require that incidental fees charged by universities to support clubs, student societies, and programs that fall outside of the provincial framework for compulsory fees will be required to have an opt-out option for students. The ability to opt out must be presented to students before paying fees for that semester.
2019/20 OPERATING BUDGET PAGE 2
Besides the logistics of being able to make the changes to our systems necessary to make this available to students in time for registration, there will not be a significant effect on the University’s Budget.</t>
  </si>
  <si>
    <t>University of Windsor</t>
  </si>
  <si>
    <t>windsor_2025</t>
  </si>
  <si>
    <t>windsor_2025_1</t>
  </si>
  <si>
    <t>Financial sustainability is critical to fulfilling the University of Windsor’s academic mission, serving our communities, and advancing the commitments and priorities outlined in our strategic plan, Aspire. The University has a long history of fiscal prudence, consistently presenting balanced budgets through strategic enrolment planning and cost management. However, sustaining this practice has become increasingly difficult. Canada is experiencing unprecedented social and economic pressures and change, affecting nearly every sector – including postsecondary education.</t>
  </si>
  <si>
    <t>windsor_2025_2</t>
  </si>
  <si>
    <t>As a result, we must enter a new “Era of Reimagining” at the University of Windsor—one that demands strategic decisions. Maintaining the status quo is not an option; adapting to this reality requires both immediate actions and long-term strategies.</t>
  </si>
  <si>
    <t>windsor_2025_3</t>
  </si>
  <si>
    <t>Last fall, Immigration, Refugees, and Citizenship Canada (IRCC) introduced new requirements for international student visas. Specifically, study permit caps were reduced by 10%, including graduate students and linking to the provincial attestation letter (PAL) program. Additionally, enhanced verification processes were implemented; designated learning institutions must now directly confirm each applicant’s letter of acceptance with the IRCC. Financial requirements have also been enhanced, and new language proficiency benchmarks have been introduced.</t>
  </si>
  <si>
    <t>windsor_2025_4</t>
  </si>
  <si>
    <t>At the same time as the IRCC changes took place, geopolitical tensions between Canada and other
countries intensified. As a result, Canada’s reputation as a primary study destination suffered, especially
in India – the country from which UWindsor has historically recruited the majority of international
students. This has resulted in a decrease in international student enrolment. The IRCC caps alone are
expected to result in a loss of more than $600M in 2025/26 for Ontario’s colleges and universities.1</t>
  </si>
  <si>
    <t>windsor_2025_5</t>
  </si>
  <si>
    <t>UWindsor is in a vulnerable position—both literally and figuratively—due to factors that set us apart
from our peers. In recent years, UWindsor has diversified its international student population by
incrementally growing high-priority graduate programs while maintaining academic standards. As of Fall
2024, 25% of our full-time students hailed from outside Canada. This constituted about 29% of the
University’s operating budget revenue.</t>
  </si>
  <si>
    <t>windsor_2025_6</t>
  </si>
  <si>
    <t>We are also the most regionally dependent university in Ontario, with 76% of our domestic
undergraduate students coming from the Windsor-Essex and Chatham-Kent regions, the highest
proportion among all Ontario universities.</t>
  </si>
  <si>
    <t>windsor_2025_7</t>
  </si>
  <si>
    <t>This student enrolment demographic enables us to support local and global communities by cultivating a
talent pipeline that drives knowledge and economic growth. But it also means that local communities
feel the ripple effects of any challenges the institution faces. It also renders UWindsor more susceptible
to the effects of changes in international student enrolment, with any fluctuations having immediate
budgetary impact.</t>
  </si>
  <si>
    <t>windsor_2025_8</t>
  </si>
  <si>
    <t>UWindsor’s ability to generate additional revenue from domestic tuition is currently constrained.
Tuition rates have largely been frozen since 2019/20, following a sector-wide 10% reduction, with no increases permitted through 2026/27. At the same time, the provincially mandated enrolment corridor limits access to operating grants for students admitted above the funded midpoint, despite these students requiring full instructional and support services. Together, these policies have stalled growth in UWindsor’s most flexible revenue stream for more than six years.</t>
  </si>
  <si>
    <t>windsor_2025_9</t>
  </si>
  <si>
    <t>Direct government-based operating funding remains the only other major source of revenue for the University’s operating budget. While minor year-over-year increases in total operating revenue have occurred, these have been due to time-limited special purpose grants and do not reflect sustained public investment in institutional operations.</t>
  </si>
  <si>
    <t>windsor_2025_10</t>
  </si>
  <si>
    <t>In 2024/25, UWindsor received $9.3M in one-time funding through the Province’s Postsecondary Education Sustainability Fund (PSESF), introduced in response to the recommendations of the Blue-Ribbon Panel on Postsecondary Financial Sustainability. This included $2.8M in across-the-board support (equivalent to 3% of base funding) and an additional $6.5M in in top-up funding. Detailed information about the PSESF is included in a later section. It is important to note that while this funding provided important short-term relief in a period of fiscal constraint, it does not form part of the University’s base operating grant and carries no commitment beyond the current fiscal year.</t>
  </si>
  <si>
    <t>windsor_2025_11</t>
  </si>
  <si>
    <t>Inclusion of this temporary funding starting in the 2024/25 fiscal year reflected a system-wide recognition of growing financial pressures in Ontario’s postsecondary sector. However, the structural limitations facing universities — flat base funding, frozen tuition, and corridor restrictions — remain unresolved, underscoring the need for long-term solutions and sustainable investment.</t>
  </si>
  <si>
    <t>windsor_2025_12</t>
  </si>
  <si>
    <t>In addition to limited revenue growth opportunities, the University’s reserves are modest, though we have seen growth in recent years. While efforts have been made in the last five years to build up the reserves, there is no option to fund material base deficits through use of one-time reserve funds.</t>
  </si>
  <si>
    <t>windsor_2025_13</t>
  </si>
  <si>
    <t>The situation is further compounded by rising expenses, including higher costs for personnel, operational expenditures, and service agreements. Approximately 75% of UWindsor’s operating budget is allocated to people-related expenses. Adding to these challenges are inflation-driven expense increases across various other areas, including IT licensing, cybersecurity, subscriptions, renovations, maintenance, utilities, and supplies.</t>
  </si>
  <si>
    <t>windsor_2025_14</t>
  </si>
  <si>
    <t>In 2024/25, UWindsor faced an initial $8.4M gap between revenues and expenses when planning the operating budget. The Budget Balancing Committee established in the prior year identified $5.6M in cost-saving measures, yet a $2.8M base deficit remained. That deficit was fully offset by one-time provincial funds supported by the Ministry of Colleges, Universities, Research, Excellence and Security (MCURES) Post-Secondary Education Sustainability Fund, allowing a balanced budget to be presented to the Board of Governors last spring.</t>
  </si>
  <si>
    <t>windsor_2025_15</t>
  </si>
  <si>
    <t>For 2025/26, UWindsor is expecting a further decline in tuition revenue from international students which, coupled with the 2024/25 base deficit, has required transformational actions on behalf of the campus community to ensure our long-term financial sustainability.</t>
  </si>
  <si>
    <t>windsor_2025_16</t>
  </si>
  <si>
    <t>The University’s era of re-imagining calls on the campus community to identify strategic cost savings through reductions in personnel costs and efficiency improvements, along with exploring alternative revenue streams. Decisions were made with careful consideration of the University’s core mission, strategic priorities, and fiscal health. Avoiding any impact on our students, and the student experience, has been set as the top priority for all decisions.</t>
  </si>
  <si>
    <t>windsor_2025_17</t>
  </si>
  <si>
    <t>The University organized its priorities into six broad categories, each with differing savings targets and timeline horizons. Actions under each category have been incorporated in Budget 2025/26. 1) streamline administrative portfolios, 2) modernize procurement practices, 3) leverage existing and available technology, 4) maximize revenue generation opportunities, 5) maximize the role of full-time tenured faculty, 6) support successful staff and faculty transitions to retirement</t>
  </si>
  <si>
    <t>carleton_2019_1</t>
  </si>
  <si>
    <t>Carleton University’s budget planning process formally begins in the fall with input from the Board
of Governors and discussions with faculty and staff about emerging priorities and future pressures.
The budget continues to be influenced by the university’s five-year Strategic Integrated Plan (SIP):
Sustainable Communities – Global Prosperities. The development of a new SIP will begin in fall
2019 and the university will continue to focus on established priorities to take us through the 2019-
2020 budget cycle. As the new SIP comes together, it will create the opportunity for campus
stakeholders to participate in setting the vision, goals, and strategic direction for future years.</t>
  </si>
  <si>
    <t>carleton_2019_2</t>
  </si>
  <si>
    <t>There has been a lot of change and transition in the 2018-2019 academic year with the arrival of
our new President, confirmation of new deans and department heads, and our Provost and Vice-
President (Academic). The university’s $300-million capital campaign also came to a successful
conclusion. Externally, a new provincial government was installed at Queen’s Park, which is
expected to impact regulations and funding models.</t>
  </si>
  <si>
    <t>carleton_2019_3</t>
  </si>
  <si>
    <t>As well, in 2018, the Provost and Vice-President (Academic) was named the university’s Chief
Budget Officer and the former Financial Planning Group (FPG) was renamed the Provost Budget
Working Group (PBWG). The new committee oversees the annual budget process and is chaired
by the Provost and Vice-President (Academic) and co-chaired by the Vice-President (Finance and
Administration).</t>
  </si>
  <si>
    <t>carleton_2019_4</t>
  </si>
  <si>
    <t>In August 2017, Carleton signed a new Strategic Mandate Agreement (SMA2) with the Ministry of
Training, Colleges and Universities (MTCU), which included a new model for enrolment-based core
funding (using a corridor approach). The new funding model also consolidates a number of existing
grants into three major categories: Enrolment, Student Success, and Special Purpose.</t>
  </si>
  <si>
    <t>carleton_2019_5</t>
  </si>
  <si>
    <t>The SMA2 gathers information on system-wide and institutional initiatives grouped under the broad
themes of: a) student experience, b) innovation in teaching and learning excellence, c) access and
equity, d) research excellence and impact, and e) innovation, economic development, and
community engagement. The previous government had indicated that performance metrics could
have a financial impact in SMA3, starting in 2021, currently representing up to 8% of total provincial
grant funding for Carleton.</t>
  </si>
  <si>
    <t>carleton_2019_6</t>
  </si>
  <si>
    <t>Prior to negotiating the new Strategic Mandate Agreement, Carleton created Strategic
Transformation Groups (STGs), which have aligned the university’s operating priorities with SMA2
metrics. The work by the STGs in these areas continues. The five STGs are:
 Graduation and retention
 Research culture
 Employability
 Collaboration and community engagement
 Internationalization</t>
  </si>
  <si>
    <t>carleton_2019_7</t>
  </si>
  <si>
    <t>Although Carleton is presently in good financial health, maintaining a balanced
operating budget within the new provincial funding model will become increasingly challenging.</t>
  </si>
  <si>
    <t>Carleton University</t>
  </si>
  <si>
    <t>carleton_2020</t>
  </si>
  <si>
    <t>carleton_2020_1</t>
  </si>
  <si>
    <t>Carleton University’s annual budget planning process formally begins in the fall with the approval of
the process and assumptions by the Finance committee of the Board of Governors. In line with the
approved process, the 2020-21 operating budget was developed under the direction of the Provost
and Vice-President (Academic) with substantial advice from the Provost’s Budget Working Group
(PBWG).</t>
  </si>
  <si>
    <t>carleton_2020_2</t>
  </si>
  <si>
    <t>Our five-year Strategic Integrated Plan (SIP): Sustainable Communities – Global Prosperities
continues to influence our strategic investment decisions. In addition, this year, the University has
launched a new Strategic Integrated Planning process and the ideas gathered throughout the
consultations have also contributed to defining our annual budget priorities for the year.</t>
  </si>
  <si>
    <t>carleton_2020_3</t>
  </si>
  <si>
    <t>Indeed, in the initial Open Consultation Phase, the Strategic Integrated Planning (SIP) Task Force
hosted more than 50 consultations and had more than 1,000 conversations with faculty, staff,
students, community partners and alumni members about Carleton’s strengths and vision for the
future. This comprehensive input led to the Themed Consultation phase where the Carleton
community was engaged in specific conversations about particular emergent themes. In early 2020,
the draft Strategic Integrated Plan was distributed widely to the Carleton community in order to invite
feedback and comments. Once the document is finalized, it will be presented to Senate and the
Board of Governors for approval.</t>
  </si>
  <si>
    <t>carleton_2020_4</t>
  </si>
  <si>
    <t>In parallel, during the Fall of 2019, Carleton began the process of negotiating a renewed Strategic
Mandate Agreement (SMA3) with the Ministry of Colleges and Universities (MCU) of Ontario. SMA3
is aligned with the MCU’s funding model reform and introduces a performance/outcomes-based
grant in a differentiation funding envelope. While the document is essentially finalized, it has
indeterminately been put on hold by the Province due to the current public health crisis. It is now
doubtful that it will come into play for 2020-21.</t>
  </si>
  <si>
    <t>carleton_2020_5</t>
  </si>
  <si>
    <t>Although Carleton is presently in good financial health, maintaining a balanced operating budget
under the new provincial funding model, when it becomes operational, could become increasingly
challenging. The following sections of this report describe the actions taken to support continued
growth and further success at Carleton while continuing to maintain financial sustainability.</t>
  </si>
  <si>
    <t>carleton_2021</t>
  </si>
  <si>
    <t>carleton_2021_1</t>
  </si>
  <si>
    <t>Carleton has plenty of reasons to celebrate as we have experienced much success over the years. Our Equity, Diversity and Inclusion (EDI) Action Plan, Coordinated Accessibility Strategy and Kinàmàgawin (Indigenous initiatives strategy) are well underway. We have undertaken a rebranding exercise to realign our key messages, storytelling, brand and marketing to enhance the university’s reputation at the regional, national and international levels. We continue to support multidisciplinary research clusters, provide pathways to student success, enhance accessibility for all and establish partnerships with purpose. As the second most sustainable university in Canada, we continue to lead in sustainability and emphasize wellness and mental health in everything we do.</t>
  </si>
  <si>
    <t>carleton_2021_2</t>
  </si>
  <si>
    <t>2020-21 was an unprecedented year that included significant operational challenges presented by the global public health crisis. In response, researchers, academic and support staff demonstrated flexibility and creativity as we adapted to the current realities while continuing to uphold our academic mission. By transitioning to remote delivery, we continue to deliver high-quality teaching and outstanding research. Throughout the pandemic, we have continued to support students by increasing levels of student aid, investing in experiential learning opportunities and introducing compassionate grading practices to respond to the additional pressures placed on students. We continue to navigate the pandemic and are planning for a gradual and safe return to campus once public health guidelines permit.</t>
  </si>
  <si>
    <t>carleton_2021_3</t>
  </si>
  <si>
    <t>Carleton is well-positioned to pursue its three strategic directions: Share Knowledge, Shape the Future; Serve Ottawa, Serve the World; and Strive for Wellness, Strive for Sustainability. The 2021-22 operating budget aims to support efforts to achieve meaningful impact in each of these areas while we continue to respond to the global public health crisis.</t>
  </si>
  <si>
    <t>carleton_2021_4</t>
  </si>
  <si>
    <t>Though Carleton is presently in good financial health, critical environmental factors continue to place pressure on maintaining a balanced budget. This budget contains investments aligned with these goals while continuing to maintain financial sustainability.</t>
  </si>
  <si>
    <t>carleton_2022</t>
  </si>
  <si>
    <t>carleton_2022_1</t>
  </si>
  <si>
    <t>Carleton has many reasons to celebrate as we have experienced much success over the years. Our Equity, Diversity and Inclusion (EDI) Action Plan, Coordinated Accessibility Strategy and Kinàmàgawin (Indigenous initiatives strategy) are well underway. We have undertaken a rebranding exercise to realign our key messages, storytelling, brand and marketing to enhance the university’s reputation at the regional, national and international levels. We continue to support multidisciplinary research clusters, provide pathways to student success, enhance accessibility for all and establish partnerships with purpose. As the second most sustainable university in Canada, we continue to lead in sustainability and emphasize wellness and mental health in everything we do.</t>
  </si>
  <si>
    <t>2021-2022  included significant operational challenges presented by the global public health crisis. In response, researchers, academic and support staff demonstrated flexibility and creativity as we adapted to the current realities while continuing to uphold our academic mission. By transitioning to remote delivery, we continue to deliver high-quality teaching and outstanding research. Throughout the pandemic, we have continued to support students by increasing levels of student aid, investing in experiential learning opportunities and introducing compassionate grading practices to respond to the additional pressures placed on students. We continue to navigate the pandemic and are planning for a gradual and safe return to campus once public health guidelines permit.</t>
  </si>
  <si>
    <t>Carleton is well-positioned to pursue its three strategic directions: Share Knowledge, Shape the Future; Serve Ottawa, Serve the World; and Strive for Wellness, Strive for Sustainability. The 2022-2023 operating budget aims to support efforts to achieve meaningful impact in each of these areas while we continue to respond to the global public health crisis.</t>
  </si>
  <si>
    <t>carleton_2022_2</t>
  </si>
  <si>
    <t>carleton_2022_3</t>
  </si>
  <si>
    <t>carleton_2022_4</t>
  </si>
  <si>
    <t>carleton_2023_1</t>
  </si>
  <si>
    <t>carleton_2023</t>
  </si>
  <si>
    <t>Carleton University is pleased to present its operating budget for the 2023-24 academic year. This budget supports the university’s plans for the coming year through an alignment of the university’s strategic planning, risk assessment, operational planning and budgeting activities. The primary goal of this budget, as recommended by the Provost’s Budget Working Group (PBWG), is to advance the three directions of our Strategic Integrated Plan: Share Knowledge, Shape the Future; Serve Ottawa, Serve the World; and Strive for Wellness, Strive for Sustainability as well as to encourage innovation in recruitment, retention, programming, and curriculum.</t>
  </si>
  <si>
    <t>carleton_2023_2</t>
  </si>
  <si>
    <t>Carleton has experienced much success over the years. Our Equity, Diversity and Inclusion (EDI) Action Plan, Coordinated Accessibility Strategy and Kinàmàgawin (Learning Together) Indigenous initiatives strategy are well underway. We have undertaken a rebranding exercise to realign our key messages, storytelling, branding and marketing to enhance the university’s reputation at the regional, national and international levels. Our research activities continue to soar, with the university receiving a record-breaking $97.4 million in external funding and $37.5 million in Tri-Agency funding towards tackling some of the world’s most pressing issues. We continue to support multidisciplinary research clusters, provide pathways to student success, enhance accessibility for all and establish partnerships with purpose. As the second most sustainable university in Canada, we continue to lead in sustainability and emphasize wellness and mental health in everything we do.</t>
  </si>
  <si>
    <t>carleton_2023_3</t>
  </si>
  <si>
    <t>The post-secondary education sector in Ontario currently faces a number of challenges as we collectively strive to achieve our strategic goals while maintaining balanced operating budgets. Presenting balanced operating budgets have become increasingly difficult due to factors such as a continued freeze on domestic tuition for Ontario resident students, a fixed operating grant, material deferred maintenance liabilities, annual compensation increases and changes in recruitment and enrolment patterns. Despite these challenges, we are able to present a balanced operating budget for 2023-24.</t>
  </si>
  <si>
    <t>carleton_2023_4</t>
  </si>
  <si>
    <t>Despite significant impact posed by the COVID-19 pandemic, including international student visa processing delays experienced in 2022-23, we remain confident that a return to in-person recruitment, our reputational enhancement efforts, combined with signals that international student visa processing issues have been resolved, will bring modest growth in enrolment and associated tuition revenue for 2023-24. This is driven by a planned gradual increase in domestic undergraduate and international graduate student intake along with a partial bounce-back in international undergraduate intake.</t>
  </si>
  <si>
    <t>carleton_2023_5</t>
  </si>
  <si>
    <t>The impact of a continued domestic tuition fee freeze presents challenges to the university and each of its Resource Planning Committees (RPCs). Adjustments to RPC budgets will include some combination of changes to faculty and staff hiring plans, deferral of capital projects, and fewer investments in service improvements and new initiatives.</t>
  </si>
  <si>
    <t>carleton_2023_6</t>
  </si>
  <si>
    <t>Students will continue to be supported by enhancements to mental health programs. A new Mental Health and Wellness website has been launched, featuring an interactive Wellness Services Navigator, to help students find tools and resources to understand, manage and improve their mental health and wellness while at university. The 2023-24 operating budget continues includes funding to support sexual violence prevention and individuals making disclosures and reports of sexual violence.</t>
  </si>
  <si>
    <t>carleton_2023_7</t>
  </si>
  <si>
    <t>Budget priorities in Faculty RPCs include curriculum renewal; developing new and emerging programs; hiring of tenure stream faculty as well as instructors; recruitment; capital investments in teaching and research infrastructure; investments to support researchers; and expanding experiential learning opportunities.</t>
  </si>
  <si>
    <t>carleton_2023_8</t>
  </si>
  <si>
    <t>Priorities for central support services over the next few years include: new tools and initiatives to support high-impact practices in teaching and learning; investments to address information security risks; increasing capacity in student recruitment; enhancing student services; additional funding to support researchers and sustain research growth; funding to maintain the library’s acquisition and collection activities; and critical spending on deferred building maintenance and IT infrastructure evergreening.</t>
  </si>
  <si>
    <t>In addition to these institutional priorities, central contingenicies will provide support to RPCs by funding compensation and benefit increases as we exit Bill 124.</t>
  </si>
  <si>
    <t>carleton_2023_9</t>
  </si>
  <si>
    <t>carleton_2023_10</t>
  </si>
  <si>
    <t>Though Carleton is presently in good financial health, critical environmental factors continue to place pressure on maintaining a balanced budget. This budget represents investments geared toward accomplishing our goals while also ensuring we continue to maintain financial sustainability.</t>
  </si>
  <si>
    <t>carleton_2024</t>
  </si>
  <si>
    <t>carleton_2024_1</t>
  </si>
  <si>
    <t>Carleton University is pleased to present the operating budget for the 2024-25 academic year. This report describes the University’s current strategic context and fiscal environment, highlighting the key assumptions that underlie its long-term financial plan. This budget is shaped by the three directions of our Strategic Integrated Plan and five operating priorities set by the Strategic Integrated Planning Committee (SIPC). These priorities have focused on increased efforts in undergraduate recruitment to ensure a broad and diverse population of students in the learning ecosystem; investments in initiatives aimed at student success and retention; development of new programs and program renewal that will help students become graduates who will make significant impacts on their communities and the world; exploration of new online markets to provide greater reach and flexibility in the delivery of our teaching mission; and service rationalization and process modernization initiatives designed to further our operational excellence efforts. These priorities provide institutional context for divisional academic planning, which, in turn, leads to investment in specific initiatives and activities throughout the University.</t>
  </si>
  <si>
    <t>carleton_2024_2</t>
  </si>
  <si>
    <t>The post-secondary education sector in Ontario faces numerous challenges as we collectively strive to achieve our goals while maintaining balanced operating budgets. The Council of Ontario Universities has stated: “At least 10 of the province’s 23 publicly assisted universities are now projecting budget deficits [in 2023-24] totaling $175 million, with that number expected to rise to $273 million in 2024-25.”1 This estimate was provided before the repeal of Bill 124, which will have the effect of materially increasing the projected sector-wide budget deficit. These deficits are driven by acute regulatory and policy changes on the part of government which are beyond the control of universities.</t>
  </si>
  <si>
    <t>carleton_2024_3</t>
  </si>
  <si>
    <t>Unfortunately, the provincial government has decided again to extend the freeze of domestic tuition for Ontario residents. The Ministry recently clarified that this freeze will extend into the next three fiscal years, or through to 2026-27. The impact of the 10% tuition fee cut in 2019-20 and subsequent freeze, up to and including 2023-24, totals an estimated $190 million in cumulative lost tuition revenue for Carleton. This also translates to a reduction in annual lost tuition revenue of approximately $55 million in 2024-25 and onward when compared to the framework in place before 2019-20.</t>
  </si>
  <si>
    <t>carleton_2024_4</t>
  </si>
  <si>
    <t>Additionally, the sector remains in a corridor model with respect to its operating grant from the Ministry of Colleges and Universities, meaning little opportunity exists for Ministry-provided operating grants to grow with enrolment. In March 2024, however, Carleton received a one-time grant of $7.2 million from the provincial government for unfunded growth in the STEM disciplines, along with an increase of 3%/2%/2% in the operating grant for 2024-25, 2025-26, and 2026-27, respectively. It is not clear whether these increases will become permanent or will be limited only to a three-year term.</t>
  </si>
  <si>
    <t>carleton_2024_5</t>
  </si>
  <si>
    <t>Prior to the pandemic, enrolment had been steadily and consistently increasing year over year for more than a decade, driven by growth in intake at both the undergraduate and graduate levels. In the fall of 2020, Carleton experienced a decline in new domestic first-year students, followed by a few consecutive years of decline in new first-year international students starting in 2021. The Fall 2023 term intake of new students saw the new domestic first-year student cohort at 87% of the peak intake year (2017), and the new international first-year student cohort stood at 61% of the comparable peak year for that cohort (2018). Successive years of declines have, and will continue, to flow through enrolment levels, affecting tuition revenue. Fortunately, the provincial grant has not been at risk during this period as we have been at or above the funded midpoint in the corridor model.</t>
  </si>
  <si>
    <t>carleton_2024_6</t>
  </si>
  <si>
    <t>For intake assumptions in 2024-25, we are pleased to see increases in domestic student interest but are also mindful of the financial situation of Ontario universities in general which will precipitate greater competition for domestic students. We have projected modest increases in domestic intake, therefore, both at the undergraduate and graduate levels. Given current geopolitical events coupled with new government regulations and process changes, we anticipate challenges with new international student cohort sizes. We have seen declines in application numbers at both the undergraduate and graduate levels. Caps on international student numbers exempt graduate students and given that demand is growing in some programs geared to international graduate students, we anticipate that the impact won’t be as significant at the graduate level as at the undergraduate level, although we are seeing declines in international graduate student applications at both levels. At the undergraduate level, while all efforts are being made to mitigate losses, the concern for 2024-25 is particularly acute as confusion and delays in processing visas may have significant implications.</t>
  </si>
  <si>
    <t>carleton_2024_7</t>
  </si>
  <si>
    <t>The University’s single largest operating expenditure is salary and benefits, representing approximately 76% of operating budget spend. As a result, the repeal of Bill 124 is projected to have a material financial impact on the University. Many peer institutions have finalized their approach to addressing the wage issues for faculty and staff post-Bill 124 and a process is now underway at Carleton to settle this issue.</t>
  </si>
  <si>
    <t>carleton_2024_8</t>
  </si>
  <si>
    <t>Other financial pressures include the University’s deferred maintenance obligation which continues to grow; as well, our Enterprise Resource Planning system is nearing a point at which we will need to evaluate options for replacement.</t>
  </si>
  <si>
    <t>carleton_2024_9</t>
  </si>
  <si>
    <t>For 2023-24, based on our financial outlook at that time, the University mandated a 2% across-the-board cut for all resource planning committees (RPCs). In response to the increasing financial pressure facing the University, driven by mainly exogenous factors, a mandated 3% across-the-board cut was communicated as part of the 2024-25 operating budget process. This decision will level a differential impact on each RPC, depending on program mix and RPC revenue sources. Adjustments to RPC plans will differ based on local priorities but will include some combination of changes to faculty and staff hiring plans, deferral of capital projects, and fewer investments in service improvements and new initiatives.</t>
  </si>
  <si>
    <t>carleton_2024_10</t>
  </si>
  <si>
    <t>The result is a budgeted operating deficit of $26 million for 2024-25. The long-range financial outlook projects that 6% in annual RPC base budget cuts may be required between now and 2028-29 to balance the University’s operating budget should no new opportunities for revenue growth present themselves.</t>
  </si>
  <si>
    <t>carleton_2024_11</t>
  </si>
  <si>
    <t>Structural financial stability may come, however, not only through prudent spending and base budget cuts, but also through focused efforts to increase our revenues. Opportunities exist in the mid-term to see: (a) our new programs reach steady state; (b) a full bounce back in international enrolment; (c) the MEng Practice program bringing additional targeted international enrolment; (d) increases in domestic enrolments; and (e) MCU operating grant increases potentially set as permanent, or base, increases. Should these programmatic and regulatory changes be realized by 2028-29, they would have the effect of substantially reducing the projected $80 million base budget deficit.</t>
  </si>
  <si>
    <t>carleton_2025_1</t>
  </si>
  <si>
    <t>carleton_2025</t>
  </si>
  <si>
    <t>Carleton’s 2025-26 operating budget signals a year of financial instability. Since the Ontario government introduced a corridor model for distributing the operating grant in 2017, events such as the 10% domestic tuition fee cut in 2019-20 and subsequent ongoing freeze, the repeal of Bill 124, diplomatic tensions, and policy changes on international student visas imposed by Immigration, Refugees and Citizenship Canada have had a cumulative and deleterious impact on Carleton’s financial position. From a $44 million base operating budget surplus presented in 2018-19, the University now presents a $32 million base operating budget deficit for 2025-26.</t>
  </si>
  <si>
    <t>When assessing the financial health of the institution, the leadership team focuses its long-range financial planning on its base budget projection, which communicates the structural financial position of the institution. In 2024-25, the University budgeted a base operating deficit of $32 million, with term-limited investment income improving the fiscal result to a $26 million reported deficit. The base operating deficit is projected to remain flat in 2025-26, despite cutting $24 million in base expenditure budget for the coming year. This result highlights the current plight of Ontario universities: a sector marked by slow and constrained capacity to change coping with a rapidly evolving and unpredictable external environment. During 2024-25, the two most significant structural changes impacting Carleton University’s finances are the decline in international student intake and the retroactive application of Bill 124 salary adjustments. These events have a material flowthrough effect in 2025-26 and onward.</t>
  </si>
  <si>
    <t>carleton_2025_2</t>
  </si>
  <si>
    <t>carleton_2025_3</t>
  </si>
  <si>
    <t>The University had planned for a 25% and 10% reduction in undergraduate and graduate international students, respectively, in 2024-25 due to the impairment of Canada’s brand as a destination for international education, along with the operational losses incurred because of a delayed introduction of Provincial Attestation Letter requirements. Actual international intake in 2024-25, however, was materially lower in undergraduate and graduate students than in 2023-24. Early application data lead us to anticipate this trend will continue into 2025-26 with a projected additional 50% international undergraduate student decline and 10% international graduate student decline against 2024-25 levels. These declines continue an international student enrolment trend that began several years ago. In 2024-25, the University registered a 72% drop in international undergraduate student intake since our peak of more than 800 students in the fall of 2018. Compared to fall 2020, our undergraduate international intake has dropped 70%. Based on current projections, we are expecting as of Fall 2025 to have dropped by 86% from the peak in 2018.</t>
  </si>
  <si>
    <t>carleton_2025_4</t>
  </si>
  <si>
    <t>The repeal of Bill 124 also had a material financial impact on the University both in terms of retroactive salary payments and ongoing salary commitments. Salaries and benefits are the University’s largest operating expenditure, representing over 75% of operating budget expenditures. The Bill 124 salary adjustment, coupled with collective agreement-driven increases, exacerbate the structural budget challenges the University faces as increases in salaries continue to outpace revenue growth. Other financial pressures include the continued expansion of deferred maintenance obligations and an aging Enterprise Resource Planning system.</t>
  </si>
  <si>
    <t>carleton_2025_5</t>
  </si>
  <si>
    <t>A positive financial outcome for the University, however, occurred through an announcement made recently by the Ministry of Colleges, Universities, Research Excellence and Security (MCURES). On March 24, 2025, the Ministry announced an annual investment of $150M beginning in 2025-26 to support the continued delivery and enhancement of science, technology, engineering and mathematics (STEM) programming at Ontario’s colleges and universities. The allocation rewards institutions where enrolment has increased above the level funded in Strategic Mandate Agreement 3 (SMA3), while also providing support to all institutions that provide STEM programming in the province to help them retain existing STEM enrolments. For Carleton, this will result in $7.8 million in additional, ongoing provincial funding. Additionally, Postsecondary Education Sustainability Fund top-up monies are being allocated to
4
institutions based on their updated financial health risk ratings. Carleton has received a medium risk rating, which will result in a one-time 3.5% increase to our operating funding, or $5.9 million.</t>
  </si>
  <si>
    <t>carleton_2025_6</t>
  </si>
  <si>
    <t>As revenues decrease and salary costs increase, the University has undertaken a spending reduction campaign across all Resource Planning Committees. The University has reduced its base spending by $30 million through introduction of a Voluntary Retirement Incentive Program (VRIP), reducing general and administrative spending, and making changes to class sizes and offerings. The University is reviewing the impact of staff reductions in areas where mission critical services are located and will make hiring decisions as needed. Inevitably, these budget reductions will impact service levels.</t>
  </si>
  <si>
    <t>carleton_2025_7</t>
  </si>
  <si>
    <t>The University’s operating budget continues to be shaped by the three directions of our Strategic Integrated Plan and five operating priorities set by the Strategic Integrated Planning Committee (SIPC). These priorities have focused on increased efforts in undergraduate recruitment to ensure a broad and diverse population of students in the learning ecosystem; investments in initiatives aimed at student success and retention; development of new programs and program renewal that will help students become graduates who will make significant impacts on their communities and the world; exploration of new online markets to provide greater reach and flexibility in the delivery of our teaching mission; and service rationalization and process modernization initiatives designed to further our operational excellence efforts.</t>
  </si>
  <si>
    <t>carleton_2025_8</t>
  </si>
  <si>
    <t>We plan to continue investing in strategically important programs such as the Bachelor of Nursing, Bachelor of Engineering (Mechatronics), Bachelor of Data Science, Bachelor of Cybersecurity, Bachelor of Accounting, Master of Biotechnology, and Master of Science in Clinical Trials in response to changes in societal needs and demands. Lastly, the University plans to allocate limited resources to continue support of our learning and research environments. After investment, the net base budget reduction is nearly $24 million.</t>
  </si>
  <si>
    <t>carleton_2025_9</t>
  </si>
  <si>
    <t>Despite these significant efforts, the long-range financial outlook is clear: more organizational restructuring is required to restore financial stability. Continued attention to these priorities will be required to stem the depletion of university resources and the challenge to continue operating as a going concern. Organizational restructuring may begin as early as the current fiscal year. The operating budget presented for approval, however does not include an estimate for the impact of possible restructuring.</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</si>
  <si>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</si>
  <si>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</si>
  <si>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york_2017</t>
  </si>
  <si>
    <t>york_2017_1</t>
  </si>
  <si>
    <t>York’s operating budget is comprised mostly of two revenue streams – 33% in government grants and 60% in tuition fee revenue, much of which is regulated or directed by government. This means limited flexibility for universities to increase revenue.</t>
  </si>
  <si>
    <t>york_2017_2</t>
  </si>
  <si>
    <t>In the recent past, the government has limited funding increases to enrolment growth. The 2017 Provincial Budget announced that there would be no funds allocated for enrolment growth above the 2016-17 levels. According to government population projections, the provincial demographics of university age students are expected to decline for two more years. However, the government’s OSAP reforms are having a
7
positive impact on enrolments and accessibility at Ontario’s universities. The number of high school students applying to Ontario’s universities is up 1.6% over last year despite an overall decline in secondary school graduates. This demonstrates that postsecondary education is recognized as key to a brighter economic future for graduates, and for the province.</t>
  </si>
  <si>
    <t>york_2017_3</t>
  </si>
  <si>
    <t>As indicated previously, the Ministry is implementing a new funding model in 2017-18. In this formula, more grant funding is linked to outcomes unlike previously when grant funding was linked strictly to enrolment. In the new formula, the Ministry has created three funding bins – a funding bin linked to enrolment, one linked to quality and differentiation measured using agreed upon outcomes based metrics and a special purpose or targeted funding bin which supports targeted funding for initiatives such as French language, disability supports, etc. The Ministry has committed to maintaining the 2016-17 funding level for all universities through the second round of SMAs that are currently being negotiated and will be in place for three years (2017-18 to 2019-20).</t>
  </si>
  <si>
    <t>york_2017_4</t>
  </si>
  <si>
    <t>The government’s tuition fee framework initially announced in March 2013-14, and set to expire in 2016-17 has now been extended for another two years. This framework limits the tuition fee increases to an institutional average of 3%. The proposed Budget Plan has assumed the same tuition fee framework for the next three years.</t>
  </si>
  <si>
    <t>york_2017_5</t>
  </si>
  <si>
    <t>A key planning assumption which drives revenue and cost changes is the enrolment plan. The current overall multi-year enrolment plan is provided in Table 2. The plan outlines the overall projected enrolment by domestic and international students for both undergraduate and graduate enrolments.</t>
  </si>
  <si>
    <t>york_2017_6</t>
  </si>
  <si>
    <t>Overall, the actual 2016-17 enrolments were above budget targets with most of the growth coming from undergraduate and graduate international students.</t>
  </si>
  <si>
    <t>york_2017_7</t>
  </si>
  <si>
    <t>As a result of enrolment decline challenges in the domestic undergraduate category, York will continue to experience fewer enrolments in 2017-18 compared to previous years. This is attributed to more students in the graduating cohort compared to those in the entering cohorts in the last few years. It is expected that as the smaller cohorts flow through and begin to graduate, enrolment will reach 45,000 full time equivalent undergraduate (domestic and international) students by 2018-19, surpassing the 2012-13 levels of 44,300.</t>
  </si>
  <si>
    <t>york_2017_8</t>
  </si>
  <si>
    <t>With respect to graduate students, the University’s current plan for domestic graduate enrolment is to achieve the first round of SMA enrolment levels, which are similar to the enrolment levels reached in 2008-09 for masters and slightly lower for doctoral. This
8
plan will be informed by the current discussions with the Ministry under the second
round of SMA negotiations.</t>
  </si>
  <si>
    <t>york_2017_9</t>
  </si>
  <si>
    <t>This enrolment plan is to grow domestic enrolments back to the levels that are currently
funded by the Ministry and is in line with our SMA1 commitments. The enrolment plan
will be revisited once the SMA2 negotiations with MAESD have been completed. The
negotiations are expected to be finalized by the end of June 2017.</t>
  </si>
  <si>
    <t>laurier_2025</t>
  </si>
  <si>
    <t>laurier_2025_1</t>
  </si>
  <si>
    <t>The assumptions and estimates included in the 2025/26 Operating, Ancillary and Capital budgets are
based on the information available to management at the time of preparation. Post-secondary
institutions in Canada are facing sector-wide challenges, with continued revenue constraints and
significant inflationary pressures contributing to growing financial risks. Universities across Ontario are
facing increased scrutiny on fiscal performance through the Ministry of Colleges, Universities, Research
Excellence and Security (MCURES) Financial Accountability Framework.</t>
  </si>
  <si>
    <t>laurier_2025_2</t>
  </si>
  <si>
    <t>Successfully navigating this difficult environment will require highly disciplined and effective financial
management as the university considers both the short-term horizon as articulated in the fiscal year
budget and long-term sustainability as depicted in the multi-year budget projections.</t>
  </si>
  <si>
    <t>laurier_2025_3</t>
  </si>
  <si>
    <t>On April 22, 2025 MCURES announced a $750 million investment to support 20,500 STEM learners
annually at universities and colleges. Due to Laurier’s significant enrolment growth in serving Ontario
students, particularly in STEM programs, Laurier’s share of that funding is $16.1 million annually,
representing funding for over 2,000 existing unfunded STEM learners at the current system funding rates.
Laurier’s share of the funding is committed for three years, with funding for 2028/29 and 2029/30 to be
confirmed by MCURES through future multi-year planning exercises informed by the upcoming funding
model review.</t>
  </si>
  <si>
    <t>Notwithstanding this recent infusion of government grant funding, Laurier remain in a structural deficit
position, with a modest deficit slated to increase rapidly over the next five years even if tuition is
permitted to increase in 2027/28 and beyond. Significant constraints on revenue continue in the short
term, including an ongoing general freeze in domestic tuition rates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required to succeed
in a highly competitive sector.</t>
  </si>
  <si>
    <t>laurier_2025_4</t>
  </si>
  <si>
    <t>laurier_2025_5</t>
  </si>
  <si>
    <t>Alongside a challenging revenue outlook, increased scrutiny of universities’ financial performance
continues through the MCURES University Financial Accountability Framework. The Framework consists
of the five financial health indicators previously reported by Ontario Universities and incorporates debt
ratios and the institution’s credit rating into an overall risk assessment. While Laurier’s 2023/24 financial
performance resulted in a “low” risk assessment, a significant contributing factor to this assessment was
the occurrence of one-time financial impacts such as real estate transactions (reinvested in capital) and
the 23/24 one-time-only STEM funding. Without these transactions, Laurier’s performance would have
yielded a less favourable risk assessment rating. 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</si>
  <si>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laurier_2025_6</t>
  </si>
  <si>
    <t>Throughout our history, the strength of the Wilfrid Laurier University community has allowed us to
capitalize on opportunities and overcome challenges to become a comprehensive, multi-campus
institution focused on excellence in academics, a sector-leading student experience, and a growing
research enterprise. Since 2019, Laurier has pursued these efforts in addition to implementing significant
budget savings targets; with the 2025/26 proposed budget, the magnitude of efficiencies achieved will
be in excess of $43 million, a 12% reduction resulting in 2025/26 budgeted expenses of $371 million.</t>
  </si>
  <si>
    <t>laurier_2025_7</t>
  </si>
  <si>
    <t>The Operating Budget comprises the major annual revenues and expenditures of the university’s financial
operations. Revenues from student tuition fees and government operating grants account for 85% of the
total operating revenues. Faculty and staff salaries and benefits account for 75% of the total operating
expenditures. Table 1 below is a summary of the 2025/26 Operating Budget.</t>
  </si>
  <si>
    <t>laurier_2025_8</t>
  </si>
  <si>
    <t>The 2025/26 Budget shows forecasted total revenues of $369.1 million, an increase of $32.6 million, or
9.7%, over last year’s Budget. Tuition revenue has increased by $5.6 million, primarily due to an
anticipated 1.6% increase in enrolment and limited, allowable tuition increases. An overall $18.9 million
increase in grant funding over the prior year is the result of the recently announced support for the
continued delivery and enhancement of STEM programming for the sector, with Laurier receiving $16.1
million. Other grant increases relate to the increase in one-time funding from the Postsecondary
Education Sustainability Fund (PSESF) and continued domestic growth at the Milton campus, which is fully
funded. An updated Student Affairs Administrative Agreement (SAAA), now called the Comprehensive
Student Services Administrative Agreement (CSSAA), resulting in additional student contributions driving
the remaining revenue increase.</t>
  </si>
  <si>
    <t>laurier_2025_9</t>
  </si>
  <si>
    <t>Total expenditures are forecasted at $371.4 million, an increase of $27.6 million, or 8.0%, over last year.
Salaries and benefits increased by $22.1 million over the previous year, largely due to current collective
agreements in place, (~$15 million), benefit increases and transitioning to UPP on January 1, 2026 (~$2.5
million). Non-salary expenses increased by $5.4 million. Section 3.2.6 provides further detail.</t>
  </si>
  <si>
    <t>laurier_2025_10</t>
  </si>
  <si>
    <t>The 2025/26 Budget is being presented as a balanced budget through the continuation of limited austerity
measures, appropriation of the Milton operating deficit, and the anticipated additional BEd funding that
remains unconfirmed at the time of writing. Further, an institutional 1.0% budget reduction across vice-
president portfolios along with limited investments in 2025/26 also contributed to the balanced budget
being put forward for approval.</t>
  </si>
  <si>
    <t>laurier_2025_11</t>
  </si>
  <si>
    <t>The Ancillary Services Budget as summarized in Table 2 below includes the self-sustaining units of
Business Development, Conference Services, Food Services, Hawk Shops, HUB Operations, Off Campus
Housing (Ezra Bricker Apartments &amp; Houses), OneCard Operations, Parking &amp; Transportation Resources,
Printing Services and Residence Operations (Waterloo &amp; Brantford campuses).</t>
  </si>
  <si>
    <t>laurier_2025_12</t>
  </si>
  <si>
    <t>The revenue of the ancillary enterprises increased by $2.9 million from an approved budget of $57.1
million in 2024/25 to $60.1 million in 2025/26.</t>
  </si>
  <si>
    <t>Wilfrid Laurier University</t>
  </si>
  <si>
    <t>laurier_2024</t>
  </si>
  <si>
    <t>laurier_2024_1</t>
  </si>
  <si>
    <t>The assumptions and estimates included in the 2024/2025 Operating, Ancillary and Capital budgets are based on the information available to management at the time of preparation. Post-secondary institutions in Canada are facing sector-wide challenges, with continued revenue constraints and significant inflationary pressures contributing to growing financial risks. Universities across Ontario are facing increased scrutiny on fiscal performance through a recently announced MCU Financial Accountability Framework and a series of value-for-money audits by the Auditor General.</t>
  </si>
  <si>
    <t>laurier_2024_2</t>
  </si>
  <si>
    <t>Successfully navigating this difficult environment will require highly disciplined and effective financial
management as the university considers both the short-term horizon as articulated in the fiscal year
budget and long-term sustainability as depicted in the multi-year budget projections</t>
  </si>
  <si>
    <t>laurier_2024_3</t>
  </si>
  <si>
    <t>Laurier is now in a structural deficit position, as the university faces significant constraints on revenue including an ongoing general freeze in domestic tuition rates, modest temporary increases to government grant,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to succeed in a highly competitive sector.</t>
  </si>
  <si>
    <t>Alongside a challenging revenue outlook, increased scrutiny of universities’ financial performance
continues through the MCURES University Financial Accountability Framework. The Framework consists
of the five financial health indicators previously reported by Ontario Universities and incorporates debt ratios and the institution's credit rating into an overall risk assessment. Laurier's 2022/2023 financial performance resulted in a "low" risk assessment, however, a significant contributing factor to this assessment was the occurance of one-time real estate transactions - without these transactions, Laurier's performance would have yielded a less favourable risk assessment rating. 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</si>
  <si>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laurier_2024_4</t>
  </si>
  <si>
    <t>laurier_2024_5</t>
  </si>
  <si>
    <t>In February 2024, Laurier received $11.6 million of funding for the 2023/24 fiscal year as part of the province's funding approach to stabilize colleges and universities while maintaining a tuition freeze for Ontario students. This funding was provided specifically for STEM program costs for enrolments above currently funded levels. This one-time funding enables Laurier to offset $11.6 million in budgeted expenditures incurred during the 2023/24 and contribute to a stabilization fund to mitigate future deficits. While this provides some limited, short-term deficit mitigation, without sustained and predictable funding Laurier will continue to be challenged with a growing structural deficit.</t>
  </si>
  <si>
    <t>laurier_2024_6</t>
  </si>
  <si>
    <t xml:space="preserve">Throughout our history, the strength of the Wilfrid Laurier University community has allowed us to
capitalize on opportunities and overcome challenges to become a comprehensive, multi-campus
institution focused on excellence in academics, a sector-leading student experience, and a growing research enterprise. Since 2019, Laurier has pursued these efforts in addition to implementing significant budget savings targets; with the 2024/25 proposed budget, the magnitude of efficiencies achieved will be in excess of $39 million, a 12% reduction in 2024/25 budgeted expenses of $344 million. </t>
  </si>
  <si>
    <t>laurier_2024_7</t>
  </si>
  <si>
    <t>The Operating Budget comprises the major annual revenues and expenditures of the university’s financial
operations. Revenues from student tuition fees and government operating grants account for 85% of the
total operating revenues. Faculty and staff salaries and benefits account for 75% of the total operating expenditures. Table 1 below is a summary of the 2024/25 Operating Budget.</t>
  </si>
  <si>
    <t>laurier_2024_8</t>
  </si>
  <si>
    <t>The 2024/25 Budget shows forecasted total revenues of $336.5 million, an increase of $9.1 million, or 2.8% over last year's Budget. Tuition revenue has remained substantially unchanged with a slight increase of $0.2 million. An overall $3.9 million increase in grant funding over the prior year is mainly due to the increase in one-time funding from the Postsecondary Education Sustainability Fund. Government operating grant base funding remains steady, with a slight increase reflecting the inaugural student cohort at the new Milton campus. An updated Student Affaris Advisory Committee (SAAC) agreement, resulting in additional student contributions of $3.6 million in 2023/24, drove the remaining revenue increase.</t>
  </si>
  <si>
    <t>laurier_2024_9</t>
  </si>
  <si>
    <t>Total expenditures are forecasted at $343.9 million, an increase of $9.7 million, or 2.9%, over last year.
Salaries and benefits increased by $14.9 million over the previous year, largely due to current collective
agreements in place, and non-salary expenses decreased by $5.2 million.</t>
  </si>
  <si>
    <t>laurier_2024_10</t>
  </si>
  <si>
    <t>The 2024/25 Budget is being presented as a balanced budget primarily through limited austerity measures, appropriation of the Milton operating deficit, and drawdown of the Operating Budget Stabilization Reserve. Further, an institutional 4.5% budget reduction across vice-president portfolios along with limited investments in 2024/25 also contributed to the balanced budget being put forward for approval.</t>
  </si>
  <si>
    <t>laurier_2023</t>
  </si>
  <si>
    <t>laurier_2023_1</t>
  </si>
  <si>
    <t>The 2023/24 budget anticipates a full return to on-campus operations following multiple years of pandemic-driven budget assumptions. In recent years, the organization has been successful in mitigating the cumulate fiscal impacts of tuition cuts, grant and tuition freezes, pandemic-related public health restrictions, and challenges affecting sector efforts in internationalization. The provincial government has recently announced a blue-ribbon panel, composed of business and academic leaders, that will provide advice and recommendations related to sector financial stability beyond 2023/24. For 2023/24, funding constraints are continuing, with a continued tuition freeze for most Ontario students and fixed operating grant funding.</t>
  </si>
  <si>
    <t>laurier_2023_2</t>
  </si>
  <si>
    <t xml:space="preserve">With financial challenges escalating, the sector is also subject to increased scrutiny reuslting from recent auditor general value-for-money audits. While annual operating budget plans are critical to financial sustainability, the asssessment of comprehensive fiscal health inclusive of capital planning, reserve conditions, and debt capacity, will be needed to support Laurier's significant upcoming growth initiatives. Laurier is poised to embark upon a number of exciting initiatives which will contribute to its strategic mandate and success in a highly competitive sector. The prioritization and focus on key investments with consideration for revenue generation, cost containment and spending to increase priority services and programs, will be critical in optimizing limited resources and safeguarding Laurier's financial health - key principles in the development of the 2023/24 Budget. </t>
  </si>
  <si>
    <t>laurier_2023_3</t>
  </si>
  <si>
    <t>This draft report includes the Operating and Ancillary Funds which are Laurier's largest funds and components of the overall Consolidated Financial Statement Funds. The Capital Budget will be presented to the Board for approval at the June meeting. At this time, the Milton operating plan and capital project budget are not included. Program and campus development are currently underway with a projected Milton campus opening in Fall 2024. Based on a risk analysis of pursuing campus expansion in the current environment, programming will commence in pre-existing leased space with construction of Milton One timed in accordance with enrolment trajectory and debt-servicing capacity. A revised business plan is in development for presentation in the May/June governance cycle.</t>
  </si>
  <si>
    <t>laurier_2023_4</t>
  </si>
  <si>
    <t>The assumptions and estimates included in the 2023/24 Operating and Ancillary budgets are based on the information available to management at the time of preparation. Post-secondary institutions in Canada are facing sector-wide challenges; the cumulative impact of tuition cuts, grant and tuition freezes, COVID-19 pandemic impacts and significant inflationary pressures have contributed to growing financial risks. Universities across Ontario are facing increased scrutiny on fiscal performance and a greater focus on financial health indicators is expected as part of the province’s overall performance management framework. This will require demonstration of effective financial planning which considers the short-term needs articulated in a fiscal year budget, as well as longer term strategies that tie into strategic priorities and capital planning. Throughout our history, the strength of the Wilfrid Laurier University community has allowed us to capitalize on opportunities and prevail over challenges to become a comprehensive, multi-campus institution focused on excellence in academics, a student experience second to none, and growing research enterprise. The 2023/24 budget builds upon those strengths as the university embarks on a number of efforts which will contribute to its continued success.</t>
  </si>
  <si>
    <t>laurier_2023_5</t>
  </si>
  <si>
    <t>Prioritization and a focus on key investments, with consideration for growth strategies, revenue generation, cost containment and spending to increase priority services and programs will be critical to optimize limited resources and safeguard Laurier’s fiscal health.</t>
  </si>
  <si>
    <t>laurier_2023_6</t>
  </si>
  <si>
    <t>Financial sustainability is a critical enabler that will equip Laurier with the financial strength and capacity to achieve its strategic objectives. Financial sustainability refers to the balance between the revenues available to institutions to support their academic activities and the expenses they incur in delivering their mission.</t>
  </si>
  <si>
    <t>laurier_2023_7</t>
  </si>
  <si>
    <t>Laurier continues work to strengthen financial sustainability to support the strategic objectives of the organization. In 2023/24, Laurier will continue 2022/23 efforts to deliver enhanced, consolidated quarterly financial reports, develop preliminary debt and reserve strategies, and improve capital budgeting practices. The recent reports by the Auditor General have also provided additional considerations for Laurier in the pursuit of financial sustainability and effective financial management.</t>
  </si>
  <si>
    <t>laurier_2023_8</t>
  </si>
  <si>
    <t>The 2023/24 Budget shows forecasted total revenues of $327.4 million, a decrease of $5.1 million, or 1.5%, over last year’s Budget. Tuition revenue has decreased significantly by $13.7 million or 6.9%, reflecting the flow-through of the tuition shortfall experienced in 2022/23. Government operating grants remain steady with a slight increase of $0.2 million.</t>
  </si>
  <si>
    <t>laurier_2023_9</t>
  </si>
  <si>
    <t>Total expenditures are forecasted at $334.1 million, an increase of $3.7 million, or 1.1%, over last year. Salaries and benefits remained relatively constant over the previous year, with multiple factors contributing both favourably and unfavourably and non-salary expenses increasing by $3.8 million.</t>
  </si>
  <si>
    <t>laurier_2023_10</t>
  </si>
  <si>
    <t>The 2023/24 Budget being presented is a deficit budget of $1.9 million. Laurier will be pursuing a multi-year approach to addressing financial sustainability, with in-year strategies to minimize the draw on reserves coupled with a return to realizing a surplus budget 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</si>
</sst>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7"/>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1">
    <border>
      <left/>
      <right/>
      <top/>
      <bottom/>
      <diagonal/>
    </border>
  </borders>
  <cellStyleXfs count="1">
    <xf numFmtId="0" fontId="0" fillId="0" borderId="0"/>
  </cellStyleXfs>
  <cellXfs count="21">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6"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8" fillId="0" borderId="0" xfId="0" applyFont="1" applyAlignment="1">
      <alignment shrinkToFit="1"/>
    </xf>
    <xf numFmtId="0" fontId="1" fillId="6" borderId="0" xfId="0" applyFont="1" applyFill="1"/>
    <xf numFmtId="0" fontId="0" fillId="0" borderId="0" xfId="0" applyAlignment="1">
      <alignment wrapText="1" shrinkToFit="1"/>
    </xf>
    <xf numFmtId="0" fontId="4" fillId="0" borderId="0" xfId="0" applyFont="1"/>
    <xf numFmtId="0" fontId="0" fillId="0" borderId="0" xfId="0" applyAlignment="1">
      <alignment horizontal="right" wrapText="1" shrinkToFit="1"/>
    </xf>
    <xf numFmtId="0" fontId="0" fillId="0" borderId="0" xfId="0" applyAlignment="1"/>
    <xf numFmtId="0" fontId="1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Q451"/>
  <sheetViews>
    <sheetView tabSelected="1" topLeftCell="A423" zoomScaleNormal="100" workbookViewId="0">
      <selection activeCell="J454" sqref="J454"/>
    </sheetView>
  </sheetViews>
  <sheetFormatPr baseColWidth="10" defaultRowHeight="16"/>
  <cols>
    <col min="1" max="1" width="12.33203125" customWidth="1"/>
    <col min="2" max="2" width="16.33203125" customWidth="1"/>
    <col min="3" max="3" width="14.6640625" customWidth="1"/>
    <col min="4" max="4" width="15" style="13" customWidth="1"/>
    <col min="6" max="6" width="12" customWidth="1"/>
    <col min="7" max="7" width="18" customWidth="1"/>
    <col min="8" max="8" width="16.5" customWidth="1"/>
    <col min="10" max="11" width="19" customWidth="1"/>
    <col min="12" max="12" width="12.5" customWidth="1"/>
    <col min="13" max="13" width="12.1640625" customWidth="1"/>
    <col min="14" max="14" width="12.5" customWidth="1"/>
  </cols>
  <sheetData>
    <row r="1" spans="1:17">
      <c r="A1" s="2" t="s">
        <v>0</v>
      </c>
      <c r="B1" s="2" t="s">
        <v>1</v>
      </c>
      <c r="C1" s="5" t="s">
        <v>2</v>
      </c>
      <c r="D1" s="12" t="s">
        <v>3</v>
      </c>
      <c r="E1" s="3" t="s">
        <v>6</v>
      </c>
      <c r="F1" s="3" t="s">
        <v>7</v>
      </c>
      <c r="G1" s="3" t="s">
        <v>4</v>
      </c>
      <c r="H1" s="3" t="s">
        <v>13</v>
      </c>
      <c r="I1" s="3" t="s">
        <v>5</v>
      </c>
      <c r="J1" s="3" t="s">
        <v>15</v>
      </c>
      <c r="K1" s="3" t="s">
        <v>16</v>
      </c>
      <c r="L1" s="3" t="s">
        <v>288</v>
      </c>
      <c r="M1" s="3" t="s">
        <v>289</v>
      </c>
      <c r="N1" s="3" t="s">
        <v>290</v>
      </c>
      <c r="O1" s="3" t="s">
        <v>291</v>
      </c>
      <c r="P1" s="3" t="s">
        <v>323</v>
      </c>
      <c r="Q1" s="3" t="s">
        <v>324</v>
      </c>
    </row>
    <row r="2" spans="1:17" ht="28" customHeight="1">
      <c r="A2" s="4" t="s">
        <v>10</v>
      </c>
      <c r="B2" s="4" t="s">
        <v>11</v>
      </c>
      <c r="C2" s="6" t="s">
        <v>17</v>
      </c>
      <c r="D2" s="13">
        <v>1</v>
      </c>
      <c r="E2" s="4">
        <v>1</v>
      </c>
      <c r="F2" s="4">
        <v>9</v>
      </c>
      <c r="G2" s="4" t="s">
        <v>12</v>
      </c>
      <c r="H2" s="4" t="s">
        <v>14</v>
      </c>
      <c r="I2" s="4">
        <v>2017</v>
      </c>
      <c r="J2" s="4">
        <v>1</v>
      </c>
      <c r="K2" s="4">
        <v>0</v>
      </c>
    </row>
    <row r="3" spans="1:17" ht="20" customHeight="1">
      <c r="A3" s="4" t="s">
        <v>10</v>
      </c>
      <c r="B3" s="4" t="s">
        <v>26</v>
      </c>
      <c r="C3" s="6" t="s">
        <v>18</v>
      </c>
      <c r="D3" s="13">
        <v>0</v>
      </c>
      <c r="E3" s="4">
        <v>2</v>
      </c>
      <c r="F3" s="4">
        <v>9</v>
      </c>
      <c r="G3" s="4" t="s">
        <v>12</v>
      </c>
      <c r="H3" s="4" t="s">
        <v>14</v>
      </c>
      <c r="I3" s="4">
        <v>2017</v>
      </c>
      <c r="J3" s="4">
        <v>1</v>
      </c>
      <c r="K3" s="4">
        <v>0</v>
      </c>
    </row>
    <row r="4" spans="1:17" ht="22" customHeight="1">
      <c r="A4" s="4" t="s">
        <v>10</v>
      </c>
      <c r="B4" s="4" t="s">
        <v>27</v>
      </c>
      <c r="C4" s="6" t="s">
        <v>19</v>
      </c>
      <c r="D4" s="13">
        <v>0</v>
      </c>
      <c r="E4" s="4">
        <v>3</v>
      </c>
      <c r="F4" s="4">
        <v>9</v>
      </c>
      <c r="G4" s="4" t="s">
        <v>12</v>
      </c>
      <c r="H4" s="4" t="s">
        <v>14</v>
      </c>
      <c r="I4" s="4">
        <v>2017</v>
      </c>
      <c r="J4" s="4">
        <v>1</v>
      </c>
      <c r="K4" s="4">
        <v>0</v>
      </c>
    </row>
    <row r="5" spans="1:17" ht="23" customHeight="1">
      <c r="A5" s="4" t="s">
        <v>10</v>
      </c>
      <c r="B5" s="4" t="s">
        <v>28</v>
      </c>
      <c r="C5" s="6" t="s">
        <v>20</v>
      </c>
      <c r="D5" s="13">
        <v>0</v>
      </c>
      <c r="E5" s="4">
        <v>4</v>
      </c>
      <c r="F5" s="4">
        <v>9</v>
      </c>
      <c r="G5" s="4" t="s">
        <v>12</v>
      </c>
      <c r="H5" s="4" t="s">
        <v>14</v>
      </c>
      <c r="I5" s="4">
        <v>2017</v>
      </c>
      <c r="J5" s="4">
        <v>1</v>
      </c>
      <c r="K5" s="4">
        <v>0</v>
      </c>
    </row>
    <row r="6" spans="1:17" ht="21" customHeight="1">
      <c r="A6" s="4" t="s">
        <v>10</v>
      </c>
      <c r="B6" s="4" t="s">
        <v>29</v>
      </c>
      <c r="C6" s="6" t="s">
        <v>21</v>
      </c>
      <c r="D6" s="13">
        <v>0</v>
      </c>
      <c r="E6" s="4">
        <v>5</v>
      </c>
      <c r="F6" s="4">
        <v>9</v>
      </c>
      <c r="G6" s="4" t="s">
        <v>12</v>
      </c>
      <c r="H6" s="4" t="s">
        <v>14</v>
      </c>
      <c r="I6" s="4">
        <v>2017</v>
      </c>
      <c r="J6" s="4">
        <v>1</v>
      </c>
      <c r="K6" s="4">
        <v>0</v>
      </c>
    </row>
    <row r="7" spans="1:17">
      <c r="A7" s="4" t="s">
        <v>10</v>
      </c>
      <c r="B7" s="4" t="s">
        <v>30</v>
      </c>
      <c r="C7" s="6" t="s">
        <v>22</v>
      </c>
      <c r="D7" s="13">
        <v>0</v>
      </c>
      <c r="E7" s="4">
        <v>6</v>
      </c>
      <c r="F7" s="4">
        <v>9</v>
      </c>
      <c r="G7" s="4" t="s">
        <v>12</v>
      </c>
      <c r="H7" s="4" t="s">
        <v>14</v>
      </c>
      <c r="I7" s="4">
        <v>2017</v>
      </c>
      <c r="J7" s="4">
        <v>1</v>
      </c>
      <c r="K7" s="4">
        <v>0</v>
      </c>
    </row>
    <row r="8" spans="1:17">
      <c r="A8" s="4" t="s">
        <v>10</v>
      </c>
      <c r="B8" s="4" t="s">
        <v>31</v>
      </c>
      <c r="C8" s="6" t="s">
        <v>23</v>
      </c>
      <c r="D8" s="13">
        <v>0</v>
      </c>
      <c r="E8" s="4">
        <v>7</v>
      </c>
      <c r="F8" s="4">
        <v>9</v>
      </c>
      <c r="G8" s="4" t="s">
        <v>12</v>
      </c>
      <c r="H8" s="4" t="s">
        <v>14</v>
      </c>
      <c r="I8" s="4">
        <v>2017</v>
      </c>
      <c r="J8" s="4">
        <v>1</v>
      </c>
      <c r="K8" s="4">
        <v>0</v>
      </c>
    </row>
    <row r="9" spans="1:17">
      <c r="A9" s="4" t="s">
        <v>10</v>
      </c>
      <c r="B9" s="4" t="s">
        <v>32</v>
      </c>
      <c r="C9" s="6" t="s">
        <v>24</v>
      </c>
      <c r="D9" s="13">
        <v>1</v>
      </c>
      <c r="E9" s="4">
        <v>8</v>
      </c>
      <c r="F9" s="4">
        <v>9</v>
      </c>
      <c r="G9" s="4" t="s">
        <v>12</v>
      </c>
      <c r="H9" s="4" t="s">
        <v>14</v>
      </c>
      <c r="I9" s="4">
        <v>2017</v>
      </c>
      <c r="J9" s="4">
        <v>1</v>
      </c>
      <c r="K9" s="4">
        <v>0</v>
      </c>
    </row>
    <row r="10" spans="1:17">
      <c r="A10" s="4" t="s">
        <v>10</v>
      </c>
      <c r="B10" s="4" t="s">
        <v>33</v>
      </c>
      <c r="C10" s="6" t="s">
        <v>25</v>
      </c>
      <c r="D10" s="13">
        <v>0</v>
      </c>
      <c r="E10" s="4">
        <v>9</v>
      </c>
      <c r="F10" s="4">
        <v>9</v>
      </c>
      <c r="G10" s="4" t="s">
        <v>12</v>
      </c>
      <c r="H10" s="4" t="s">
        <v>14</v>
      </c>
      <c r="I10" s="4">
        <v>2017</v>
      </c>
      <c r="J10" s="4">
        <v>1</v>
      </c>
      <c r="K10" s="4">
        <v>0</v>
      </c>
    </row>
    <row r="11" spans="1:17">
      <c r="A11" s="4" t="s">
        <v>9</v>
      </c>
      <c r="B11" s="4" t="s">
        <v>34</v>
      </c>
      <c r="C11" s="6" t="s">
        <v>35</v>
      </c>
      <c r="D11" s="13">
        <v>1</v>
      </c>
      <c r="E11" s="4">
        <v>1</v>
      </c>
      <c r="F11" s="4">
        <v>9</v>
      </c>
      <c r="G11" s="4" t="s">
        <v>12</v>
      </c>
      <c r="H11" s="4" t="s">
        <v>14</v>
      </c>
      <c r="I11" s="4">
        <v>2018</v>
      </c>
      <c r="J11" s="4">
        <v>1</v>
      </c>
      <c r="K11" s="4">
        <v>0</v>
      </c>
    </row>
    <row r="12" spans="1:17">
      <c r="A12" s="4" t="s">
        <v>9</v>
      </c>
      <c r="B12" s="4" t="s">
        <v>44</v>
      </c>
      <c r="C12" s="6" t="s">
        <v>36</v>
      </c>
      <c r="D12" s="13">
        <v>0</v>
      </c>
      <c r="E12" s="4">
        <v>2</v>
      </c>
      <c r="F12" s="4">
        <v>9</v>
      </c>
      <c r="G12" s="4" t="s">
        <v>12</v>
      </c>
      <c r="H12" s="4" t="s">
        <v>14</v>
      </c>
      <c r="I12" s="4">
        <v>2018</v>
      </c>
      <c r="J12" s="4">
        <v>1</v>
      </c>
      <c r="K12" s="4">
        <v>0</v>
      </c>
    </row>
    <row r="13" spans="1:17">
      <c r="A13" s="4" t="s">
        <v>9</v>
      </c>
      <c r="B13" s="4" t="s">
        <v>45</v>
      </c>
      <c r="C13" s="6" t="s">
        <v>37</v>
      </c>
      <c r="D13" s="13">
        <v>0</v>
      </c>
      <c r="E13" s="4">
        <v>3</v>
      </c>
      <c r="F13" s="4">
        <v>9</v>
      </c>
      <c r="G13" s="4" t="s">
        <v>12</v>
      </c>
      <c r="H13" s="4" t="s">
        <v>14</v>
      </c>
      <c r="I13" s="4">
        <v>2018</v>
      </c>
      <c r="J13" s="4">
        <v>1</v>
      </c>
      <c r="K13" s="4">
        <v>0</v>
      </c>
    </row>
    <row r="14" spans="1:17">
      <c r="A14" s="4" t="s">
        <v>9</v>
      </c>
      <c r="B14" s="4" t="s">
        <v>46</v>
      </c>
      <c r="C14" s="6" t="s">
        <v>38</v>
      </c>
      <c r="D14" s="13">
        <v>0</v>
      </c>
      <c r="E14" s="4">
        <v>4</v>
      </c>
      <c r="F14" s="4">
        <v>9</v>
      </c>
      <c r="G14" s="4" t="s">
        <v>12</v>
      </c>
      <c r="H14" s="4" t="s">
        <v>14</v>
      </c>
      <c r="I14" s="4">
        <v>2018</v>
      </c>
      <c r="J14" s="4">
        <v>1</v>
      </c>
      <c r="K14" s="4">
        <v>0</v>
      </c>
    </row>
    <row r="15" spans="1:17">
      <c r="A15" s="4" t="s">
        <v>9</v>
      </c>
      <c r="B15" s="4" t="s">
        <v>47</v>
      </c>
      <c r="C15" s="6" t="s">
        <v>39</v>
      </c>
      <c r="D15" s="13">
        <v>0</v>
      </c>
      <c r="E15" s="4">
        <v>5</v>
      </c>
      <c r="F15" s="4">
        <v>9</v>
      </c>
      <c r="G15" s="4" t="s">
        <v>12</v>
      </c>
      <c r="H15" s="4" t="s">
        <v>14</v>
      </c>
      <c r="I15" s="4">
        <v>2018</v>
      </c>
      <c r="J15" s="4">
        <v>1</v>
      </c>
      <c r="K15" s="4">
        <v>0</v>
      </c>
    </row>
    <row r="16" spans="1:17">
      <c r="A16" s="4" t="s">
        <v>9</v>
      </c>
      <c r="B16" s="4" t="s">
        <v>48</v>
      </c>
      <c r="C16" s="6" t="s">
        <v>40</v>
      </c>
      <c r="D16" s="13">
        <v>0</v>
      </c>
      <c r="E16" s="4">
        <v>6</v>
      </c>
      <c r="F16" s="4">
        <v>9</v>
      </c>
      <c r="G16" s="4" t="s">
        <v>12</v>
      </c>
      <c r="H16" s="4" t="s">
        <v>14</v>
      </c>
      <c r="I16" s="4">
        <v>2018</v>
      </c>
      <c r="J16" s="4">
        <v>1</v>
      </c>
      <c r="K16" s="4">
        <v>0</v>
      </c>
    </row>
    <row r="17" spans="1:11">
      <c r="A17" s="4" t="s">
        <v>9</v>
      </c>
      <c r="B17" s="4" t="s">
        <v>49</v>
      </c>
      <c r="C17" s="6" t="s">
        <v>41</v>
      </c>
      <c r="D17" s="13">
        <v>0</v>
      </c>
      <c r="E17" s="4">
        <v>7</v>
      </c>
      <c r="F17" s="4">
        <v>9</v>
      </c>
      <c r="G17" s="4" t="s">
        <v>12</v>
      </c>
      <c r="H17" s="4" t="s">
        <v>14</v>
      </c>
      <c r="I17" s="4">
        <v>2018</v>
      </c>
      <c r="J17" s="4">
        <v>1</v>
      </c>
      <c r="K17" s="4">
        <v>0</v>
      </c>
    </row>
    <row r="18" spans="1:11">
      <c r="A18" s="4" t="s">
        <v>9</v>
      </c>
      <c r="B18" s="4" t="s">
        <v>50</v>
      </c>
      <c r="C18" s="6" t="s">
        <v>42</v>
      </c>
      <c r="D18" s="13">
        <v>0</v>
      </c>
      <c r="E18" s="4">
        <v>8</v>
      </c>
      <c r="F18" s="4">
        <v>9</v>
      </c>
      <c r="G18" s="4" t="s">
        <v>12</v>
      </c>
      <c r="H18" s="4" t="s">
        <v>14</v>
      </c>
      <c r="I18" s="4">
        <v>2018</v>
      </c>
      <c r="J18" s="4">
        <v>1</v>
      </c>
      <c r="K18" s="4">
        <v>0</v>
      </c>
    </row>
    <row r="19" spans="1:11">
      <c r="A19" s="4" t="s">
        <v>9</v>
      </c>
      <c r="B19" s="4" t="s">
        <v>51</v>
      </c>
      <c r="C19" s="6" t="s">
        <v>43</v>
      </c>
      <c r="D19" s="13">
        <v>0</v>
      </c>
      <c r="E19" s="4">
        <v>9</v>
      </c>
      <c r="F19" s="4">
        <v>9</v>
      </c>
      <c r="G19" s="4" t="s">
        <v>12</v>
      </c>
      <c r="H19" s="4" t="s">
        <v>14</v>
      </c>
      <c r="I19" s="4">
        <v>2018</v>
      </c>
      <c r="J19" s="4">
        <v>1</v>
      </c>
      <c r="K19" s="4">
        <v>0</v>
      </c>
    </row>
    <row r="20" spans="1:11">
      <c r="A20" s="4" t="s">
        <v>8</v>
      </c>
      <c r="B20" s="4" t="s">
        <v>52</v>
      </c>
      <c r="C20" s="7" t="s">
        <v>54</v>
      </c>
      <c r="D20" s="13">
        <v>1</v>
      </c>
      <c r="E20" s="4">
        <v>1</v>
      </c>
      <c r="F20" s="4">
        <v>7</v>
      </c>
      <c r="G20" s="4" t="s">
        <v>12</v>
      </c>
      <c r="H20" s="4" t="s">
        <v>14</v>
      </c>
      <c r="I20" s="4">
        <v>2019</v>
      </c>
      <c r="J20" s="4">
        <v>1</v>
      </c>
      <c r="K20" s="4">
        <v>1</v>
      </c>
    </row>
    <row r="21" spans="1:11">
      <c r="A21" s="4" t="s">
        <v>8</v>
      </c>
      <c r="B21" s="4" t="s">
        <v>61</v>
      </c>
      <c r="C21" s="7" t="s">
        <v>55</v>
      </c>
      <c r="D21" s="13">
        <v>0</v>
      </c>
      <c r="E21" s="4">
        <v>2</v>
      </c>
      <c r="F21" s="4">
        <v>7</v>
      </c>
      <c r="G21" s="4" t="s">
        <v>12</v>
      </c>
      <c r="H21" s="4" t="s">
        <v>14</v>
      </c>
      <c r="I21" s="4">
        <v>2019</v>
      </c>
      <c r="J21" s="4">
        <v>1</v>
      </c>
      <c r="K21" s="4">
        <v>1</v>
      </c>
    </row>
    <row r="22" spans="1:11">
      <c r="A22" s="4" t="s">
        <v>8</v>
      </c>
      <c r="B22" s="4" t="s">
        <v>62</v>
      </c>
      <c r="C22" s="7" t="s">
        <v>56</v>
      </c>
      <c r="D22" s="13">
        <v>0</v>
      </c>
      <c r="E22" s="4">
        <v>3</v>
      </c>
      <c r="F22" s="4">
        <v>7</v>
      </c>
      <c r="G22" s="4" t="s">
        <v>12</v>
      </c>
      <c r="H22" s="4" t="s">
        <v>14</v>
      </c>
      <c r="I22" s="4">
        <v>2019</v>
      </c>
      <c r="J22" s="4">
        <v>1</v>
      </c>
      <c r="K22" s="4">
        <v>1</v>
      </c>
    </row>
    <row r="23" spans="1:11">
      <c r="A23" s="4" t="s">
        <v>8</v>
      </c>
      <c r="B23" s="4" t="s">
        <v>63</v>
      </c>
      <c r="C23" s="7" t="s">
        <v>57</v>
      </c>
      <c r="D23" s="13">
        <v>0</v>
      </c>
      <c r="E23" s="4">
        <v>4</v>
      </c>
      <c r="F23" s="4">
        <v>7</v>
      </c>
      <c r="G23" s="4" t="s">
        <v>12</v>
      </c>
      <c r="H23" s="4" t="s">
        <v>14</v>
      </c>
      <c r="I23" s="4">
        <v>2019</v>
      </c>
      <c r="J23" s="4">
        <v>1</v>
      </c>
      <c r="K23" s="4">
        <v>1</v>
      </c>
    </row>
    <row r="24" spans="1:11">
      <c r="A24" s="4" t="s">
        <v>8</v>
      </c>
      <c r="B24" s="4" t="s">
        <v>64</v>
      </c>
      <c r="C24" s="8" t="s">
        <v>58</v>
      </c>
      <c r="D24" s="13">
        <v>0</v>
      </c>
      <c r="E24" s="4">
        <v>5</v>
      </c>
      <c r="F24" s="4">
        <v>7</v>
      </c>
      <c r="G24" s="4" t="s">
        <v>12</v>
      </c>
      <c r="H24" s="4" t="s">
        <v>14</v>
      </c>
      <c r="I24" s="4">
        <v>2019</v>
      </c>
      <c r="J24" s="4">
        <v>1</v>
      </c>
      <c r="K24" s="4">
        <v>1</v>
      </c>
    </row>
    <row r="25" spans="1:11">
      <c r="A25" s="4" t="s">
        <v>8</v>
      </c>
      <c r="B25" s="4" t="s">
        <v>65</v>
      </c>
      <c r="C25" s="8" t="s">
        <v>59</v>
      </c>
      <c r="D25" s="13">
        <v>0</v>
      </c>
      <c r="E25" s="4">
        <v>6</v>
      </c>
      <c r="F25" s="4">
        <v>7</v>
      </c>
      <c r="G25" s="4" t="s">
        <v>12</v>
      </c>
      <c r="H25" s="4" t="s">
        <v>14</v>
      </c>
      <c r="I25" s="4">
        <v>2019</v>
      </c>
      <c r="J25" s="4">
        <v>1</v>
      </c>
      <c r="K25" s="4">
        <v>1</v>
      </c>
    </row>
    <row r="26" spans="1:11">
      <c r="A26" s="4" t="s">
        <v>8</v>
      </c>
      <c r="B26" s="4" t="s">
        <v>66</v>
      </c>
      <c r="C26" s="8" t="s">
        <v>60</v>
      </c>
      <c r="D26" s="13">
        <v>0</v>
      </c>
      <c r="E26" s="4">
        <v>7</v>
      </c>
      <c r="F26" s="4">
        <v>7</v>
      </c>
      <c r="G26" s="4" t="s">
        <v>12</v>
      </c>
      <c r="H26" s="4" t="s">
        <v>14</v>
      </c>
      <c r="I26" s="4">
        <v>2019</v>
      </c>
      <c r="J26" s="4">
        <v>1</v>
      </c>
      <c r="K26" s="4">
        <v>1</v>
      </c>
    </row>
    <row r="27" spans="1:11">
      <c r="A27" s="4" t="s">
        <v>53</v>
      </c>
      <c r="B27" s="4" t="s">
        <v>67</v>
      </c>
      <c r="C27" s="8" t="s">
        <v>68</v>
      </c>
      <c r="D27" s="13">
        <v>0</v>
      </c>
      <c r="E27" s="4">
        <v>1</v>
      </c>
      <c r="F27" s="4">
        <v>10</v>
      </c>
      <c r="G27" s="4" t="s">
        <v>12</v>
      </c>
      <c r="H27" s="4" t="s">
        <v>14</v>
      </c>
      <c r="I27" s="4">
        <v>2020</v>
      </c>
      <c r="J27" s="4">
        <v>1</v>
      </c>
      <c r="K27" s="4">
        <v>1</v>
      </c>
    </row>
    <row r="28" spans="1:11">
      <c r="A28" s="4" t="s">
        <v>53</v>
      </c>
      <c r="B28" s="4" t="s">
        <v>77</v>
      </c>
      <c r="C28" s="8" t="s">
        <v>69</v>
      </c>
      <c r="D28" s="13">
        <v>0</v>
      </c>
      <c r="E28" s="4">
        <v>2</v>
      </c>
      <c r="F28" s="4">
        <v>10</v>
      </c>
      <c r="G28" s="4" t="s">
        <v>12</v>
      </c>
      <c r="H28" s="4" t="s">
        <v>14</v>
      </c>
      <c r="I28" s="4">
        <v>2020</v>
      </c>
      <c r="J28" s="4">
        <v>1</v>
      </c>
      <c r="K28" s="4">
        <v>1</v>
      </c>
    </row>
    <row r="29" spans="1:11">
      <c r="A29" s="4" t="s">
        <v>53</v>
      </c>
      <c r="B29" s="4" t="s">
        <v>78</v>
      </c>
      <c r="C29" s="8" t="s">
        <v>70</v>
      </c>
      <c r="D29" s="13">
        <v>0</v>
      </c>
      <c r="E29" s="4">
        <v>3</v>
      </c>
      <c r="F29" s="4">
        <v>10</v>
      </c>
      <c r="G29" s="4" t="s">
        <v>12</v>
      </c>
      <c r="H29" s="4" t="s">
        <v>14</v>
      </c>
      <c r="I29" s="4">
        <v>2020</v>
      </c>
      <c r="J29" s="4">
        <v>1</v>
      </c>
      <c r="K29" s="4">
        <v>1</v>
      </c>
    </row>
    <row r="30" spans="1:11">
      <c r="A30" s="4" t="s">
        <v>53</v>
      </c>
      <c r="B30" s="4" t="s">
        <v>79</v>
      </c>
      <c r="C30" s="8" t="s">
        <v>71</v>
      </c>
      <c r="D30" s="13">
        <v>0</v>
      </c>
      <c r="E30" s="4">
        <v>4</v>
      </c>
      <c r="F30" s="4">
        <v>10</v>
      </c>
      <c r="G30" s="4" t="s">
        <v>12</v>
      </c>
      <c r="H30" s="4" t="s">
        <v>14</v>
      </c>
      <c r="I30" s="4">
        <v>2020</v>
      </c>
      <c r="J30" s="4">
        <v>1</v>
      </c>
      <c r="K30" s="4">
        <v>1</v>
      </c>
    </row>
    <row r="31" spans="1:11">
      <c r="A31" s="4" t="s">
        <v>53</v>
      </c>
      <c r="B31" s="4" t="s">
        <v>80</v>
      </c>
      <c r="C31" s="8" t="s">
        <v>72</v>
      </c>
      <c r="D31" s="13">
        <v>1</v>
      </c>
      <c r="E31" s="4">
        <v>5</v>
      </c>
      <c r="F31" s="4">
        <v>10</v>
      </c>
      <c r="G31" s="4" t="s">
        <v>12</v>
      </c>
      <c r="H31" s="4" t="s">
        <v>14</v>
      </c>
      <c r="I31" s="4">
        <v>2020</v>
      </c>
      <c r="J31" s="4">
        <v>1</v>
      </c>
      <c r="K31" s="4">
        <v>1</v>
      </c>
    </row>
    <row r="32" spans="1:11">
      <c r="A32" s="4" t="s">
        <v>53</v>
      </c>
      <c r="B32" s="4" t="s">
        <v>81</v>
      </c>
      <c r="C32" s="8" t="s">
        <v>73</v>
      </c>
      <c r="D32" s="13">
        <v>0</v>
      </c>
      <c r="E32" s="4">
        <v>6</v>
      </c>
      <c r="F32" s="4">
        <v>10</v>
      </c>
      <c r="G32" s="4" t="s">
        <v>12</v>
      </c>
      <c r="H32" s="4" t="s">
        <v>14</v>
      </c>
      <c r="I32" s="4">
        <v>2020</v>
      </c>
      <c r="J32" s="4">
        <v>1</v>
      </c>
      <c r="K32" s="4">
        <v>1</v>
      </c>
    </row>
    <row r="33" spans="1:11">
      <c r="A33" s="4" t="s">
        <v>53</v>
      </c>
      <c r="B33" s="4" t="s">
        <v>82</v>
      </c>
      <c r="C33" s="8" t="s">
        <v>74</v>
      </c>
      <c r="D33" s="13">
        <v>0</v>
      </c>
      <c r="E33" s="4">
        <v>7</v>
      </c>
      <c r="F33" s="4">
        <v>10</v>
      </c>
      <c r="G33" s="4" t="s">
        <v>12</v>
      </c>
      <c r="H33" s="4" t="s">
        <v>14</v>
      </c>
      <c r="I33" s="4">
        <v>2020</v>
      </c>
      <c r="J33" s="4">
        <v>1</v>
      </c>
      <c r="K33" s="4">
        <v>1</v>
      </c>
    </row>
    <row r="34" spans="1:11">
      <c r="A34" s="4" t="s">
        <v>53</v>
      </c>
      <c r="B34" s="4" t="s">
        <v>83</v>
      </c>
      <c r="C34" s="8" t="s">
        <v>427</v>
      </c>
      <c r="D34" s="13">
        <v>0</v>
      </c>
      <c r="E34" s="4">
        <v>8</v>
      </c>
      <c r="F34" s="4">
        <v>10</v>
      </c>
      <c r="G34" s="4" t="s">
        <v>12</v>
      </c>
      <c r="H34" s="4" t="s">
        <v>14</v>
      </c>
      <c r="I34" s="4">
        <v>2020</v>
      </c>
      <c r="J34" s="4">
        <v>1</v>
      </c>
      <c r="K34" s="4">
        <v>1</v>
      </c>
    </row>
    <row r="35" spans="1:11">
      <c r="A35" s="4" t="s">
        <v>53</v>
      </c>
      <c r="B35" s="4" t="s">
        <v>84</v>
      </c>
      <c r="C35" s="8" t="s">
        <v>75</v>
      </c>
      <c r="D35" s="13">
        <v>0</v>
      </c>
      <c r="E35" s="4">
        <v>9</v>
      </c>
      <c r="F35" s="4">
        <v>10</v>
      </c>
      <c r="G35" s="4" t="s">
        <v>12</v>
      </c>
      <c r="H35" s="4" t="s">
        <v>14</v>
      </c>
      <c r="I35" s="4">
        <v>2020</v>
      </c>
      <c r="J35" s="4">
        <v>1</v>
      </c>
      <c r="K35" s="4">
        <v>1</v>
      </c>
    </row>
    <row r="36" spans="1:11">
      <c r="A36" s="4" t="s">
        <v>53</v>
      </c>
      <c r="B36" s="4" t="s">
        <v>426</v>
      </c>
      <c r="C36" s="8" t="s">
        <v>76</v>
      </c>
      <c r="D36" s="13">
        <v>0</v>
      </c>
      <c r="E36" s="4">
        <v>10</v>
      </c>
      <c r="F36" s="4">
        <v>10</v>
      </c>
      <c r="G36" s="4" t="s">
        <v>12</v>
      </c>
      <c r="H36" s="4" t="s">
        <v>14</v>
      </c>
      <c r="I36" s="4">
        <v>2020</v>
      </c>
      <c r="J36" s="4">
        <v>1</v>
      </c>
      <c r="K36" s="4">
        <v>1</v>
      </c>
    </row>
    <row r="37" spans="1:11" ht="409.6">
      <c r="A37" s="4" t="s">
        <v>85</v>
      </c>
      <c r="B37" s="4" t="s">
        <v>86</v>
      </c>
      <c r="C37" s="18" t="s">
        <v>87</v>
      </c>
      <c r="D37" s="13">
        <v>1</v>
      </c>
      <c r="E37" s="4">
        <v>1</v>
      </c>
      <c r="F37" s="4">
        <v>6</v>
      </c>
      <c r="G37" s="4" t="s">
        <v>12</v>
      </c>
      <c r="H37" s="4" t="s">
        <v>14</v>
      </c>
      <c r="I37" s="4">
        <v>2021</v>
      </c>
      <c r="J37" s="4">
        <v>1</v>
      </c>
      <c r="K37" s="4">
        <v>1</v>
      </c>
    </row>
    <row r="38" spans="1:11">
      <c r="A38" s="4" t="s">
        <v>85</v>
      </c>
      <c r="B38" s="4" t="s">
        <v>92</v>
      </c>
      <c r="C38" s="8" t="s">
        <v>73</v>
      </c>
      <c r="D38" s="13">
        <v>0</v>
      </c>
      <c r="E38" s="4">
        <v>2</v>
      </c>
      <c r="F38" s="4">
        <v>6</v>
      </c>
      <c r="G38" s="4" t="s">
        <v>12</v>
      </c>
      <c r="H38" s="4" t="s">
        <v>14</v>
      </c>
      <c r="I38" s="4">
        <v>2021</v>
      </c>
      <c r="J38" s="4">
        <v>1</v>
      </c>
      <c r="K38" s="4">
        <v>1</v>
      </c>
    </row>
    <row r="39" spans="1:11">
      <c r="A39" s="4" t="s">
        <v>85</v>
      </c>
      <c r="B39" s="4" t="s">
        <v>93</v>
      </c>
      <c r="C39" s="9" t="s">
        <v>88</v>
      </c>
      <c r="D39" s="13">
        <v>0</v>
      </c>
      <c r="E39" s="4">
        <v>3</v>
      </c>
      <c r="F39" s="4">
        <v>6</v>
      </c>
      <c r="G39" s="4" t="s">
        <v>12</v>
      </c>
      <c r="H39" s="4" t="s">
        <v>14</v>
      </c>
      <c r="I39" s="4">
        <v>2021</v>
      </c>
      <c r="J39" s="4">
        <v>1</v>
      </c>
      <c r="K39" s="4">
        <v>1</v>
      </c>
    </row>
    <row r="40" spans="1:11">
      <c r="A40" s="4" t="s">
        <v>85</v>
      </c>
      <c r="B40" s="4" t="s">
        <v>94</v>
      </c>
      <c r="C40" s="9" t="s">
        <v>89</v>
      </c>
      <c r="D40" s="13">
        <v>1</v>
      </c>
      <c r="E40" s="4">
        <v>4</v>
      </c>
      <c r="F40" s="4">
        <v>6</v>
      </c>
      <c r="G40" s="4" t="s">
        <v>12</v>
      </c>
      <c r="H40" s="4" t="s">
        <v>14</v>
      </c>
      <c r="I40" s="4">
        <v>2021</v>
      </c>
      <c r="J40" s="4">
        <v>1</v>
      </c>
      <c r="K40" s="4">
        <v>1</v>
      </c>
    </row>
    <row r="41" spans="1:11">
      <c r="A41" s="4" t="s">
        <v>85</v>
      </c>
      <c r="B41" s="4" t="s">
        <v>95</v>
      </c>
      <c r="C41" s="9" t="s">
        <v>90</v>
      </c>
      <c r="D41" s="13">
        <v>0</v>
      </c>
      <c r="E41" s="4">
        <v>5</v>
      </c>
      <c r="F41" s="4">
        <v>6</v>
      </c>
      <c r="G41" s="4" t="s">
        <v>12</v>
      </c>
      <c r="H41" s="4" t="s">
        <v>14</v>
      </c>
      <c r="I41" s="4">
        <v>2021</v>
      </c>
      <c r="J41" s="4">
        <v>1</v>
      </c>
      <c r="K41" s="4">
        <v>1</v>
      </c>
    </row>
    <row r="42" spans="1:11">
      <c r="A42" s="4" t="s">
        <v>85</v>
      </c>
      <c r="B42" s="4" t="s">
        <v>96</v>
      </c>
      <c r="C42" s="9" t="s">
        <v>91</v>
      </c>
      <c r="D42" s="13">
        <v>0</v>
      </c>
      <c r="E42" s="4">
        <v>6</v>
      </c>
      <c r="F42" s="4">
        <v>6</v>
      </c>
      <c r="G42" s="4" t="s">
        <v>12</v>
      </c>
      <c r="H42" s="4" t="s">
        <v>14</v>
      </c>
      <c r="I42" s="4">
        <v>2021</v>
      </c>
      <c r="J42" s="4">
        <v>1</v>
      </c>
      <c r="K42" s="4">
        <v>1</v>
      </c>
    </row>
    <row r="43" spans="1:11">
      <c r="A43" s="4" t="s">
        <v>97</v>
      </c>
      <c r="B43" s="4" t="s">
        <v>98</v>
      </c>
      <c r="C43" s="9" t="s">
        <v>87</v>
      </c>
      <c r="D43" s="13">
        <v>1</v>
      </c>
      <c r="E43" s="4">
        <v>1</v>
      </c>
      <c r="F43" s="4">
        <v>7</v>
      </c>
      <c r="G43" s="4" t="s">
        <v>12</v>
      </c>
      <c r="H43" s="4" t="s">
        <v>14</v>
      </c>
      <c r="I43" s="4">
        <v>2022</v>
      </c>
      <c r="J43" s="4">
        <v>1</v>
      </c>
      <c r="K43" s="4">
        <v>1</v>
      </c>
    </row>
    <row r="44" spans="1:11">
      <c r="A44" s="4" t="s">
        <v>97</v>
      </c>
      <c r="B44" s="4" t="s">
        <v>104</v>
      </c>
      <c r="C44" s="9" t="s">
        <v>73</v>
      </c>
      <c r="D44" s="13">
        <v>0</v>
      </c>
      <c r="E44" s="4">
        <v>2</v>
      </c>
      <c r="F44" s="4">
        <v>7</v>
      </c>
      <c r="G44" s="4" t="s">
        <v>12</v>
      </c>
      <c r="H44" s="4" t="s">
        <v>14</v>
      </c>
      <c r="I44" s="4">
        <v>2022</v>
      </c>
      <c r="J44" s="4">
        <v>1</v>
      </c>
      <c r="K44" s="4">
        <v>1</v>
      </c>
    </row>
    <row r="45" spans="1:11">
      <c r="A45" s="4" t="s">
        <v>97</v>
      </c>
      <c r="B45" s="4" t="s">
        <v>105</v>
      </c>
      <c r="C45" s="9" t="s">
        <v>99</v>
      </c>
      <c r="D45" s="13">
        <v>1</v>
      </c>
      <c r="E45" s="4">
        <v>3</v>
      </c>
      <c r="F45" s="4">
        <v>7</v>
      </c>
      <c r="G45" s="4" t="s">
        <v>12</v>
      </c>
      <c r="H45" s="4" t="s">
        <v>14</v>
      </c>
      <c r="I45" s="4">
        <v>2022</v>
      </c>
      <c r="J45" s="4">
        <v>1</v>
      </c>
      <c r="K45" s="4">
        <v>1</v>
      </c>
    </row>
    <row r="46" spans="1:11">
      <c r="A46" s="4" t="s">
        <v>97</v>
      </c>
      <c r="B46" s="4" t="s">
        <v>106</v>
      </c>
      <c r="C46" s="9" t="s">
        <v>100</v>
      </c>
      <c r="D46" s="13">
        <v>1</v>
      </c>
      <c r="E46" s="4">
        <v>4</v>
      </c>
      <c r="F46" s="4">
        <v>7</v>
      </c>
      <c r="G46" s="4" t="s">
        <v>12</v>
      </c>
      <c r="H46" s="4" t="s">
        <v>14</v>
      </c>
      <c r="I46" s="4">
        <v>2022</v>
      </c>
      <c r="J46" s="4">
        <v>1</v>
      </c>
      <c r="K46" s="4">
        <v>1</v>
      </c>
    </row>
    <row r="47" spans="1:11">
      <c r="A47" s="4" t="s">
        <v>97</v>
      </c>
      <c r="B47" s="4" t="s">
        <v>107</v>
      </c>
      <c r="C47" s="9" t="s">
        <v>101</v>
      </c>
      <c r="D47" s="13">
        <v>0</v>
      </c>
      <c r="E47" s="4">
        <v>5</v>
      </c>
      <c r="F47" s="4">
        <v>7</v>
      </c>
      <c r="G47" s="4" t="s">
        <v>12</v>
      </c>
      <c r="H47" s="4" t="s">
        <v>14</v>
      </c>
      <c r="I47" s="4">
        <v>2022</v>
      </c>
      <c r="J47" s="4">
        <v>1</v>
      </c>
      <c r="K47" s="4">
        <v>1</v>
      </c>
    </row>
    <row r="48" spans="1:11">
      <c r="A48" s="4" t="s">
        <v>97</v>
      </c>
      <c r="B48" s="4" t="s">
        <v>108</v>
      </c>
      <c r="C48" s="9" t="s">
        <v>102</v>
      </c>
      <c r="D48" s="13">
        <v>0</v>
      </c>
      <c r="E48" s="4">
        <v>6</v>
      </c>
      <c r="F48" s="4">
        <v>7</v>
      </c>
      <c r="G48" s="4" t="s">
        <v>12</v>
      </c>
      <c r="H48" s="4" t="s">
        <v>14</v>
      </c>
      <c r="I48" s="4">
        <v>2022</v>
      </c>
      <c r="J48" s="4">
        <v>1</v>
      </c>
      <c r="K48" s="4">
        <v>1</v>
      </c>
    </row>
    <row r="49" spans="1:11">
      <c r="A49" s="4" t="s">
        <v>97</v>
      </c>
      <c r="B49" s="4" t="s">
        <v>109</v>
      </c>
      <c r="C49" s="9" t="s">
        <v>103</v>
      </c>
      <c r="D49" s="13">
        <v>1</v>
      </c>
      <c r="E49" s="4">
        <v>7</v>
      </c>
      <c r="F49" s="4">
        <v>7</v>
      </c>
      <c r="G49" s="4" t="s">
        <v>12</v>
      </c>
      <c r="H49" s="4" t="s">
        <v>14</v>
      </c>
      <c r="I49" s="4">
        <v>2022</v>
      </c>
      <c r="J49" s="4">
        <v>1</v>
      </c>
      <c r="K49" s="4">
        <v>1</v>
      </c>
    </row>
    <row r="50" spans="1:11">
      <c r="A50" s="4" t="s">
        <v>110</v>
      </c>
      <c r="B50" s="4" t="s">
        <v>111</v>
      </c>
      <c r="C50" s="9" t="s">
        <v>112</v>
      </c>
      <c r="D50" s="13">
        <v>1</v>
      </c>
      <c r="E50" s="4">
        <v>1</v>
      </c>
      <c r="F50" s="4">
        <v>8</v>
      </c>
      <c r="G50" s="4" t="s">
        <v>12</v>
      </c>
      <c r="H50" s="4" t="s">
        <v>14</v>
      </c>
      <c r="I50" s="4">
        <v>2023</v>
      </c>
      <c r="J50" s="4">
        <v>1</v>
      </c>
      <c r="K50" s="4">
        <v>1</v>
      </c>
    </row>
    <row r="51" spans="1:11">
      <c r="A51" s="4" t="s">
        <v>110</v>
      </c>
      <c r="B51" s="4" t="s">
        <v>120</v>
      </c>
      <c r="C51" s="9" t="s">
        <v>113</v>
      </c>
      <c r="D51" s="13">
        <v>0</v>
      </c>
      <c r="E51" s="4">
        <v>2</v>
      </c>
      <c r="F51" s="4">
        <v>8</v>
      </c>
      <c r="G51" s="4" t="s">
        <v>12</v>
      </c>
      <c r="H51" s="4" t="s">
        <v>14</v>
      </c>
      <c r="I51" s="4">
        <v>2023</v>
      </c>
      <c r="J51" s="4">
        <v>1</v>
      </c>
      <c r="K51" s="4">
        <v>1</v>
      </c>
    </row>
    <row r="52" spans="1:11">
      <c r="A52" s="4" t="s">
        <v>110</v>
      </c>
      <c r="B52" s="4" t="s">
        <v>121</v>
      </c>
      <c r="C52" s="9" t="s">
        <v>114</v>
      </c>
      <c r="D52" s="13">
        <v>1</v>
      </c>
      <c r="E52" s="4">
        <v>3</v>
      </c>
      <c r="F52" s="4">
        <v>8</v>
      </c>
      <c r="G52" s="4" t="s">
        <v>12</v>
      </c>
      <c r="H52" s="4" t="s">
        <v>14</v>
      </c>
      <c r="I52" s="4">
        <v>2023</v>
      </c>
      <c r="J52" s="4">
        <v>1</v>
      </c>
      <c r="K52" s="4">
        <v>1</v>
      </c>
    </row>
    <row r="53" spans="1:11">
      <c r="A53" s="4" t="s">
        <v>110</v>
      </c>
      <c r="B53" s="4" t="s">
        <v>122</v>
      </c>
      <c r="C53" s="9" t="s">
        <v>115</v>
      </c>
      <c r="D53" s="13">
        <v>1</v>
      </c>
      <c r="E53" s="4">
        <v>4</v>
      </c>
      <c r="F53" s="4">
        <v>8</v>
      </c>
      <c r="G53" s="4" t="s">
        <v>12</v>
      </c>
      <c r="H53" s="4" t="s">
        <v>14</v>
      </c>
      <c r="I53" s="4">
        <v>2023</v>
      </c>
      <c r="J53" s="4">
        <v>1</v>
      </c>
      <c r="K53" s="4">
        <v>1</v>
      </c>
    </row>
    <row r="54" spans="1:11">
      <c r="A54" s="4" t="s">
        <v>110</v>
      </c>
      <c r="B54" s="4" t="s">
        <v>123</v>
      </c>
      <c r="C54" s="9" t="s">
        <v>116</v>
      </c>
      <c r="D54" s="13">
        <v>1</v>
      </c>
      <c r="E54" s="4">
        <v>5</v>
      </c>
      <c r="F54" s="4">
        <v>8</v>
      </c>
      <c r="G54" s="4" t="s">
        <v>12</v>
      </c>
      <c r="H54" s="4" t="s">
        <v>14</v>
      </c>
      <c r="I54" s="4">
        <v>2023</v>
      </c>
      <c r="J54" s="4">
        <v>1</v>
      </c>
      <c r="K54" s="4">
        <v>1</v>
      </c>
    </row>
    <row r="55" spans="1:11">
      <c r="A55" s="4" t="s">
        <v>110</v>
      </c>
      <c r="B55" s="4" t="s">
        <v>124</v>
      </c>
      <c r="C55" s="9" t="s">
        <v>117</v>
      </c>
      <c r="D55" s="13">
        <v>0</v>
      </c>
      <c r="E55" s="4">
        <v>6</v>
      </c>
      <c r="F55" s="4">
        <v>8</v>
      </c>
      <c r="G55" s="4" t="s">
        <v>12</v>
      </c>
      <c r="H55" s="4" t="s">
        <v>14</v>
      </c>
      <c r="I55" s="4">
        <v>2023</v>
      </c>
      <c r="J55" s="4">
        <v>1</v>
      </c>
      <c r="K55" s="4">
        <v>1</v>
      </c>
    </row>
    <row r="56" spans="1:11">
      <c r="A56" s="4" t="s">
        <v>110</v>
      </c>
      <c r="B56" s="4" t="s">
        <v>125</v>
      </c>
      <c r="C56" s="9" t="s">
        <v>118</v>
      </c>
      <c r="D56" s="13">
        <v>0</v>
      </c>
      <c r="E56" s="4">
        <v>7</v>
      </c>
      <c r="F56" s="4">
        <v>8</v>
      </c>
      <c r="G56" s="4" t="s">
        <v>12</v>
      </c>
      <c r="H56" s="4" t="s">
        <v>14</v>
      </c>
      <c r="I56" s="4">
        <v>2023</v>
      </c>
      <c r="J56" s="4">
        <v>1</v>
      </c>
      <c r="K56" s="4">
        <v>1</v>
      </c>
    </row>
    <row r="57" spans="1:11">
      <c r="A57" s="4" t="s">
        <v>110</v>
      </c>
      <c r="B57" s="4" t="s">
        <v>126</v>
      </c>
      <c r="C57" s="9" t="s">
        <v>119</v>
      </c>
      <c r="D57" s="13">
        <v>1</v>
      </c>
      <c r="E57" s="4">
        <v>8</v>
      </c>
      <c r="F57" s="4">
        <v>8</v>
      </c>
      <c r="G57" s="4" t="s">
        <v>12</v>
      </c>
      <c r="H57" s="4" t="s">
        <v>14</v>
      </c>
      <c r="I57" s="4">
        <v>2023</v>
      </c>
      <c r="J57" s="4">
        <v>1</v>
      </c>
      <c r="K57" s="4">
        <v>1</v>
      </c>
    </row>
    <row r="58" spans="1:11">
      <c r="A58" s="4" t="s">
        <v>127</v>
      </c>
      <c r="B58" s="4" t="s">
        <v>128</v>
      </c>
      <c r="C58" s="9" t="s">
        <v>129</v>
      </c>
      <c r="D58" s="13">
        <v>1</v>
      </c>
      <c r="E58" s="4">
        <v>1</v>
      </c>
      <c r="F58" s="4">
        <v>8</v>
      </c>
      <c r="G58" s="4" t="s">
        <v>12</v>
      </c>
      <c r="H58" s="4" t="s">
        <v>14</v>
      </c>
      <c r="I58" s="4">
        <v>2024</v>
      </c>
      <c r="J58" s="4">
        <v>1</v>
      </c>
      <c r="K58" s="4">
        <v>1</v>
      </c>
    </row>
    <row r="59" spans="1:11">
      <c r="A59" s="4" t="s">
        <v>127</v>
      </c>
      <c r="B59" s="4" t="s">
        <v>136</v>
      </c>
      <c r="C59" s="9" t="s">
        <v>130</v>
      </c>
      <c r="D59" s="13">
        <v>0</v>
      </c>
      <c r="E59" s="4">
        <v>2</v>
      </c>
      <c r="F59" s="4">
        <v>8</v>
      </c>
      <c r="G59" s="4" t="s">
        <v>12</v>
      </c>
      <c r="H59" s="4" t="s">
        <v>14</v>
      </c>
      <c r="I59" s="4">
        <v>2024</v>
      </c>
      <c r="J59" s="4">
        <v>1</v>
      </c>
      <c r="K59" s="4">
        <v>1</v>
      </c>
    </row>
    <row r="60" spans="1:11">
      <c r="A60" s="4" t="s">
        <v>127</v>
      </c>
      <c r="B60" s="4" t="s">
        <v>137</v>
      </c>
      <c r="C60" s="9" t="s">
        <v>131</v>
      </c>
      <c r="D60" s="13">
        <v>1</v>
      </c>
      <c r="E60" s="4">
        <v>3</v>
      </c>
      <c r="F60" s="4">
        <v>8</v>
      </c>
      <c r="G60" s="4" t="s">
        <v>12</v>
      </c>
      <c r="H60" s="4" t="s">
        <v>14</v>
      </c>
      <c r="I60" s="4">
        <v>2024</v>
      </c>
      <c r="J60" s="4">
        <v>1</v>
      </c>
      <c r="K60" s="4">
        <v>1</v>
      </c>
    </row>
    <row r="61" spans="1:11">
      <c r="A61" s="4" t="s">
        <v>127</v>
      </c>
      <c r="B61" s="4" t="s">
        <v>138</v>
      </c>
      <c r="C61" s="9" t="s">
        <v>116</v>
      </c>
      <c r="D61" s="13">
        <v>1</v>
      </c>
      <c r="E61" s="4">
        <v>4</v>
      </c>
      <c r="F61" s="4">
        <v>8</v>
      </c>
      <c r="G61" s="4" t="s">
        <v>12</v>
      </c>
      <c r="H61" s="4" t="s">
        <v>14</v>
      </c>
      <c r="I61" s="4">
        <v>2024</v>
      </c>
      <c r="J61" s="4">
        <v>1</v>
      </c>
      <c r="K61" s="4">
        <v>1</v>
      </c>
    </row>
    <row r="62" spans="1:11">
      <c r="A62" s="4" t="s">
        <v>127</v>
      </c>
      <c r="B62" s="4" t="s">
        <v>139</v>
      </c>
      <c r="C62" s="9" t="s">
        <v>132</v>
      </c>
      <c r="D62" s="13">
        <v>0</v>
      </c>
      <c r="E62" s="4">
        <v>5</v>
      </c>
      <c r="F62" s="4">
        <v>8</v>
      </c>
      <c r="G62" s="4" t="s">
        <v>12</v>
      </c>
      <c r="H62" s="4" t="s">
        <v>14</v>
      </c>
      <c r="I62" s="4">
        <v>2024</v>
      </c>
      <c r="J62" s="4">
        <v>1</v>
      </c>
      <c r="K62" s="4">
        <v>1</v>
      </c>
    </row>
    <row r="63" spans="1:11">
      <c r="A63" s="4" t="s">
        <v>127</v>
      </c>
      <c r="B63" s="4" t="s">
        <v>140</v>
      </c>
      <c r="C63" s="9" t="s">
        <v>133</v>
      </c>
      <c r="D63" s="13">
        <v>0</v>
      </c>
      <c r="E63" s="4">
        <v>6</v>
      </c>
      <c r="F63" s="4">
        <v>8</v>
      </c>
      <c r="G63" s="4" t="s">
        <v>12</v>
      </c>
      <c r="H63" s="4" t="s">
        <v>14</v>
      </c>
      <c r="I63" s="4">
        <v>2024</v>
      </c>
      <c r="J63" s="4">
        <v>1</v>
      </c>
      <c r="K63" s="4">
        <v>1</v>
      </c>
    </row>
    <row r="64" spans="1:11">
      <c r="A64" s="4" t="s">
        <v>127</v>
      </c>
      <c r="B64" s="4" t="s">
        <v>141</v>
      </c>
      <c r="C64" s="9" t="s">
        <v>134</v>
      </c>
      <c r="D64" s="13">
        <v>1</v>
      </c>
      <c r="E64" s="4">
        <v>7</v>
      </c>
      <c r="F64" s="4">
        <v>8</v>
      </c>
      <c r="G64" s="4" t="s">
        <v>12</v>
      </c>
      <c r="H64" s="4" t="s">
        <v>14</v>
      </c>
      <c r="I64" s="4">
        <v>2024</v>
      </c>
      <c r="J64" s="4">
        <v>1</v>
      </c>
      <c r="K64" s="4">
        <v>1</v>
      </c>
    </row>
    <row r="65" spans="1:11">
      <c r="A65" s="4" t="s">
        <v>127</v>
      </c>
      <c r="B65" s="4" t="s">
        <v>142</v>
      </c>
      <c r="C65" s="9" t="s">
        <v>135</v>
      </c>
      <c r="D65" s="13">
        <v>1</v>
      </c>
      <c r="E65" s="4">
        <v>8</v>
      </c>
      <c r="F65" s="4">
        <v>8</v>
      </c>
      <c r="G65" s="4" t="s">
        <v>12</v>
      </c>
      <c r="H65" s="4" t="s">
        <v>14</v>
      </c>
      <c r="I65" s="4">
        <v>2024</v>
      </c>
      <c r="J65" s="4">
        <v>1</v>
      </c>
      <c r="K65" s="4">
        <v>1</v>
      </c>
    </row>
    <row r="66" spans="1:11">
      <c r="A66" s="4" t="s">
        <v>143</v>
      </c>
      <c r="B66" s="4" t="s">
        <v>144</v>
      </c>
      <c r="C66" s="9" t="s">
        <v>145</v>
      </c>
      <c r="D66" s="13">
        <v>1</v>
      </c>
      <c r="E66" s="4">
        <v>1</v>
      </c>
      <c r="F66" s="4">
        <v>8</v>
      </c>
      <c r="G66" s="4" t="s">
        <v>12</v>
      </c>
      <c r="H66" s="4" t="s">
        <v>14</v>
      </c>
      <c r="I66" s="4">
        <v>2025</v>
      </c>
      <c r="J66" s="4">
        <v>1</v>
      </c>
      <c r="K66" s="4">
        <v>1</v>
      </c>
    </row>
    <row r="67" spans="1:11">
      <c r="A67" s="4" t="s">
        <v>143</v>
      </c>
      <c r="B67" s="4" t="s">
        <v>153</v>
      </c>
      <c r="C67" s="9" t="s">
        <v>146</v>
      </c>
      <c r="D67" s="13">
        <v>1</v>
      </c>
      <c r="E67" s="4">
        <v>2</v>
      </c>
      <c r="F67" s="4">
        <v>8</v>
      </c>
      <c r="G67" s="4" t="s">
        <v>12</v>
      </c>
      <c r="H67" s="4" t="s">
        <v>14</v>
      </c>
      <c r="I67" s="4">
        <v>2025</v>
      </c>
      <c r="J67" s="4">
        <v>1</v>
      </c>
      <c r="K67" s="4">
        <v>1</v>
      </c>
    </row>
    <row r="68" spans="1:11">
      <c r="A68" s="4" t="s">
        <v>143</v>
      </c>
      <c r="B68" s="4" t="s">
        <v>154</v>
      </c>
      <c r="C68" s="9" t="s">
        <v>147</v>
      </c>
      <c r="D68" s="13">
        <v>1</v>
      </c>
      <c r="E68" s="4">
        <v>3</v>
      </c>
      <c r="F68" s="4">
        <v>8</v>
      </c>
      <c r="G68" s="4" t="s">
        <v>12</v>
      </c>
      <c r="H68" s="4" t="s">
        <v>14</v>
      </c>
      <c r="I68" s="4">
        <v>2025</v>
      </c>
      <c r="J68" s="4">
        <v>1</v>
      </c>
      <c r="K68" s="4">
        <v>1</v>
      </c>
    </row>
    <row r="69" spans="1:11">
      <c r="A69" s="4" t="s">
        <v>143</v>
      </c>
      <c r="B69" s="4" t="s">
        <v>155</v>
      </c>
      <c r="C69" s="9" t="s">
        <v>148</v>
      </c>
      <c r="D69" s="13">
        <v>0</v>
      </c>
      <c r="E69" s="4">
        <v>4</v>
      </c>
      <c r="F69" s="4">
        <v>8</v>
      </c>
      <c r="G69" s="4" t="s">
        <v>12</v>
      </c>
      <c r="H69" s="4" t="s">
        <v>14</v>
      </c>
      <c r="I69" s="4">
        <v>2025</v>
      </c>
      <c r="J69" s="4">
        <v>1</v>
      </c>
      <c r="K69" s="4">
        <v>1</v>
      </c>
    </row>
    <row r="70" spans="1:11">
      <c r="A70" s="4" t="s">
        <v>143</v>
      </c>
      <c r="B70" s="4" t="s">
        <v>156</v>
      </c>
      <c r="C70" s="9" t="s">
        <v>149</v>
      </c>
      <c r="D70" s="13">
        <v>0</v>
      </c>
      <c r="E70" s="4">
        <v>5</v>
      </c>
      <c r="F70" s="4">
        <v>8</v>
      </c>
      <c r="G70" s="4" t="s">
        <v>12</v>
      </c>
      <c r="H70" s="4" t="s">
        <v>14</v>
      </c>
      <c r="I70" s="4">
        <v>2025</v>
      </c>
      <c r="J70" s="4">
        <v>1</v>
      </c>
      <c r="K70" s="4">
        <v>1</v>
      </c>
    </row>
    <row r="71" spans="1:11">
      <c r="A71" s="4" t="s">
        <v>143</v>
      </c>
      <c r="B71" s="4" t="s">
        <v>157</v>
      </c>
      <c r="C71" s="9" t="s">
        <v>150</v>
      </c>
      <c r="D71" s="13">
        <v>0</v>
      </c>
      <c r="E71" s="4">
        <v>6</v>
      </c>
      <c r="F71" s="4">
        <v>8</v>
      </c>
      <c r="G71" s="4" t="s">
        <v>12</v>
      </c>
      <c r="H71" s="4" t="s">
        <v>14</v>
      </c>
      <c r="I71" s="4">
        <v>2025</v>
      </c>
      <c r="J71" s="4">
        <v>1</v>
      </c>
      <c r="K71" s="4">
        <v>1</v>
      </c>
    </row>
    <row r="72" spans="1:11">
      <c r="A72" s="4" t="s">
        <v>143</v>
      </c>
      <c r="B72" s="4" t="s">
        <v>158</v>
      </c>
      <c r="C72" s="9" t="s">
        <v>151</v>
      </c>
      <c r="D72" s="13">
        <v>1</v>
      </c>
      <c r="E72" s="4">
        <v>7</v>
      </c>
      <c r="F72" s="4">
        <v>8</v>
      </c>
      <c r="G72" s="4" t="s">
        <v>12</v>
      </c>
      <c r="H72" s="4" t="s">
        <v>14</v>
      </c>
      <c r="I72" s="4">
        <v>2025</v>
      </c>
      <c r="J72" s="4">
        <v>1</v>
      </c>
      <c r="K72" s="4">
        <v>1</v>
      </c>
    </row>
    <row r="73" spans="1:11">
      <c r="A73" s="4" t="s">
        <v>143</v>
      </c>
      <c r="B73" s="4" t="s">
        <v>159</v>
      </c>
      <c r="C73" s="9" t="s">
        <v>152</v>
      </c>
      <c r="D73" s="13">
        <v>1</v>
      </c>
      <c r="E73" s="4">
        <v>8</v>
      </c>
      <c r="F73" s="4">
        <v>8</v>
      </c>
      <c r="G73" s="4" t="s">
        <v>12</v>
      </c>
      <c r="H73" s="4" t="s">
        <v>14</v>
      </c>
      <c r="I73" s="4">
        <v>2025</v>
      </c>
      <c r="J73" s="4">
        <v>1</v>
      </c>
      <c r="K73" s="4">
        <v>1</v>
      </c>
    </row>
    <row r="74" spans="1:11">
      <c r="A74" s="4" t="s">
        <v>160</v>
      </c>
      <c r="B74" s="4" t="s">
        <v>161</v>
      </c>
      <c r="C74" s="9" t="s">
        <v>163</v>
      </c>
      <c r="D74" s="13">
        <v>0</v>
      </c>
      <c r="E74" s="4">
        <v>1</v>
      </c>
      <c r="F74" s="4">
        <v>21</v>
      </c>
      <c r="G74" s="4" t="s">
        <v>162</v>
      </c>
      <c r="H74" s="4" t="s">
        <v>14</v>
      </c>
      <c r="I74" s="4">
        <v>2017</v>
      </c>
      <c r="J74" s="4">
        <v>1</v>
      </c>
      <c r="K74" s="4">
        <v>0</v>
      </c>
    </row>
    <row r="75" spans="1:11">
      <c r="A75" s="4" t="s">
        <v>160</v>
      </c>
      <c r="B75" s="4" t="s">
        <v>184</v>
      </c>
      <c r="C75" s="9" t="s">
        <v>164</v>
      </c>
      <c r="D75" s="13">
        <v>0</v>
      </c>
      <c r="E75" s="4">
        <v>2</v>
      </c>
      <c r="F75" s="4">
        <v>21</v>
      </c>
      <c r="G75" s="4" t="s">
        <v>162</v>
      </c>
      <c r="H75" s="4" t="s">
        <v>14</v>
      </c>
      <c r="I75" s="4">
        <v>2017</v>
      </c>
      <c r="J75" s="4">
        <v>1</v>
      </c>
      <c r="K75" s="4">
        <v>0</v>
      </c>
    </row>
    <row r="76" spans="1:11">
      <c r="A76" s="4" t="s">
        <v>160</v>
      </c>
      <c r="B76" s="4" t="s">
        <v>185</v>
      </c>
      <c r="C76" s="9" t="s">
        <v>165</v>
      </c>
      <c r="D76" s="13">
        <v>0</v>
      </c>
      <c r="E76" s="4">
        <v>3</v>
      </c>
      <c r="F76" s="4">
        <v>21</v>
      </c>
      <c r="G76" s="4" t="s">
        <v>162</v>
      </c>
      <c r="H76" s="4" t="s">
        <v>14</v>
      </c>
      <c r="I76" s="4">
        <v>2017</v>
      </c>
      <c r="J76" s="4">
        <v>1</v>
      </c>
      <c r="K76" s="4">
        <v>0</v>
      </c>
    </row>
    <row r="77" spans="1:11">
      <c r="A77" s="4" t="s">
        <v>160</v>
      </c>
      <c r="B77" s="4" t="s">
        <v>186</v>
      </c>
      <c r="C77" s="9" t="s">
        <v>166</v>
      </c>
      <c r="D77" s="13">
        <v>0</v>
      </c>
      <c r="E77" s="4">
        <v>4</v>
      </c>
      <c r="F77" s="4">
        <v>21</v>
      </c>
      <c r="G77" s="4" t="s">
        <v>162</v>
      </c>
      <c r="H77" s="4" t="s">
        <v>14</v>
      </c>
      <c r="I77" s="4">
        <v>2017</v>
      </c>
      <c r="J77" s="4">
        <v>1</v>
      </c>
      <c r="K77" s="4">
        <v>0</v>
      </c>
    </row>
    <row r="78" spans="1:11">
      <c r="A78" s="4" t="s">
        <v>160</v>
      </c>
      <c r="B78" s="4" t="s">
        <v>187</v>
      </c>
      <c r="C78" s="9" t="s">
        <v>167</v>
      </c>
      <c r="D78" s="13">
        <v>0</v>
      </c>
      <c r="E78" s="4">
        <v>5</v>
      </c>
      <c r="F78" s="4">
        <v>21</v>
      </c>
      <c r="G78" s="4" t="s">
        <v>162</v>
      </c>
      <c r="H78" s="4" t="s">
        <v>14</v>
      </c>
      <c r="I78" s="4">
        <v>2017</v>
      </c>
      <c r="J78" s="4">
        <v>1</v>
      </c>
      <c r="K78" s="4">
        <v>0</v>
      </c>
    </row>
    <row r="79" spans="1:11">
      <c r="A79" s="4" t="s">
        <v>160</v>
      </c>
      <c r="B79" s="4" t="s">
        <v>188</v>
      </c>
      <c r="C79" s="9" t="s">
        <v>168</v>
      </c>
      <c r="D79" s="13">
        <v>0</v>
      </c>
      <c r="E79" s="4">
        <v>6</v>
      </c>
      <c r="F79" s="4">
        <v>21</v>
      </c>
      <c r="G79" s="4" t="s">
        <v>162</v>
      </c>
      <c r="H79" s="4" t="s">
        <v>14</v>
      </c>
      <c r="I79" s="4">
        <v>2017</v>
      </c>
      <c r="J79" s="4">
        <v>1</v>
      </c>
      <c r="K79" s="4">
        <v>0</v>
      </c>
    </row>
    <row r="80" spans="1:11">
      <c r="A80" s="4" t="s">
        <v>160</v>
      </c>
      <c r="B80" s="4" t="s">
        <v>189</v>
      </c>
      <c r="C80" s="9" t="s">
        <v>169</v>
      </c>
      <c r="D80" s="13">
        <v>0</v>
      </c>
      <c r="E80" s="4">
        <v>7</v>
      </c>
      <c r="F80" s="4">
        <v>21</v>
      </c>
      <c r="G80" s="4" t="s">
        <v>162</v>
      </c>
      <c r="H80" s="4" t="s">
        <v>14</v>
      </c>
      <c r="I80" s="4">
        <v>2017</v>
      </c>
      <c r="J80" s="4">
        <v>1</v>
      </c>
      <c r="K80" s="4">
        <v>0</v>
      </c>
    </row>
    <row r="81" spans="1:11">
      <c r="A81" s="4" t="s">
        <v>160</v>
      </c>
      <c r="B81" s="4" t="s">
        <v>190</v>
      </c>
      <c r="C81" s="9" t="s">
        <v>170</v>
      </c>
      <c r="D81" s="13">
        <v>0</v>
      </c>
      <c r="E81" s="4">
        <v>8</v>
      </c>
      <c r="F81" s="4">
        <v>21</v>
      </c>
      <c r="G81" s="4" t="s">
        <v>162</v>
      </c>
      <c r="H81" s="4" t="s">
        <v>14</v>
      </c>
      <c r="I81" s="4">
        <v>2017</v>
      </c>
      <c r="J81" s="4">
        <v>1</v>
      </c>
      <c r="K81" s="4">
        <v>0</v>
      </c>
    </row>
    <row r="82" spans="1:11">
      <c r="A82" s="4" t="s">
        <v>160</v>
      </c>
      <c r="B82" s="4" t="s">
        <v>191</v>
      </c>
      <c r="C82" s="9" t="s">
        <v>171</v>
      </c>
      <c r="D82" s="13">
        <v>0</v>
      </c>
      <c r="E82" s="4">
        <v>9</v>
      </c>
      <c r="F82" s="4">
        <v>21</v>
      </c>
      <c r="G82" s="4" t="s">
        <v>162</v>
      </c>
      <c r="H82" s="4" t="s">
        <v>14</v>
      </c>
      <c r="I82" s="4">
        <v>2017</v>
      </c>
      <c r="J82" s="4">
        <v>1</v>
      </c>
      <c r="K82" s="4">
        <v>0</v>
      </c>
    </row>
    <row r="83" spans="1:11">
      <c r="A83" s="4" t="s">
        <v>160</v>
      </c>
      <c r="B83" s="4" t="s">
        <v>192</v>
      </c>
      <c r="C83" s="9" t="s">
        <v>172</v>
      </c>
      <c r="D83" s="13">
        <v>0</v>
      </c>
      <c r="E83" s="4">
        <v>10</v>
      </c>
      <c r="F83" s="4">
        <v>21</v>
      </c>
      <c r="G83" s="4" t="s">
        <v>162</v>
      </c>
      <c r="H83" s="4" t="s">
        <v>14</v>
      </c>
      <c r="I83" s="4">
        <v>2017</v>
      </c>
      <c r="J83" s="4">
        <v>1</v>
      </c>
      <c r="K83" s="4">
        <v>0</v>
      </c>
    </row>
    <row r="84" spans="1:11">
      <c r="A84" s="4" t="s">
        <v>160</v>
      </c>
      <c r="B84" s="4" t="s">
        <v>193</v>
      </c>
      <c r="C84" s="9" t="s">
        <v>173</v>
      </c>
      <c r="D84" s="13">
        <v>0</v>
      </c>
      <c r="E84" s="4">
        <v>11</v>
      </c>
      <c r="F84" s="4">
        <v>21</v>
      </c>
      <c r="G84" s="4" t="s">
        <v>162</v>
      </c>
      <c r="H84" s="4" t="s">
        <v>14</v>
      </c>
      <c r="I84" s="4">
        <v>2017</v>
      </c>
      <c r="J84" s="4">
        <v>1</v>
      </c>
      <c r="K84" s="4">
        <v>0</v>
      </c>
    </row>
    <row r="85" spans="1:11">
      <c r="A85" s="4" t="s">
        <v>160</v>
      </c>
      <c r="B85" s="4" t="s">
        <v>194</v>
      </c>
      <c r="C85" s="9" t="s">
        <v>174</v>
      </c>
      <c r="D85" s="13">
        <v>0</v>
      </c>
      <c r="E85" s="4">
        <v>12</v>
      </c>
      <c r="F85" s="4">
        <v>21</v>
      </c>
      <c r="G85" s="4" t="s">
        <v>162</v>
      </c>
      <c r="H85" s="4" t="s">
        <v>14</v>
      </c>
      <c r="I85" s="4">
        <v>2017</v>
      </c>
      <c r="J85" s="4">
        <v>1</v>
      </c>
      <c r="K85" s="4">
        <v>0</v>
      </c>
    </row>
    <row r="86" spans="1:11">
      <c r="A86" s="4" t="s">
        <v>160</v>
      </c>
      <c r="B86" s="4" t="s">
        <v>195</v>
      </c>
      <c r="C86" s="9" t="s">
        <v>175</v>
      </c>
      <c r="D86" s="13">
        <v>0</v>
      </c>
      <c r="E86" s="4">
        <v>13</v>
      </c>
      <c r="F86" s="4">
        <v>21</v>
      </c>
      <c r="G86" s="4" t="s">
        <v>162</v>
      </c>
      <c r="H86" s="4" t="s">
        <v>14</v>
      </c>
      <c r="I86" s="4">
        <v>2017</v>
      </c>
      <c r="J86" s="4">
        <v>1</v>
      </c>
      <c r="K86" s="4">
        <v>0</v>
      </c>
    </row>
    <row r="87" spans="1:11">
      <c r="A87" s="4" t="s">
        <v>160</v>
      </c>
      <c r="B87" s="4" t="s">
        <v>196</v>
      </c>
      <c r="C87" s="9" t="s">
        <v>176</v>
      </c>
      <c r="D87" s="13">
        <v>0</v>
      </c>
      <c r="E87" s="4">
        <v>14</v>
      </c>
      <c r="F87" s="4">
        <v>21</v>
      </c>
      <c r="G87" s="4" t="s">
        <v>162</v>
      </c>
      <c r="H87" s="4" t="s">
        <v>14</v>
      </c>
      <c r="I87" s="4">
        <v>2017</v>
      </c>
      <c r="J87" s="4">
        <v>1</v>
      </c>
      <c r="K87" s="4">
        <v>0</v>
      </c>
    </row>
    <row r="88" spans="1:11">
      <c r="A88" s="4" t="s">
        <v>160</v>
      </c>
      <c r="B88" s="4" t="s">
        <v>197</v>
      </c>
      <c r="C88" s="9" t="s">
        <v>177</v>
      </c>
      <c r="D88" s="13">
        <v>0</v>
      </c>
      <c r="E88" s="4">
        <v>15</v>
      </c>
      <c r="F88" s="4">
        <v>21</v>
      </c>
      <c r="G88" s="4" t="s">
        <v>162</v>
      </c>
      <c r="H88" s="4" t="s">
        <v>14</v>
      </c>
      <c r="I88" s="4">
        <v>2017</v>
      </c>
      <c r="J88" s="4">
        <v>1</v>
      </c>
      <c r="K88" s="4">
        <v>0</v>
      </c>
    </row>
    <row r="89" spans="1:11">
      <c r="A89" s="4" t="s">
        <v>160</v>
      </c>
      <c r="B89" s="4" t="s">
        <v>198</v>
      </c>
      <c r="C89" s="9" t="s">
        <v>178</v>
      </c>
      <c r="D89" s="13">
        <v>0</v>
      </c>
      <c r="E89" s="4">
        <v>16</v>
      </c>
      <c r="F89" s="4">
        <v>21</v>
      </c>
      <c r="G89" s="4" t="s">
        <v>162</v>
      </c>
      <c r="H89" s="4" t="s">
        <v>14</v>
      </c>
      <c r="I89" s="4">
        <v>2017</v>
      </c>
      <c r="J89" s="4">
        <v>1</v>
      </c>
      <c r="K89" s="4">
        <v>0</v>
      </c>
    </row>
    <row r="90" spans="1:11">
      <c r="A90" s="4" t="s">
        <v>160</v>
      </c>
      <c r="B90" s="4" t="s">
        <v>199</v>
      </c>
      <c r="C90" s="9" t="s">
        <v>179</v>
      </c>
      <c r="D90" s="13">
        <v>0</v>
      </c>
      <c r="E90" s="4">
        <v>17</v>
      </c>
      <c r="F90" s="4">
        <v>21</v>
      </c>
      <c r="G90" s="4" t="s">
        <v>162</v>
      </c>
      <c r="H90" s="4" t="s">
        <v>14</v>
      </c>
      <c r="I90" s="4">
        <v>2017</v>
      </c>
      <c r="J90" s="4">
        <v>1</v>
      </c>
      <c r="K90" s="4">
        <v>0</v>
      </c>
    </row>
    <row r="91" spans="1:11">
      <c r="A91" s="4" t="s">
        <v>160</v>
      </c>
      <c r="B91" s="4" t="s">
        <v>200</v>
      </c>
      <c r="C91" s="9" t="s">
        <v>180</v>
      </c>
      <c r="D91" s="13">
        <v>0</v>
      </c>
      <c r="E91" s="4">
        <v>18</v>
      </c>
      <c r="F91" s="4">
        <v>21</v>
      </c>
      <c r="G91" s="4" t="s">
        <v>162</v>
      </c>
      <c r="H91" s="4" t="s">
        <v>14</v>
      </c>
      <c r="I91" s="4">
        <v>2017</v>
      </c>
      <c r="J91" s="4">
        <v>1</v>
      </c>
      <c r="K91" s="4">
        <v>0</v>
      </c>
    </row>
    <row r="92" spans="1:11">
      <c r="A92" s="4" t="s">
        <v>160</v>
      </c>
      <c r="B92" s="4" t="s">
        <v>201</v>
      </c>
      <c r="C92" s="9" t="s">
        <v>181</v>
      </c>
      <c r="D92" s="13">
        <v>1</v>
      </c>
      <c r="E92" s="4">
        <v>19</v>
      </c>
      <c r="F92" s="4">
        <v>21</v>
      </c>
      <c r="G92" s="4" t="s">
        <v>162</v>
      </c>
      <c r="H92" s="4" t="s">
        <v>14</v>
      </c>
      <c r="I92" s="4">
        <v>2017</v>
      </c>
      <c r="J92" s="4">
        <v>1</v>
      </c>
      <c r="K92" s="4">
        <v>0</v>
      </c>
    </row>
    <row r="93" spans="1:11">
      <c r="A93" s="4" t="s">
        <v>160</v>
      </c>
      <c r="B93" s="4" t="s">
        <v>202</v>
      </c>
      <c r="C93" s="9" t="s">
        <v>182</v>
      </c>
      <c r="D93" s="13">
        <v>1</v>
      </c>
      <c r="E93" s="4">
        <v>20</v>
      </c>
      <c r="F93" s="4">
        <v>21</v>
      </c>
      <c r="G93" s="4" t="s">
        <v>162</v>
      </c>
      <c r="H93" s="4" t="s">
        <v>14</v>
      </c>
      <c r="I93" s="4">
        <v>2017</v>
      </c>
      <c r="J93" s="4">
        <v>1</v>
      </c>
      <c r="K93" s="4">
        <v>0</v>
      </c>
    </row>
    <row r="94" spans="1:11">
      <c r="A94" s="4" t="s">
        <v>160</v>
      </c>
      <c r="B94" s="4" t="s">
        <v>203</v>
      </c>
      <c r="C94" s="6" t="s">
        <v>183</v>
      </c>
      <c r="D94" s="13">
        <v>0</v>
      </c>
      <c r="E94" s="4">
        <v>21</v>
      </c>
      <c r="F94" s="4">
        <v>21</v>
      </c>
      <c r="G94" s="4" t="s">
        <v>162</v>
      </c>
      <c r="H94" s="4" t="s">
        <v>14</v>
      </c>
      <c r="I94" s="4">
        <v>2017</v>
      </c>
      <c r="J94" s="4">
        <v>1</v>
      </c>
      <c r="K94" s="4">
        <v>0</v>
      </c>
    </row>
    <row r="95" spans="1:11">
      <c r="A95" s="4" t="s">
        <v>204</v>
      </c>
      <c r="B95" s="4" t="s">
        <v>205</v>
      </c>
      <c r="C95" s="9" t="s">
        <v>206</v>
      </c>
      <c r="D95" s="13">
        <v>0</v>
      </c>
      <c r="E95" s="4">
        <v>1</v>
      </c>
      <c r="F95" s="4">
        <v>25</v>
      </c>
      <c r="G95" s="4" t="s">
        <v>162</v>
      </c>
      <c r="H95" s="4" t="s">
        <v>14</v>
      </c>
      <c r="I95" s="4">
        <v>2018</v>
      </c>
      <c r="J95" s="4">
        <v>1</v>
      </c>
      <c r="K95" s="4">
        <v>0</v>
      </c>
    </row>
    <row r="96" spans="1:11">
      <c r="A96" s="4" t="s">
        <v>204</v>
      </c>
      <c r="B96" s="4" t="s">
        <v>229</v>
      </c>
      <c r="C96" s="10" t="s">
        <v>207</v>
      </c>
      <c r="D96" s="13">
        <v>0</v>
      </c>
      <c r="E96" s="4">
        <v>2</v>
      </c>
      <c r="F96" s="4">
        <v>25</v>
      </c>
      <c r="G96" s="4" t="s">
        <v>162</v>
      </c>
      <c r="H96" s="4" t="s">
        <v>14</v>
      </c>
      <c r="I96" s="4">
        <v>2018</v>
      </c>
      <c r="J96" s="4">
        <v>1</v>
      </c>
      <c r="K96" s="4">
        <v>0</v>
      </c>
    </row>
    <row r="97" spans="1:11">
      <c r="A97" s="4" t="s">
        <v>204</v>
      </c>
      <c r="B97" s="4" t="s">
        <v>230</v>
      </c>
      <c r="C97" s="9" t="s">
        <v>208</v>
      </c>
      <c r="D97" s="13">
        <v>0</v>
      </c>
      <c r="E97" s="4">
        <v>3</v>
      </c>
      <c r="F97" s="4">
        <v>25</v>
      </c>
      <c r="G97" s="4" t="s">
        <v>162</v>
      </c>
      <c r="H97" s="4" t="s">
        <v>14</v>
      </c>
      <c r="I97" s="4">
        <v>2018</v>
      </c>
      <c r="J97" s="4">
        <v>1</v>
      </c>
      <c r="K97" s="4">
        <v>0</v>
      </c>
    </row>
    <row r="98" spans="1:11">
      <c r="A98" s="4" t="s">
        <v>204</v>
      </c>
      <c r="B98" s="4" t="s">
        <v>231</v>
      </c>
      <c r="C98" s="9" t="s">
        <v>209</v>
      </c>
      <c r="D98" s="13">
        <v>0</v>
      </c>
      <c r="E98" s="4">
        <v>4</v>
      </c>
      <c r="F98" s="4">
        <v>25</v>
      </c>
      <c r="G98" s="4" t="s">
        <v>162</v>
      </c>
      <c r="H98" s="4" t="s">
        <v>14</v>
      </c>
      <c r="I98" s="4">
        <v>2018</v>
      </c>
      <c r="J98" s="4">
        <v>1</v>
      </c>
      <c r="K98" s="4">
        <v>0</v>
      </c>
    </row>
    <row r="99" spans="1:11">
      <c r="A99" s="4" t="s">
        <v>204</v>
      </c>
      <c r="B99" s="4" t="s">
        <v>232</v>
      </c>
      <c r="C99" s="9" t="s">
        <v>210</v>
      </c>
      <c r="D99" s="13">
        <v>0</v>
      </c>
      <c r="E99" s="4">
        <v>5</v>
      </c>
      <c r="F99" s="4">
        <v>25</v>
      </c>
      <c r="G99" s="4" t="s">
        <v>162</v>
      </c>
      <c r="H99" s="4" t="s">
        <v>14</v>
      </c>
      <c r="I99" s="4">
        <v>2018</v>
      </c>
      <c r="J99" s="4">
        <v>1</v>
      </c>
      <c r="K99" s="4">
        <v>0</v>
      </c>
    </row>
    <row r="100" spans="1:11">
      <c r="A100" s="4" t="s">
        <v>204</v>
      </c>
      <c r="B100" s="4" t="s">
        <v>233</v>
      </c>
      <c r="C100" s="9" t="s">
        <v>211</v>
      </c>
      <c r="D100" s="13">
        <v>0</v>
      </c>
      <c r="E100" s="4">
        <v>6</v>
      </c>
      <c r="F100" s="4">
        <v>25</v>
      </c>
      <c r="G100" s="4" t="s">
        <v>162</v>
      </c>
      <c r="H100" s="4" t="s">
        <v>14</v>
      </c>
      <c r="I100" s="4">
        <v>2018</v>
      </c>
      <c r="J100" s="4">
        <v>1</v>
      </c>
      <c r="K100" s="4">
        <v>0</v>
      </c>
    </row>
    <row r="101" spans="1:11">
      <c r="A101" s="4" t="s">
        <v>204</v>
      </c>
      <c r="B101" s="4" t="s">
        <v>234</v>
      </c>
      <c r="C101" s="9" t="s">
        <v>212</v>
      </c>
      <c r="D101" s="13">
        <v>0</v>
      </c>
      <c r="E101" s="4">
        <v>7</v>
      </c>
      <c r="F101" s="4">
        <v>25</v>
      </c>
      <c r="G101" s="4" t="s">
        <v>162</v>
      </c>
      <c r="H101" s="4" t="s">
        <v>14</v>
      </c>
      <c r="I101" s="4">
        <v>2018</v>
      </c>
      <c r="J101" s="4">
        <v>1</v>
      </c>
      <c r="K101" s="4">
        <v>0</v>
      </c>
    </row>
    <row r="102" spans="1:11">
      <c r="A102" s="4" t="s">
        <v>204</v>
      </c>
      <c r="B102" s="4" t="s">
        <v>235</v>
      </c>
      <c r="C102" s="9" t="s">
        <v>213</v>
      </c>
      <c r="D102" s="13">
        <v>0</v>
      </c>
      <c r="E102" s="4">
        <v>8</v>
      </c>
      <c r="F102" s="4">
        <v>25</v>
      </c>
      <c r="G102" s="4" t="s">
        <v>162</v>
      </c>
      <c r="H102" s="4" t="s">
        <v>14</v>
      </c>
      <c r="I102" s="4">
        <v>2018</v>
      </c>
      <c r="J102" s="4">
        <v>1</v>
      </c>
      <c r="K102" s="4">
        <v>0</v>
      </c>
    </row>
    <row r="103" spans="1:11">
      <c r="A103" s="4" t="s">
        <v>204</v>
      </c>
      <c r="B103" s="4" t="s">
        <v>236</v>
      </c>
      <c r="C103" s="9" t="s">
        <v>214</v>
      </c>
      <c r="D103" s="13">
        <v>0</v>
      </c>
      <c r="E103" s="4">
        <v>9</v>
      </c>
      <c r="F103" s="4">
        <v>25</v>
      </c>
      <c r="G103" s="4" t="s">
        <v>162</v>
      </c>
      <c r="H103" s="4" t="s">
        <v>14</v>
      </c>
      <c r="I103" s="4">
        <v>2018</v>
      </c>
      <c r="J103" s="4">
        <v>1</v>
      </c>
      <c r="K103" s="4">
        <v>0</v>
      </c>
    </row>
    <row r="104" spans="1:11">
      <c r="A104" s="4" t="s">
        <v>204</v>
      </c>
      <c r="B104" s="4" t="s">
        <v>237</v>
      </c>
      <c r="C104" s="9" t="s">
        <v>215</v>
      </c>
      <c r="D104" s="13">
        <v>0</v>
      </c>
      <c r="E104" s="4">
        <v>10</v>
      </c>
      <c r="F104" s="4">
        <v>25</v>
      </c>
      <c r="G104" s="4" t="s">
        <v>162</v>
      </c>
      <c r="H104" s="4" t="s">
        <v>14</v>
      </c>
      <c r="I104" s="4">
        <v>2018</v>
      </c>
      <c r="J104" s="4">
        <v>1</v>
      </c>
      <c r="K104" s="4">
        <v>0</v>
      </c>
    </row>
    <row r="105" spans="1:11">
      <c r="A105" s="4" t="s">
        <v>204</v>
      </c>
      <c r="B105" s="4" t="s">
        <v>238</v>
      </c>
      <c r="C105" s="9" t="s">
        <v>216</v>
      </c>
      <c r="D105" s="13">
        <v>0</v>
      </c>
      <c r="E105" s="4">
        <v>11</v>
      </c>
      <c r="F105" s="4">
        <v>25</v>
      </c>
      <c r="G105" s="4" t="s">
        <v>162</v>
      </c>
      <c r="H105" s="4" t="s">
        <v>14</v>
      </c>
      <c r="I105" s="4">
        <v>2018</v>
      </c>
      <c r="J105" s="4">
        <v>1</v>
      </c>
      <c r="K105" s="4">
        <v>0</v>
      </c>
    </row>
    <row r="106" spans="1:11">
      <c r="A106" s="4" t="s">
        <v>204</v>
      </c>
      <c r="B106" s="4" t="s">
        <v>239</v>
      </c>
      <c r="C106" s="9" t="s">
        <v>217</v>
      </c>
      <c r="D106" s="13">
        <v>0</v>
      </c>
      <c r="E106" s="4">
        <v>12</v>
      </c>
      <c r="F106" s="4">
        <v>25</v>
      </c>
      <c r="G106" s="4" t="s">
        <v>162</v>
      </c>
      <c r="H106" s="4" t="s">
        <v>14</v>
      </c>
      <c r="I106" s="4">
        <v>2018</v>
      </c>
      <c r="J106" s="4">
        <v>1</v>
      </c>
      <c r="K106" s="4">
        <v>0</v>
      </c>
    </row>
    <row r="107" spans="1:11">
      <c r="A107" s="4" t="s">
        <v>204</v>
      </c>
      <c r="B107" s="4" t="s">
        <v>240</v>
      </c>
      <c r="C107" s="9" t="s">
        <v>218</v>
      </c>
      <c r="D107" s="13">
        <v>0</v>
      </c>
      <c r="E107" s="4">
        <v>13</v>
      </c>
      <c r="F107" s="4">
        <v>25</v>
      </c>
      <c r="G107" s="4" t="s">
        <v>162</v>
      </c>
      <c r="H107" s="4" t="s">
        <v>14</v>
      </c>
      <c r="I107" s="4">
        <v>2018</v>
      </c>
      <c r="J107" s="4">
        <v>1</v>
      </c>
      <c r="K107" s="4">
        <v>0</v>
      </c>
    </row>
    <row r="108" spans="1:11">
      <c r="A108" s="4" t="s">
        <v>204</v>
      </c>
      <c r="B108" s="4" t="s">
        <v>241</v>
      </c>
      <c r="C108" s="9" t="s">
        <v>219</v>
      </c>
      <c r="D108" s="13">
        <v>0</v>
      </c>
      <c r="E108" s="4">
        <v>14</v>
      </c>
      <c r="F108" s="4">
        <v>25</v>
      </c>
      <c r="G108" s="4" t="s">
        <v>162</v>
      </c>
      <c r="H108" s="4" t="s">
        <v>14</v>
      </c>
      <c r="I108" s="4">
        <v>2018</v>
      </c>
      <c r="J108" s="4">
        <v>1</v>
      </c>
      <c r="K108" s="4">
        <v>0</v>
      </c>
    </row>
    <row r="109" spans="1:11">
      <c r="A109" s="4" t="s">
        <v>204</v>
      </c>
      <c r="B109" s="4" t="s">
        <v>242</v>
      </c>
      <c r="C109" s="10" t="s">
        <v>220</v>
      </c>
      <c r="D109" s="13">
        <v>0</v>
      </c>
      <c r="E109" s="4">
        <v>15</v>
      </c>
      <c r="F109" s="4">
        <v>25</v>
      </c>
      <c r="G109" s="4" t="s">
        <v>162</v>
      </c>
      <c r="H109" s="4" t="s">
        <v>14</v>
      </c>
      <c r="I109" s="4">
        <v>2018</v>
      </c>
      <c r="J109" s="4">
        <v>1</v>
      </c>
      <c r="K109" s="4">
        <v>0</v>
      </c>
    </row>
    <row r="110" spans="1:11">
      <c r="A110" s="4" t="s">
        <v>204</v>
      </c>
      <c r="B110" s="4" t="s">
        <v>243</v>
      </c>
      <c r="C110" s="9" t="s">
        <v>221</v>
      </c>
      <c r="D110" s="13">
        <v>0</v>
      </c>
      <c r="E110" s="4">
        <v>16</v>
      </c>
      <c r="F110" s="4">
        <v>25</v>
      </c>
      <c r="G110" s="4" t="s">
        <v>162</v>
      </c>
      <c r="H110" s="4" t="s">
        <v>14</v>
      </c>
      <c r="I110" s="4">
        <v>2018</v>
      </c>
      <c r="J110" s="4">
        <v>1</v>
      </c>
      <c r="K110" s="4">
        <v>0</v>
      </c>
    </row>
    <row r="111" spans="1:11">
      <c r="A111" s="4" t="s">
        <v>204</v>
      </c>
      <c r="B111" s="4" t="s">
        <v>244</v>
      </c>
      <c r="C111" s="9" t="s">
        <v>222</v>
      </c>
      <c r="D111" s="13">
        <v>0</v>
      </c>
      <c r="E111" s="4">
        <v>17</v>
      </c>
      <c r="F111" s="4">
        <v>25</v>
      </c>
      <c r="G111" s="4" t="s">
        <v>162</v>
      </c>
      <c r="H111" s="4" t="s">
        <v>14</v>
      </c>
      <c r="I111" s="4">
        <v>2018</v>
      </c>
      <c r="J111" s="4">
        <v>1</v>
      </c>
      <c r="K111" s="4">
        <v>0</v>
      </c>
    </row>
    <row r="112" spans="1:11">
      <c r="A112" s="4" t="s">
        <v>204</v>
      </c>
      <c r="B112" s="4" t="s">
        <v>245</v>
      </c>
      <c r="C112" s="9" t="s">
        <v>223</v>
      </c>
      <c r="D112" s="13">
        <v>0</v>
      </c>
      <c r="E112" s="4">
        <v>18</v>
      </c>
      <c r="F112" s="4">
        <v>25</v>
      </c>
      <c r="G112" s="4" t="s">
        <v>162</v>
      </c>
      <c r="H112" s="4" t="s">
        <v>14</v>
      </c>
      <c r="I112" s="4">
        <v>2018</v>
      </c>
      <c r="J112" s="4">
        <v>1</v>
      </c>
      <c r="K112" s="4">
        <v>0</v>
      </c>
    </row>
    <row r="113" spans="1:11">
      <c r="A113" s="4" t="s">
        <v>204</v>
      </c>
      <c r="B113" s="4" t="s">
        <v>246</v>
      </c>
      <c r="C113" s="9" t="s">
        <v>224</v>
      </c>
      <c r="D113" s="13">
        <v>0</v>
      </c>
      <c r="E113" s="4">
        <v>19</v>
      </c>
      <c r="F113" s="4">
        <v>25</v>
      </c>
      <c r="G113" s="4" t="s">
        <v>162</v>
      </c>
      <c r="H113" s="4" t="s">
        <v>14</v>
      </c>
      <c r="I113" s="4">
        <v>2018</v>
      </c>
      <c r="J113" s="4">
        <v>1</v>
      </c>
      <c r="K113" s="4">
        <v>0</v>
      </c>
    </row>
    <row r="114" spans="1:11">
      <c r="A114" s="4" t="s">
        <v>204</v>
      </c>
      <c r="B114" s="4" t="s">
        <v>247</v>
      </c>
      <c r="C114" s="10" t="s">
        <v>178</v>
      </c>
      <c r="D114" s="13">
        <v>0</v>
      </c>
      <c r="E114" s="4">
        <v>20</v>
      </c>
      <c r="F114" s="4">
        <v>25</v>
      </c>
      <c r="G114" s="4" t="s">
        <v>162</v>
      </c>
      <c r="H114" s="4" t="s">
        <v>14</v>
      </c>
      <c r="I114" s="4">
        <v>2018</v>
      </c>
      <c r="J114" s="4">
        <v>1</v>
      </c>
      <c r="K114" s="4">
        <v>0</v>
      </c>
    </row>
    <row r="115" spans="1:11">
      <c r="A115" s="4" t="s">
        <v>204</v>
      </c>
      <c r="B115" s="4" t="s">
        <v>248</v>
      </c>
      <c r="C115" s="9" t="s">
        <v>225</v>
      </c>
      <c r="D115" s="13">
        <v>0</v>
      </c>
      <c r="E115" s="4">
        <v>21</v>
      </c>
      <c r="F115" s="4">
        <v>25</v>
      </c>
      <c r="G115" s="4" t="s">
        <v>162</v>
      </c>
      <c r="H115" s="4" t="s">
        <v>14</v>
      </c>
      <c r="I115" s="4">
        <v>2018</v>
      </c>
      <c r="J115" s="4">
        <v>1</v>
      </c>
      <c r="K115" s="4">
        <v>0</v>
      </c>
    </row>
    <row r="116" spans="1:11">
      <c r="A116" s="4" t="s">
        <v>204</v>
      </c>
      <c r="B116" s="4" t="s">
        <v>249</v>
      </c>
      <c r="C116" s="10" t="s">
        <v>838</v>
      </c>
      <c r="D116" s="13">
        <v>1</v>
      </c>
      <c r="E116" s="4">
        <v>22</v>
      </c>
      <c r="F116" s="4">
        <v>25</v>
      </c>
      <c r="G116" s="4" t="s">
        <v>162</v>
      </c>
      <c r="H116" s="4" t="s">
        <v>14</v>
      </c>
      <c r="I116" s="4">
        <v>2018</v>
      </c>
      <c r="J116" s="4">
        <v>1</v>
      </c>
      <c r="K116" s="4">
        <v>0</v>
      </c>
    </row>
    <row r="117" spans="1:11">
      <c r="A117" s="4" t="s">
        <v>204</v>
      </c>
      <c r="B117" s="4" t="s">
        <v>250</v>
      </c>
      <c r="C117" s="9" t="s">
        <v>226</v>
      </c>
      <c r="D117" s="13">
        <v>0</v>
      </c>
      <c r="E117" s="4">
        <v>23</v>
      </c>
      <c r="F117" s="4">
        <v>25</v>
      </c>
      <c r="G117" s="4" t="s">
        <v>162</v>
      </c>
      <c r="H117" s="4" t="s">
        <v>14</v>
      </c>
      <c r="I117" s="4">
        <v>2018</v>
      </c>
      <c r="J117" s="4">
        <v>1</v>
      </c>
      <c r="K117" s="4">
        <v>0</v>
      </c>
    </row>
    <row r="118" spans="1:11">
      <c r="A118" s="4" t="s">
        <v>204</v>
      </c>
      <c r="B118" s="4" t="s">
        <v>251</v>
      </c>
      <c r="C118" s="10" t="s">
        <v>227</v>
      </c>
      <c r="D118" s="13">
        <v>1</v>
      </c>
      <c r="E118" s="4">
        <v>24</v>
      </c>
      <c r="F118" s="4">
        <v>25</v>
      </c>
      <c r="G118" s="4" t="s">
        <v>162</v>
      </c>
      <c r="H118" s="4" t="s">
        <v>14</v>
      </c>
      <c r="I118" s="4">
        <v>2018</v>
      </c>
      <c r="J118" s="4">
        <v>1</v>
      </c>
      <c r="K118" s="4">
        <v>0</v>
      </c>
    </row>
    <row r="119" spans="1:11">
      <c r="A119" s="4" t="s">
        <v>204</v>
      </c>
      <c r="B119" s="4" t="s">
        <v>252</v>
      </c>
      <c r="C119" s="9" t="s">
        <v>228</v>
      </c>
      <c r="D119" s="13">
        <v>1</v>
      </c>
      <c r="E119" s="4">
        <v>25</v>
      </c>
      <c r="F119" s="4">
        <v>25</v>
      </c>
      <c r="G119" s="4" t="s">
        <v>162</v>
      </c>
      <c r="H119" s="4" t="s">
        <v>14</v>
      </c>
      <c r="I119" s="4">
        <v>2018</v>
      </c>
      <c r="J119" s="4">
        <v>1</v>
      </c>
      <c r="K119" s="4">
        <v>0</v>
      </c>
    </row>
    <row r="120" spans="1:11">
      <c r="A120" s="4" t="s">
        <v>253</v>
      </c>
      <c r="B120" s="4" t="s">
        <v>254</v>
      </c>
      <c r="C120" s="9" t="s">
        <v>255</v>
      </c>
      <c r="D120" s="13">
        <v>0</v>
      </c>
      <c r="E120" s="4">
        <v>1</v>
      </c>
      <c r="F120" s="4">
        <v>16</v>
      </c>
      <c r="G120" s="4" t="s">
        <v>162</v>
      </c>
      <c r="H120" s="4" t="s">
        <v>14</v>
      </c>
      <c r="I120" s="4">
        <v>2019</v>
      </c>
      <c r="J120" s="4">
        <v>1</v>
      </c>
      <c r="K120" s="4">
        <v>1</v>
      </c>
    </row>
    <row r="121" spans="1:11">
      <c r="A121" s="4" t="s">
        <v>253</v>
      </c>
      <c r="B121" s="4" t="s">
        <v>271</v>
      </c>
      <c r="C121" s="9" t="s">
        <v>256</v>
      </c>
      <c r="D121" s="13">
        <v>0</v>
      </c>
      <c r="E121" s="4">
        <v>2</v>
      </c>
      <c r="F121" s="4">
        <v>16</v>
      </c>
      <c r="G121" s="4" t="s">
        <v>162</v>
      </c>
      <c r="H121" s="4" t="s">
        <v>14</v>
      </c>
      <c r="I121" s="4">
        <v>2019</v>
      </c>
      <c r="J121" s="4">
        <v>1</v>
      </c>
      <c r="K121" s="4">
        <v>1</v>
      </c>
    </row>
    <row r="122" spans="1:11">
      <c r="A122" s="4" t="s">
        <v>253</v>
      </c>
      <c r="B122" s="4" t="s">
        <v>272</v>
      </c>
      <c r="C122" s="9" t="s">
        <v>257</v>
      </c>
      <c r="D122" s="13">
        <v>0</v>
      </c>
      <c r="E122" s="4">
        <v>3</v>
      </c>
      <c r="F122" s="4">
        <v>16</v>
      </c>
      <c r="G122" s="4" t="s">
        <v>162</v>
      </c>
      <c r="H122" s="4" t="s">
        <v>14</v>
      </c>
      <c r="I122" s="4">
        <v>2019</v>
      </c>
      <c r="J122" s="4">
        <v>1</v>
      </c>
      <c r="K122" s="4">
        <v>1</v>
      </c>
    </row>
    <row r="123" spans="1:11">
      <c r="A123" s="4" t="s">
        <v>253</v>
      </c>
      <c r="B123" s="4" t="s">
        <v>273</v>
      </c>
      <c r="C123" s="9" t="s">
        <v>258</v>
      </c>
      <c r="D123" s="13">
        <v>0</v>
      </c>
      <c r="E123" s="4">
        <v>4</v>
      </c>
      <c r="F123" s="4">
        <v>16</v>
      </c>
      <c r="G123" s="4" t="s">
        <v>162</v>
      </c>
      <c r="H123" s="4" t="s">
        <v>14</v>
      </c>
      <c r="I123" s="4">
        <v>2019</v>
      </c>
      <c r="J123" s="4">
        <v>1</v>
      </c>
      <c r="K123" s="4">
        <v>1</v>
      </c>
    </row>
    <row r="124" spans="1:11">
      <c r="A124" s="4" t="s">
        <v>253</v>
      </c>
      <c r="B124" s="4" t="s">
        <v>274</v>
      </c>
      <c r="C124" s="9" t="s">
        <v>259</v>
      </c>
      <c r="D124" s="13">
        <v>0</v>
      </c>
      <c r="E124" s="4">
        <v>5</v>
      </c>
      <c r="F124" s="4">
        <v>16</v>
      </c>
      <c r="G124" s="4" t="s">
        <v>162</v>
      </c>
      <c r="H124" s="4" t="s">
        <v>14</v>
      </c>
      <c r="I124" s="4">
        <v>2019</v>
      </c>
      <c r="J124" s="4">
        <v>1</v>
      </c>
      <c r="K124" s="4">
        <v>1</v>
      </c>
    </row>
    <row r="125" spans="1:11">
      <c r="A125" s="4" t="s">
        <v>253</v>
      </c>
      <c r="B125" s="4" t="s">
        <v>275</v>
      </c>
      <c r="C125" s="9" t="s">
        <v>260</v>
      </c>
      <c r="D125" s="13">
        <v>0</v>
      </c>
      <c r="E125" s="4">
        <v>6</v>
      </c>
      <c r="F125" s="4">
        <v>16</v>
      </c>
      <c r="G125" s="4" t="s">
        <v>162</v>
      </c>
      <c r="H125" s="4" t="s">
        <v>14</v>
      </c>
      <c r="I125" s="4">
        <v>2019</v>
      </c>
      <c r="J125" s="4">
        <v>1</v>
      </c>
      <c r="K125" s="4">
        <v>1</v>
      </c>
    </row>
    <row r="126" spans="1:11">
      <c r="A126" s="4" t="s">
        <v>253</v>
      </c>
      <c r="B126" s="4" t="s">
        <v>276</v>
      </c>
      <c r="C126" s="9" t="s">
        <v>261</v>
      </c>
      <c r="D126" s="13">
        <v>0</v>
      </c>
      <c r="E126" s="4">
        <v>7</v>
      </c>
      <c r="F126" s="4">
        <v>16</v>
      </c>
      <c r="G126" s="4" t="s">
        <v>162</v>
      </c>
      <c r="H126" s="4" t="s">
        <v>14</v>
      </c>
      <c r="I126" s="4">
        <v>2019</v>
      </c>
      <c r="J126" s="4">
        <v>1</v>
      </c>
      <c r="K126" s="4">
        <v>1</v>
      </c>
    </row>
    <row r="127" spans="1:11">
      <c r="A127" s="4" t="s">
        <v>253</v>
      </c>
      <c r="B127" s="4" t="s">
        <v>277</v>
      </c>
      <c r="C127" s="9" t="s">
        <v>262</v>
      </c>
      <c r="D127" s="13">
        <v>0</v>
      </c>
      <c r="E127" s="4">
        <v>8</v>
      </c>
      <c r="F127" s="4">
        <v>16</v>
      </c>
      <c r="G127" s="4" t="s">
        <v>162</v>
      </c>
      <c r="H127" s="4" t="s">
        <v>14</v>
      </c>
      <c r="I127" s="4">
        <v>2019</v>
      </c>
      <c r="J127" s="4">
        <v>1</v>
      </c>
      <c r="K127" s="4">
        <v>1</v>
      </c>
    </row>
    <row r="128" spans="1:11">
      <c r="A128" s="4" t="s">
        <v>253</v>
      </c>
      <c r="B128" s="4" t="s">
        <v>278</v>
      </c>
      <c r="C128" s="9" t="s">
        <v>263</v>
      </c>
      <c r="D128" s="13">
        <v>0</v>
      </c>
      <c r="E128" s="4">
        <v>9</v>
      </c>
      <c r="F128" s="4">
        <v>16</v>
      </c>
      <c r="G128" s="4" t="s">
        <v>162</v>
      </c>
      <c r="H128" s="4" t="s">
        <v>14</v>
      </c>
      <c r="I128" s="4">
        <v>2019</v>
      </c>
      <c r="J128" s="4">
        <v>1</v>
      </c>
      <c r="K128" s="4">
        <v>1</v>
      </c>
    </row>
    <row r="129" spans="1:11">
      <c r="A129" s="4" t="s">
        <v>253</v>
      </c>
      <c r="B129" s="4" t="s">
        <v>279</v>
      </c>
      <c r="C129" s="9" t="s">
        <v>264</v>
      </c>
      <c r="D129" s="13">
        <v>0</v>
      </c>
      <c r="E129" s="4">
        <v>10</v>
      </c>
      <c r="F129" s="4">
        <v>16</v>
      </c>
      <c r="G129" s="4" t="s">
        <v>162</v>
      </c>
      <c r="H129" s="4" t="s">
        <v>14</v>
      </c>
      <c r="I129" s="4">
        <v>2019</v>
      </c>
      <c r="J129" s="4">
        <v>1</v>
      </c>
      <c r="K129" s="4">
        <v>1</v>
      </c>
    </row>
    <row r="130" spans="1:11">
      <c r="A130" s="4" t="s">
        <v>253</v>
      </c>
      <c r="B130" s="4" t="s">
        <v>280</v>
      </c>
      <c r="C130" s="9" t="s">
        <v>265</v>
      </c>
      <c r="D130" s="13">
        <v>0</v>
      </c>
      <c r="E130" s="4">
        <v>11</v>
      </c>
      <c r="F130" s="4">
        <v>16</v>
      </c>
      <c r="G130" s="4" t="s">
        <v>162</v>
      </c>
      <c r="H130" s="4" t="s">
        <v>14</v>
      </c>
      <c r="I130" s="4">
        <v>2019</v>
      </c>
      <c r="J130" s="4">
        <v>1</v>
      </c>
      <c r="K130" s="4">
        <v>1</v>
      </c>
    </row>
    <row r="131" spans="1:11">
      <c r="A131" s="4" t="s">
        <v>253</v>
      </c>
      <c r="B131" s="4" t="s">
        <v>281</v>
      </c>
      <c r="C131" s="9" t="s">
        <v>266</v>
      </c>
      <c r="D131" s="13">
        <v>0</v>
      </c>
      <c r="E131" s="4">
        <v>12</v>
      </c>
      <c r="F131" s="4">
        <v>16</v>
      </c>
      <c r="G131" s="4" t="s">
        <v>162</v>
      </c>
      <c r="H131" s="4" t="s">
        <v>14</v>
      </c>
      <c r="I131" s="4">
        <v>2019</v>
      </c>
      <c r="J131" s="4">
        <v>1</v>
      </c>
      <c r="K131" s="4">
        <v>1</v>
      </c>
    </row>
    <row r="132" spans="1:11">
      <c r="A132" s="4" t="s">
        <v>253</v>
      </c>
      <c r="B132" s="4" t="s">
        <v>282</v>
      </c>
      <c r="C132" s="9" t="s">
        <v>267</v>
      </c>
      <c r="D132" s="13">
        <v>0</v>
      </c>
      <c r="E132" s="4">
        <v>13</v>
      </c>
      <c r="F132" s="4">
        <v>16</v>
      </c>
      <c r="G132" s="4" t="s">
        <v>162</v>
      </c>
      <c r="H132" s="4" t="s">
        <v>14</v>
      </c>
      <c r="I132" s="4">
        <v>2019</v>
      </c>
      <c r="J132" s="4">
        <v>1</v>
      </c>
      <c r="K132" s="4">
        <v>1</v>
      </c>
    </row>
    <row r="133" spans="1:11">
      <c r="A133" s="4" t="s">
        <v>253</v>
      </c>
      <c r="B133" s="4" t="s">
        <v>283</v>
      </c>
      <c r="C133" s="9" t="s">
        <v>268</v>
      </c>
      <c r="D133" s="13">
        <v>0</v>
      </c>
      <c r="E133" s="4">
        <v>14</v>
      </c>
      <c r="F133" s="4">
        <v>16</v>
      </c>
      <c r="G133" s="4" t="s">
        <v>162</v>
      </c>
      <c r="H133" s="4" t="s">
        <v>14</v>
      </c>
      <c r="I133" s="4">
        <v>2019</v>
      </c>
      <c r="J133" s="4">
        <v>1</v>
      </c>
      <c r="K133" s="4">
        <v>1</v>
      </c>
    </row>
    <row r="134" spans="1:11">
      <c r="A134" s="4" t="s">
        <v>253</v>
      </c>
      <c r="B134" s="4" t="s">
        <v>284</v>
      </c>
      <c r="C134" s="9" t="s">
        <v>269</v>
      </c>
      <c r="D134" s="13">
        <v>0</v>
      </c>
      <c r="E134" s="4">
        <v>15</v>
      </c>
      <c r="F134" s="4">
        <v>16</v>
      </c>
      <c r="G134" s="4" t="s">
        <v>162</v>
      </c>
      <c r="H134" s="4" t="s">
        <v>14</v>
      </c>
      <c r="I134" s="4">
        <v>2019</v>
      </c>
      <c r="J134" s="4">
        <v>1</v>
      </c>
      <c r="K134" s="4">
        <v>1</v>
      </c>
    </row>
    <row r="135" spans="1:11">
      <c r="A135" s="4" t="s">
        <v>253</v>
      </c>
      <c r="B135" s="4" t="s">
        <v>285</v>
      </c>
      <c r="C135" s="9" t="s">
        <v>270</v>
      </c>
      <c r="D135" s="13">
        <v>0</v>
      </c>
      <c r="E135" s="4">
        <v>16</v>
      </c>
      <c r="F135" s="4">
        <v>16</v>
      </c>
      <c r="G135" s="4" t="s">
        <v>162</v>
      </c>
      <c r="H135" s="4" t="s">
        <v>14</v>
      </c>
      <c r="I135" s="4">
        <v>2019</v>
      </c>
      <c r="J135" s="4">
        <v>1</v>
      </c>
      <c r="K135" s="4">
        <v>1</v>
      </c>
    </row>
    <row r="136" spans="1:11">
      <c r="A136" s="4" t="s">
        <v>286</v>
      </c>
      <c r="B136" s="4" t="s">
        <v>287</v>
      </c>
      <c r="C136" s="9" t="s">
        <v>292</v>
      </c>
      <c r="D136" s="13">
        <v>0</v>
      </c>
      <c r="E136" s="4">
        <v>1</v>
      </c>
      <c r="F136" s="4">
        <v>17</v>
      </c>
      <c r="G136" s="4" t="s">
        <v>162</v>
      </c>
      <c r="H136" s="4" t="s">
        <v>14</v>
      </c>
      <c r="I136" s="4">
        <v>2020</v>
      </c>
      <c r="J136" s="4">
        <v>1</v>
      </c>
      <c r="K136" s="4">
        <v>1</v>
      </c>
    </row>
    <row r="137" spans="1:11">
      <c r="A137" s="4" t="s">
        <v>286</v>
      </c>
      <c r="B137" s="4" t="s">
        <v>307</v>
      </c>
      <c r="C137" s="11" t="s">
        <v>293</v>
      </c>
      <c r="D137" s="13">
        <v>0</v>
      </c>
      <c r="E137" s="4">
        <v>2</v>
      </c>
      <c r="F137" s="4">
        <v>17</v>
      </c>
      <c r="G137" s="4" t="s">
        <v>162</v>
      </c>
      <c r="H137" s="4" t="s">
        <v>14</v>
      </c>
      <c r="I137" s="4">
        <v>2020</v>
      </c>
      <c r="J137" s="4">
        <v>1</v>
      </c>
      <c r="K137" s="4">
        <v>1</v>
      </c>
    </row>
    <row r="138" spans="1:11">
      <c r="A138" s="4" t="s">
        <v>286</v>
      </c>
      <c r="B138" s="4" t="s">
        <v>308</v>
      </c>
      <c r="C138" s="9" t="s">
        <v>294</v>
      </c>
      <c r="D138" s="13">
        <v>0</v>
      </c>
      <c r="E138" s="4">
        <v>3</v>
      </c>
      <c r="F138" s="4">
        <v>17</v>
      </c>
      <c r="G138" s="4" t="s">
        <v>162</v>
      </c>
      <c r="H138" s="4" t="s">
        <v>14</v>
      </c>
      <c r="I138" s="4">
        <v>2020</v>
      </c>
      <c r="J138" s="4">
        <v>1</v>
      </c>
      <c r="K138" s="4">
        <v>1</v>
      </c>
    </row>
    <row r="139" spans="1:11">
      <c r="A139" s="4" t="s">
        <v>286</v>
      </c>
      <c r="B139" s="4" t="s">
        <v>309</v>
      </c>
      <c r="C139" s="11" t="s">
        <v>295</v>
      </c>
      <c r="D139" s="13">
        <v>0</v>
      </c>
      <c r="E139" s="4">
        <v>4</v>
      </c>
      <c r="F139" s="4">
        <v>17</v>
      </c>
      <c r="G139" s="4" t="s">
        <v>162</v>
      </c>
      <c r="H139" s="4" t="s">
        <v>14</v>
      </c>
      <c r="I139" s="4">
        <v>2020</v>
      </c>
      <c r="J139" s="4">
        <v>1</v>
      </c>
      <c r="K139" s="4">
        <v>1</v>
      </c>
    </row>
    <row r="140" spans="1:11">
      <c r="A140" s="4" t="s">
        <v>286</v>
      </c>
      <c r="B140" s="4" t="s">
        <v>310</v>
      </c>
      <c r="C140" s="11" t="s">
        <v>296</v>
      </c>
      <c r="D140" s="13">
        <v>0</v>
      </c>
      <c r="E140" s="4">
        <v>5</v>
      </c>
      <c r="F140" s="4">
        <v>17</v>
      </c>
      <c r="G140" s="4" t="s">
        <v>162</v>
      </c>
      <c r="H140" s="4" t="s">
        <v>14</v>
      </c>
      <c r="I140" s="4">
        <v>2020</v>
      </c>
      <c r="J140" s="4">
        <v>1</v>
      </c>
      <c r="K140" s="4">
        <v>1</v>
      </c>
    </row>
    <row r="141" spans="1:11">
      <c r="A141" s="4" t="s">
        <v>286</v>
      </c>
      <c r="B141" s="4" t="s">
        <v>311</v>
      </c>
      <c r="C141" s="11" t="s">
        <v>297</v>
      </c>
      <c r="D141" s="13">
        <v>0</v>
      </c>
      <c r="E141" s="4">
        <v>6</v>
      </c>
      <c r="F141" s="4">
        <v>17</v>
      </c>
      <c r="G141" s="4" t="s">
        <v>162</v>
      </c>
      <c r="H141" s="4" t="s">
        <v>14</v>
      </c>
      <c r="I141" s="4">
        <v>2020</v>
      </c>
      <c r="J141" s="4">
        <v>1</v>
      </c>
      <c r="K141" s="4">
        <v>1</v>
      </c>
    </row>
    <row r="142" spans="1:11">
      <c r="A142" s="4" t="s">
        <v>286</v>
      </c>
      <c r="B142" s="4" t="s">
        <v>312</v>
      </c>
      <c r="C142" s="11" t="s">
        <v>298</v>
      </c>
      <c r="D142" s="13">
        <v>0</v>
      </c>
      <c r="E142" s="4">
        <v>7</v>
      </c>
      <c r="F142" s="4">
        <v>17</v>
      </c>
      <c r="G142" s="4" t="s">
        <v>162</v>
      </c>
      <c r="H142" s="4" t="s">
        <v>14</v>
      </c>
      <c r="I142" s="4">
        <v>2020</v>
      </c>
      <c r="J142" s="4">
        <v>1</v>
      </c>
      <c r="K142" s="4">
        <v>1</v>
      </c>
    </row>
    <row r="143" spans="1:11">
      <c r="A143" s="4" t="s">
        <v>286</v>
      </c>
      <c r="B143" s="4" t="s">
        <v>313</v>
      </c>
      <c r="C143" s="9" t="s">
        <v>299</v>
      </c>
      <c r="D143" s="13">
        <v>0</v>
      </c>
      <c r="E143" s="4">
        <v>8</v>
      </c>
      <c r="F143" s="4">
        <v>17</v>
      </c>
      <c r="G143" s="4" t="s">
        <v>162</v>
      </c>
      <c r="H143" s="4" t="s">
        <v>14</v>
      </c>
      <c r="I143" s="4">
        <v>2020</v>
      </c>
      <c r="J143" s="4">
        <v>1</v>
      </c>
      <c r="K143" s="4">
        <v>1</v>
      </c>
    </row>
    <row r="144" spans="1:11">
      <c r="A144" s="4" t="s">
        <v>286</v>
      </c>
      <c r="B144" s="4" t="s">
        <v>314</v>
      </c>
      <c r="C144" s="11" t="s">
        <v>300</v>
      </c>
      <c r="D144" s="13">
        <v>0</v>
      </c>
      <c r="E144" s="4">
        <v>9</v>
      </c>
      <c r="F144" s="4">
        <v>17</v>
      </c>
      <c r="G144" s="4" t="s">
        <v>162</v>
      </c>
      <c r="H144" s="4" t="s">
        <v>14</v>
      </c>
      <c r="I144" s="4">
        <v>2020</v>
      </c>
      <c r="J144" s="4">
        <v>1</v>
      </c>
      <c r="K144" s="4">
        <v>1</v>
      </c>
    </row>
    <row r="145" spans="1:11">
      <c r="A145" s="4" t="s">
        <v>286</v>
      </c>
      <c r="B145" s="4" t="s">
        <v>315</v>
      </c>
      <c r="C145" s="11" t="s">
        <v>301</v>
      </c>
      <c r="D145" s="13">
        <v>0</v>
      </c>
      <c r="E145" s="4">
        <v>10</v>
      </c>
      <c r="F145" s="4">
        <v>17</v>
      </c>
      <c r="G145" s="4" t="s">
        <v>162</v>
      </c>
      <c r="H145" s="4" t="s">
        <v>14</v>
      </c>
      <c r="I145" s="4">
        <v>2020</v>
      </c>
      <c r="J145" s="4">
        <v>1</v>
      </c>
      <c r="K145" s="4">
        <v>1</v>
      </c>
    </row>
    <row r="146" spans="1:11">
      <c r="A146" s="4" t="s">
        <v>286</v>
      </c>
      <c r="B146" s="4" t="s">
        <v>316</v>
      </c>
      <c r="C146" s="11" t="s">
        <v>225</v>
      </c>
      <c r="D146" s="13">
        <v>0</v>
      </c>
      <c r="E146" s="4">
        <v>11</v>
      </c>
      <c r="F146" s="4">
        <v>17</v>
      </c>
      <c r="G146" s="4" t="s">
        <v>162</v>
      </c>
      <c r="H146" s="4" t="s">
        <v>14</v>
      </c>
      <c r="I146" s="4">
        <v>2020</v>
      </c>
      <c r="J146" s="4">
        <v>1</v>
      </c>
      <c r="K146" s="4">
        <v>1</v>
      </c>
    </row>
    <row r="147" spans="1:11">
      <c r="A147" s="4" t="s">
        <v>286</v>
      </c>
      <c r="B147" s="4" t="s">
        <v>317</v>
      </c>
      <c r="C147" s="11" t="s">
        <v>302</v>
      </c>
      <c r="D147" s="13">
        <v>0</v>
      </c>
      <c r="E147" s="4">
        <v>12</v>
      </c>
      <c r="F147" s="4">
        <v>17</v>
      </c>
      <c r="G147" s="4" t="s">
        <v>162</v>
      </c>
      <c r="H147" s="4" t="s">
        <v>14</v>
      </c>
      <c r="I147" s="4">
        <v>2020</v>
      </c>
      <c r="J147" s="4">
        <v>1</v>
      </c>
      <c r="K147" s="4">
        <v>1</v>
      </c>
    </row>
    <row r="148" spans="1:11">
      <c r="A148" s="4" t="s">
        <v>286</v>
      </c>
      <c r="B148" s="4" t="s">
        <v>318</v>
      </c>
      <c r="C148" s="11" t="s">
        <v>303</v>
      </c>
      <c r="D148" s="13">
        <v>0</v>
      </c>
      <c r="E148" s="4">
        <v>13</v>
      </c>
      <c r="F148" s="4">
        <v>17</v>
      </c>
      <c r="G148" s="4" t="s">
        <v>162</v>
      </c>
      <c r="H148" s="4" t="s">
        <v>14</v>
      </c>
      <c r="I148" s="4">
        <v>2020</v>
      </c>
      <c r="J148" s="4">
        <v>1</v>
      </c>
      <c r="K148" s="4">
        <v>1</v>
      </c>
    </row>
    <row r="149" spans="1:11">
      <c r="A149" s="4" t="s">
        <v>286</v>
      </c>
      <c r="B149" s="4" t="s">
        <v>319</v>
      </c>
      <c r="C149" s="11" t="s">
        <v>228</v>
      </c>
      <c r="D149" s="13">
        <v>1</v>
      </c>
      <c r="E149" s="4">
        <v>14</v>
      </c>
      <c r="F149" s="4">
        <v>17</v>
      </c>
      <c r="G149" s="4" t="s">
        <v>162</v>
      </c>
      <c r="H149" s="4" t="s">
        <v>14</v>
      </c>
      <c r="I149" s="4">
        <v>2020</v>
      </c>
      <c r="J149" s="4">
        <v>1</v>
      </c>
      <c r="K149" s="4">
        <v>1</v>
      </c>
    </row>
    <row r="150" spans="1:11">
      <c r="A150" s="4" t="s">
        <v>286</v>
      </c>
      <c r="B150" s="4" t="s">
        <v>320</v>
      </c>
      <c r="C150" s="11" t="s">
        <v>304</v>
      </c>
      <c r="D150" s="13">
        <v>0</v>
      </c>
      <c r="E150" s="4">
        <v>15</v>
      </c>
      <c r="F150" s="4">
        <v>17</v>
      </c>
      <c r="G150" s="4" t="s">
        <v>162</v>
      </c>
      <c r="H150" s="4" t="s">
        <v>14</v>
      </c>
      <c r="I150" s="4">
        <v>2020</v>
      </c>
      <c r="J150" s="4">
        <v>1</v>
      </c>
      <c r="K150" s="4">
        <v>1</v>
      </c>
    </row>
    <row r="151" spans="1:11">
      <c r="A151" s="4" t="s">
        <v>286</v>
      </c>
      <c r="B151" s="4" t="s">
        <v>321</v>
      </c>
      <c r="C151" s="11" t="s">
        <v>305</v>
      </c>
      <c r="D151" s="13">
        <v>0</v>
      </c>
      <c r="E151" s="4">
        <v>16</v>
      </c>
      <c r="F151" s="4">
        <v>17</v>
      </c>
      <c r="G151" s="4" t="s">
        <v>162</v>
      </c>
      <c r="H151" s="4" t="s">
        <v>14</v>
      </c>
      <c r="I151" s="4">
        <v>2020</v>
      </c>
      <c r="J151" s="4">
        <v>1</v>
      </c>
      <c r="K151" s="4">
        <v>1</v>
      </c>
    </row>
    <row r="152" spans="1:11">
      <c r="A152" s="4" t="s">
        <v>286</v>
      </c>
      <c r="B152" s="4" t="s">
        <v>322</v>
      </c>
      <c r="C152" s="11" t="s">
        <v>306</v>
      </c>
      <c r="D152" s="13">
        <v>0</v>
      </c>
      <c r="E152" s="4">
        <v>17</v>
      </c>
      <c r="F152" s="4">
        <v>17</v>
      </c>
      <c r="G152" s="4" t="s">
        <v>162</v>
      </c>
      <c r="H152" s="4" t="s">
        <v>14</v>
      </c>
      <c r="I152" s="4">
        <v>2020</v>
      </c>
      <c r="J152" s="4">
        <v>1</v>
      </c>
      <c r="K152" s="4">
        <v>1</v>
      </c>
    </row>
    <row r="153" spans="1:11">
      <c r="A153" s="4" t="s">
        <v>325</v>
      </c>
      <c r="B153" s="4" t="s">
        <v>326</v>
      </c>
      <c r="C153" s="11" t="s">
        <v>327</v>
      </c>
      <c r="D153" s="13">
        <v>0</v>
      </c>
      <c r="E153" s="4">
        <v>1</v>
      </c>
      <c r="F153" s="4">
        <v>22</v>
      </c>
      <c r="G153" s="4" t="s">
        <v>162</v>
      </c>
      <c r="H153" s="4" t="s">
        <v>14</v>
      </c>
      <c r="I153" s="4">
        <v>2021</v>
      </c>
      <c r="J153" s="4">
        <v>1</v>
      </c>
      <c r="K153" s="4">
        <v>1</v>
      </c>
    </row>
    <row r="154" spans="1:11">
      <c r="A154" s="4" t="s">
        <v>325</v>
      </c>
      <c r="B154" s="4" t="s">
        <v>349</v>
      </c>
      <c r="C154" s="11" t="s">
        <v>328</v>
      </c>
      <c r="D154" s="13">
        <v>0</v>
      </c>
      <c r="E154" s="4">
        <v>2</v>
      </c>
      <c r="F154" s="4">
        <v>22</v>
      </c>
      <c r="G154" s="4" t="s">
        <v>162</v>
      </c>
      <c r="H154" s="4" t="s">
        <v>14</v>
      </c>
      <c r="I154" s="4">
        <v>2021</v>
      </c>
      <c r="J154" s="4">
        <v>1</v>
      </c>
      <c r="K154" s="4">
        <v>1</v>
      </c>
    </row>
    <row r="155" spans="1:11">
      <c r="A155" s="4" t="s">
        <v>325</v>
      </c>
      <c r="B155" s="4" t="s">
        <v>350</v>
      </c>
      <c r="C155" s="11" t="s">
        <v>329</v>
      </c>
      <c r="D155" s="13">
        <v>0</v>
      </c>
      <c r="E155" s="4">
        <v>3</v>
      </c>
      <c r="F155" s="4">
        <v>22</v>
      </c>
      <c r="G155" s="4" t="s">
        <v>162</v>
      </c>
      <c r="H155" s="4" t="s">
        <v>14</v>
      </c>
      <c r="I155" s="4">
        <v>2021</v>
      </c>
      <c r="J155" s="4">
        <v>1</v>
      </c>
      <c r="K155" s="4">
        <v>1</v>
      </c>
    </row>
    <row r="156" spans="1:11">
      <c r="A156" s="4" t="s">
        <v>325</v>
      </c>
      <c r="B156" s="4" t="s">
        <v>351</v>
      </c>
      <c r="C156" s="11" t="s">
        <v>330</v>
      </c>
      <c r="D156" s="13">
        <v>0</v>
      </c>
      <c r="E156" s="4">
        <v>4</v>
      </c>
      <c r="F156" s="4">
        <v>22</v>
      </c>
      <c r="G156" s="4" t="s">
        <v>162</v>
      </c>
      <c r="H156" s="4" t="s">
        <v>14</v>
      </c>
      <c r="I156" s="4">
        <v>2021</v>
      </c>
      <c r="J156" s="4">
        <v>1</v>
      </c>
      <c r="K156" s="4">
        <v>1</v>
      </c>
    </row>
    <row r="157" spans="1:11">
      <c r="A157" s="4" t="s">
        <v>325</v>
      </c>
      <c r="B157" s="4" t="s">
        <v>352</v>
      </c>
      <c r="C157" s="11" t="s">
        <v>331</v>
      </c>
      <c r="D157" s="13">
        <v>0</v>
      </c>
      <c r="E157" s="4">
        <v>5</v>
      </c>
      <c r="F157" s="4">
        <v>22</v>
      </c>
      <c r="G157" s="4" t="s">
        <v>162</v>
      </c>
      <c r="H157" s="4" t="s">
        <v>14</v>
      </c>
      <c r="I157" s="4">
        <v>2021</v>
      </c>
      <c r="J157" s="4">
        <v>1</v>
      </c>
      <c r="K157" s="4">
        <v>1</v>
      </c>
    </row>
    <row r="158" spans="1:11">
      <c r="A158" s="4" t="s">
        <v>325</v>
      </c>
      <c r="B158" s="4" t="s">
        <v>353</v>
      </c>
      <c r="C158" s="11" t="s">
        <v>332</v>
      </c>
      <c r="D158" s="13">
        <v>0</v>
      </c>
      <c r="E158" s="4">
        <v>6</v>
      </c>
      <c r="F158" s="4">
        <v>22</v>
      </c>
      <c r="G158" s="4" t="s">
        <v>162</v>
      </c>
      <c r="H158" s="4" t="s">
        <v>14</v>
      </c>
      <c r="I158" s="4">
        <v>2021</v>
      </c>
      <c r="J158" s="4">
        <v>1</v>
      </c>
      <c r="K158" s="4">
        <v>1</v>
      </c>
    </row>
    <row r="159" spans="1:11">
      <c r="A159" s="4" t="s">
        <v>325</v>
      </c>
      <c r="B159" s="4" t="s">
        <v>354</v>
      </c>
      <c r="C159" s="11" t="s">
        <v>333</v>
      </c>
      <c r="D159" s="13">
        <v>0</v>
      </c>
      <c r="E159" s="4">
        <v>7</v>
      </c>
      <c r="F159" s="4">
        <v>22</v>
      </c>
      <c r="G159" s="4" t="s">
        <v>162</v>
      </c>
      <c r="H159" s="4" t="s">
        <v>14</v>
      </c>
      <c r="I159" s="4">
        <v>2021</v>
      </c>
      <c r="J159" s="4">
        <v>1</v>
      </c>
      <c r="K159" s="4">
        <v>1</v>
      </c>
    </row>
    <row r="160" spans="1:11">
      <c r="A160" s="4" t="s">
        <v>325</v>
      </c>
      <c r="B160" s="4" t="s">
        <v>355</v>
      </c>
      <c r="C160" s="11" t="s">
        <v>334</v>
      </c>
      <c r="D160" s="13">
        <v>0</v>
      </c>
      <c r="E160" s="4">
        <v>8</v>
      </c>
      <c r="F160" s="4">
        <v>22</v>
      </c>
      <c r="G160" s="4" t="s">
        <v>162</v>
      </c>
      <c r="H160" s="4" t="s">
        <v>14</v>
      </c>
      <c r="I160" s="4">
        <v>2021</v>
      </c>
      <c r="J160" s="4">
        <v>1</v>
      </c>
      <c r="K160" s="4">
        <v>1</v>
      </c>
    </row>
    <row r="161" spans="1:11">
      <c r="A161" s="4" t="s">
        <v>325</v>
      </c>
      <c r="B161" s="4" t="s">
        <v>356</v>
      </c>
      <c r="C161" s="11" t="s">
        <v>335</v>
      </c>
      <c r="D161" s="13">
        <v>0</v>
      </c>
      <c r="E161" s="4">
        <v>9</v>
      </c>
      <c r="F161" s="4">
        <v>22</v>
      </c>
      <c r="G161" s="4" t="s">
        <v>162</v>
      </c>
      <c r="H161" s="4" t="s">
        <v>14</v>
      </c>
      <c r="I161" s="4">
        <v>2021</v>
      </c>
      <c r="J161" s="4">
        <v>1</v>
      </c>
      <c r="K161" s="4">
        <v>1</v>
      </c>
    </row>
    <row r="162" spans="1:11">
      <c r="A162" s="4" t="s">
        <v>325</v>
      </c>
      <c r="B162" s="4" t="s">
        <v>357</v>
      </c>
      <c r="C162" s="11" t="s">
        <v>336</v>
      </c>
      <c r="D162" s="13">
        <v>0</v>
      </c>
      <c r="E162" s="4">
        <v>10</v>
      </c>
      <c r="F162" s="4">
        <v>22</v>
      </c>
      <c r="G162" s="4" t="s">
        <v>162</v>
      </c>
      <c r="H162" s="4" t="s">
        <v>14</v>
      </c>
      <c r="I162" s="4">
        <v>2021</v>
      </c>
      <c r="J162" s="4">
        <v>1</v>
      </c>
      <c r="K162" s="4">
        <v>1</v>
      </c>
    </row>
    <row r="163" spans="1:11">
      <c r="A163" s="4" t="s">
        <v>325</v>
      </c>
      <c r="B163" s="4" t="s">
        <v>358</v>
      </c>
      <c r="C163" s="11" t="s">
        <v>337</v>
      </c>
      <c r="D163" s="13">
        <v>0</v>
      </c>
      <c r="E163" s="4">
        <v>11</v>
      </c>
      <c r="F163" s="4">
        <v>22</v>
      </c>
      <c r="G163" s="4" t="s">
        <v>162</v>
      </c>
      <c r="H163" s="4" t="s">
        <v>14</v>
      </c>
      <c r="I163" s="4">
        <v>2021</v>
      </c>
      <c r="J163" s="4">
        <v>1</v>
      </c>
      <c r="K163" s="4">
        <v>1</v>
      </c>
    </row>
    <row r="164" spans="1:11">
      <c r="A164" s="4" t="s">
        <v>325</v>
      </c>
      <c r="B164" s="4" t="s">
        <v>359</v>
      </c>
      <c r="C164" s="11" t="s">
        <v>338</v>
      </c>
      <c r="D164" s="13">
        <v>0</v>
      </c>
      <c r="E164" s="4">
        <v>12</v>
      </c>
      <c r="F164" s="4">
        <v>22</v>
      </c>
      <c r="G164" s="4" t="s">
        <v>162</v>
      </c>
      <c r="H164" s="4" t="s">
        <v>14</v>
      </c>
      <c r="I164" s="4">
        <v>2021</v>
      </c>
      <c r="J164" s="4">
        <v>1</v>
      </c>
      <c r="K164" s="4">
        <v>1</v>
      </c>
    </row>
    <row r="165" spans="1:11">
      <c r="A165" s="4" t="s">
        <v>325</v>
      </c>
      <c r="B165" s="4" t="s">
        <v>360</v>
      </c>
      <c r="C165" s="11" t="s">
        <v>339</v>
      </c>
      <c r="D165" s="13">
        <v>1</v>
      </c>
      <c r="E165" s="4">
        <v>13</v>
      </c>
      <c r="F165" s="4">
        <v>22</v>
      </c>
      <c r="G165" s="4" t="s">
        <v>162</v>
      </c>
      <c r="H165" s="4" t="s">
        <v>14</v>
      </c>
      <c r="I165" s="4">
        <v>2021</v>
      </c>
      <c r="J165" s="4">
        <v>1</v>
      </c>
      <c r="K165" s="4">
        <v>1</v>
      </c>
    </row>
    <row r="166" spans="1:11">
      <c r="A166" s="4" t="s">
        <v>325</v>
      </c>
      <c r="B166" s="4" t="s">
        <v>361</v>
      </c>
      <c r="C166" s="9" t="s">
        <v>340</v>
      </c>
      <c r="D166" s="13">
        <v>0</v>
      </c>
      <c r="E166" s="4">
        <v>14</v>
      </c>
      <c r="F166" s="4">
        <v>22</v>
      </c>
      <c r="G166" s="4" t="s">
        <v>162</v>
      </c>
      <c r="H166" s="4" t="s">
        <v>14</v>
      </c>
      <c r="I166" s="4">
        <v>2021</v>
      </c>
      <c r="J166" s="4">
        <v>1</v>
      </c>
      <c r="K166" s="4">
        <v>1</v>
      </c>
    </row>
    <row r="167" spans="1:11">
      <c r="A167" s="4" t="s">
        <v>325</v>
      </c>
      <c r="B167" s="4" t="s">
        <v>362</v>
      </c>
      <c r="C167" s="9" t="s">
        <v>341</v>
      </c>
      <c r="D167" s="13">
        <v>0</v>
      </c>
      <c r="E167" s="4">
        <v>15</v>
      </c>
      <c r="F167" s="4">
        <v>22</v>
      </c>
      <c r="G167" s="4" t="s">
        <v>162</v>
      </c>
      <c r="H167" s="4" t="s">
        <v>14</v>
      </c>
      <c r="I167" s="4">
        <v>2021</v>
      </c>
      <c r="J167" s="4">
        <v>1</v>
      </c>
      <c r="K167" s="4">
        <v>1</v>
      </c>
    </row>
    <row r="168" spans="1:11">
      <c r="A168" s="4" t="s">
        <v>325</v>
      </c>
      <c r="B168" s="4" t="s">
        <v>363</v>
      </c>
      <c r="C168" s="9" t="s">
        <v>342</v>
      </c>
      <c r="D168" s="13">
        <v>0</v>
      </c>
      <c r="E168" s="4">
        <v>16</v>
      </c>
      <c r="F168" s="4">
        <v>22</v>
      </c>
      <c r="G168" s="4" t="s">
        <v>162</v>
      </c>
      <c r="H168" s="4" t="s">
        <v>14</v>
      </c>
      <c r="I168" s="4">
        <v>2021</v>
      </c>
      <c r="J168" s="4">
        <v>1</v>
      </c>
      <c r="K168" s="4">
        <v>1</v>
      </c>
    </row>
    <row r="169" spans="1:11">
      <c r="A169" s="4" t="s">
        <v>325</v>
      </c>
      <c r="B169" s="4" t="s">
        <v>364</v>
      </c>
      <c r="C169" s="9" t="s">
        <v>343</v>
      </c>
      <c r="D169" s="13">
        <v>0</v>
      </c>
      <c r="E169" s="4">
        <v>17</v>
      </c>
      <c r="F169" s="4">
        <v>22</v>
      </c>
      <c r="G169" s="4" t="s">
        <v>162</v>
      </c>
      <c r="H169" s="4" t="s">
        <v>14</v>
      </c>
      <c r="I169" s="4">
        <v>2021</v>
      </c>
      <c r="J169" s="4">
        <v>1</v>
      </c>
      <c r="K169" s="4">
        <v>1</v>
      </c>
    </row>
    <row r="170" spans="1:11">
      <c r="A170" s="4" t="s">
        <v>325</v>
      </c>
      <c r="B170" s="4" t="s">
        <v>365</v>
      </c>
      <c r="C170" s="9" t="s">
        <v>344</v>
      </c>
      <c r="D170" s="13">
        <v>1</v>
      </c>
      <c r="E170" s="4">
        <v>18</v>
      </c>
      <c r="F170" s="4">
        <v>22</v>
      </c>
      <c r="G170" s="4" t="s">
        <v>162</v>
      </c>
      <c r="H170" s="4" t="s">
        <v>14</v>
      </c>
      <c r="I170" s="4">
        <v>2021</v>
      </c>
      <c r="J170" s="4">
        <v>1</v>
      </c>
      <c r="K170" s="4">
        <v>1</v>
      </c>
    </row>
    <row r="171" spans="1:11">
      <c r="A171" s="4" t="s">
        <v>325</v>
      </c>
      <c r="B171" s="4" t="s">
        <v>366</v>
      </c>
      <c r="C171" s="9" t="s">
        <v>345</v>
      </c>
      <c r="D171" s="13">
        <v>1</v>
      </c>
      <c r="E171" s="4">
        <v>19</v>
      </c>
      <c r="F171" s="4">
        <v>22</v>
      </c>
      <c r="G171" s="4" t="s">
        <v>162</v>
      </c>
      <c r="H171" s="4" t="s">
        <v>14</v>
      </c>
      <c r="I171" s="4">
        <v>2021</v>
      </c>
      <c r="J171" s="4">
        <v>1</v>
      </c>
      <c r="K171" s="4">
        <v>1</v>
      </c>
    </row>
    <row r="172" spans="1:11">
      <c r="A172" s="4" t="s">
        <v>325</v>
      </c>
      <c r="B172" s="4" t="s">
        <v>367</v>
      </c>
      <c r="C172" s="9" t="s">
        <v>346</v>
      </c>
      <c r="D172" s="13">
        <v>0</v>
      </c>
      <c r="E172" s="4">
        <v>20</v>
      </c>
      <c r="F172" s="4">
        <v>22</v>
      </c>
      <c r="G172" s="4" t="s">
        <v>162</v>
      </c>
      <c r="H172" s="4" t="s">
        <v>14</v>
      </c>
      <c r="I172" s="4">
        <v>2021</v>
      </c>
      <c r="J172" s="4">
        <v>1</v>
      </c>
      <c r="K172" s="4">
        <v>1</v>
      </c>
    </row>
    <row r="173" spans="1:11">
      <c r="A173" s="4" t="s">
        <v>325</v>
      </c>
      <c r="B173" s="4" t="s">
        <v>368</v>
      </c>
      <c r="C173" s="9" t="s">
        <v>347</v>
      </c>
      <c r="D173" s="13">
        <v>0</v>
      </c>
      <c r="E173" s="4">
        <v>21</v>
      </c>
      <c r="F173" s="4">
        <v>22</v>
      </c>
      <c r="G173" s="4" t="s">
        <v>162</v>
      </c>
      <c r="H173" s="4" t="s">
        <v>14</v>
      </c>
      <c r="I173" s="4">
        <v>2021</v>
      </c>
      <c r="J173" s="4">
        <v>1</v>
      </c>
      <c r="K173" s="4">
        <v>1</v>
      </c>
    </row>
    <row r="174" spans="1:11">
      <c r="A174" s="4" t="s">
        <v>325</v>
      </c>
      <c r="B174" s="4" t="s">
        <v>369</v>
      </c>
      <c r="C174" s="9" t="s">
        <v>348</v>
      </c>
      <c r="D174" s="13">
        <v>0</v>
      </c>
      <c r="E174" s="4">
        <v>22</v>
      </c>
      <c r="F174" s="4">
        <v>22</v>
      </c>
      <c r="G174" s="4" t="s">
        <v>162</v>
      </c>
      <c r="H174" s="4" t="s">
        <v>14</v>
      </c>
      <c r="I174" s="4">
        <v>2021</v>
      </c>
      <c r="J174" s="4">
        <v>1</v>
      </c>
      <c r="K174" s="4">
        <v>1</v>
      </c>
    </row>
    <row r="175" spans="1:11">
      <c r="A175" s="4" t="s">
        <v>370</v>
      </c>
      <c r="B175" s="4" t="s">
        <v>371</v>
      </c>
      <c r="C175" s="9" t="s">
        <v>372</v>
      </c>
      <c r="D175" s="13">
        <v>0</v>
      </c>
      <c r="E175" s="4">
        <v>1</v>
      </c>
      <c r="F175" s="4">
        <v>29</v>
      </c>
      <c r="G175" s="4" t="s">
        <v>162</v>
      </c>
      <c r="H175" s="4" t="s">
        <v>14</v>
      </c>
      <c r="I175" s="4">
        <v>2022</v>
      </c>
      <c r="J175" s="4">
        <v>1</v>
      </c>
      <c r="K175" s="4">
        <v>1</v>
      </c>
    </row>
    <row r="176" spans="1:11">
      <c r="A176" s="4" t="s">
        <v>370</v>
      </c>
      <c r="B176" s="4" t="s">
        <v>398</v>
      </c>
      <c r="C176" s="9" t="s">
        <v>373</v>
      </c>
      <c r="D176" s="13">
        <v>0</v>
      </c>
      <c r="E176" s="4">
        <v>2</v>
      </c>
      <c r="F176" s="4">
        <v>29</v>
      </c>
      <c r="G176" s="4" t="s">
        <v>162</v>
      </c>
      <c r="H176" s="4" t="s">
        <v>14</v>
      </c>
      <c r="I176" s="4">
        <v>2022</v>
      </c>
      <c r="J176" s="4">
        <v>1</v>
      </c>
      <c r="K176" s="4">
        <v>1</v>
      </c>
    </row>
    <row r="177" spans="1:11">
      <c r="A177" s="4" t="s">
        <v>370</v>
      </c>
      <c r="B177" s="4" t="s">
        <v>399</v>
      </c>
      <c r="C177" s="9" t="s">
        <v>374</v>
      </c>
      <c r="D177" s="13">
        <v>0</v>
      </c>
      <c r="E177" s="4">
        <v>3</v>
      </c>
      <c r="F177" s="4">
        <v>29</v>
      </c>
      <c r="G177" s="4" t="s">
        <v>162</v>
      </c>
      <c r="H177" s="4" t="s">
        <v>14</v>
      </c>
      <c r="I177" s="4">
        <v>2022</v>
      </c>
      <c r="J177" s="4">
        <v>1</v>
      </c>
      <c r="K177" s="4">
        <v>1</v>
      </c>
    </row>
    <row r="178" spans="1:11">
      <c r="A178" s="4" t="s">
        <v>370</v>
      </c>
      <c r="B178" s="4" t="s">
        <v>400</v>
      </c>
      <c r="C178" s="9" t="s">
        <v>375</v>
      </c>
      <c r="D178" s="13">
        <v>0</v>
      </c>
      <c r="E178" s="4">
        <v>4</v>
      </c>
      <c r="F178" s="4">
        <v>29</v>
      </c>
      <c r="G178" s="4" t="s">
        <v>162</v>
      </c>
      <c r="H178" s="4" t="s">
        <v>14</v>
      </c>
      <c r="I178" s="4">
        <v>2022</v>
      </c>
      <c r="J178" s="4">
        <v>1</v>
      </c>
      <c r="K178" s="4">
        <v>1</v>
      </c>
    </row>
    <row r="179" spans="1:11">
      <c r="A179" s="4" t="s">
        <v>370</v>
      </c>
      <c r="B179" s="4" t="s">
        <v>401</v>
      </c>
      <c r="C179" s="9" t="s">
        <v>376</v>
      </c>
      <c r="D179" s="13">
        <v>0</v>
      </c>
      <c r="E179" s="4">
        <v>5</v>
      </c>
      <c r="F179" s="4">
        <v>29</v>
      </c>
      <c r="G179" s="4" t="s">
        <v>162</v>
      </c>
      <c r="H179" s="4" t="s">
        <v>14</v>
      </c>
      <c r="I179" s="4">
        <v>2022</v>
      </c>
      <c r="J179" s="4">
        <v>1</v>
      </c>
      <c r="K179" s="4">
        <v>1</v>
      </c>
    </row>
    <row r="180" spans="1:11">
      <c r="A180" s="4" t="s">
        <v>370</v>
      </c>
      <c r="B180" s="4" t="s">
        <v>402</v>
      </c>
      <c r="C180" s="9" t="s">
        <v>377</v>
      </c>
      <c r="D180" s="13">
        <v>0</v>
      </c>
      <c r="E180" s="4">
        <v>6</v>
      </c>
      <c r="F180" s="4">
        <v>29</v>
      </c>
      <c r="G180" s="4" t="s">
        <v>162</v>
      </c>
      <c r="H180" s="4" t="s">
        <v>14</v>
      </c>
      <c r="I180" s="4">
        <v>2022</v>
      </c>
      <c r="J180" s="4">
        <v>1</v>
      </c>
      <c r="K180" s="4">
        <v>1</v>
      </c>
    </row>
    <row r="181" spans="1:11">
      <c r="A181" s="4" t="s">
        <v>370</v>
      </c>
      <c r="B181" s="4" t="s">
        <v>403</v>
      </c>
      <c r="C181" s="9" t="s">
        <v>378</v>
      </c>
      <c r="D181" s="13">
        <v>0</v>
      </c>
      <c r="E181" s="4">
        <v>7</v>
      </c>
      <c r="F181" s="4">
        <v>29</v>
      </c>
      <c r="G181" s="4" t="s">
        <v>162</v>
      </c>
      <c r="H181" s="4" t="s">
        <v>14</v>
      </c>
      <c r="I181" s="4">
        <v>2022</v>
      </c>
      <c r="J181" s="4">
        <v>1</v>
      </c>
      <c r="K181" s="4">
        <v>1</v>
      </c>
    </row>
    <row r="182" spans="1:11">
      <c r="A182" s="4" t="s">
        <v>370</v>
      </c>
      <c r="B182" s="4" t="s">
        <v>404</v>
      </c>
      <c r="C182" s="9" t="s">
        <v>379</v>
      </c>
      <c r="D182" s="13">
        <v>0</v>
      </c>
      <c r="E182" s="4">
        <v>8</v>
      </c>
      <c r="F182" s="4">
        <v>29</v>
      </c>
      <c r="G182" s="4" t="s">
        <v>162</v>
      </c>
      <c r="H182" s="4" t="s">
        <v>14</v>
      </c>
      <c r="I182" s="4">
        <v>2022</v>
      </c>
      <c r="J182" s="4">
        <v>1</v>
      </c>
      <c r="K182" s="4">
        <v>1</v>
      </c>
    </row>
    <row r="183" spans="1:11">
      <c r="A183" s="4" t="s">
        <v>370</v>
      </c>
      <c r="B183" s="4" t="s">
        <v>405</v>
      </c>
      <c r="C183" s="9" t="s">
        <v>380</v>
      </c>
      <c r="D183" s="13">
        <v>0</v>
      </c>
      <c r="E183" s="4">
        <v>9</v>
      </c>
      <c r="F183" s="4">
        <v>29</v>
      </c>
      <c r="G183" s="4" t="s">
        <v>162</v>
      </c>
      <c r="H183" s="4" t="s">
        <v>14</v>
      </c>
      <c r="I183" s="4">
        <v>2022</v>
      </c>
      <c r="J183" s="4">
        <v>1</v>
      </c>
      <c r="K183" s="4">
        <v>1</v>
      </c>
    </row>
    <row r="184" spans="1:11">
      <c r="A184" s="4" t="s">
        <v>370</v>
      </c>
      <c r="B184" s="4" t="s">
        <v>406</v>
      </c>
      <c r="C184" s="9" t="s">
        <v>334</v>
      </c>
      <c r="D184" s="13">
        <v>0</v>
      </c>
      <c r="E184" s="4">
        <v>10</v>
      </c>
      <c r="F184" s="4">
        <v>29</v>
      </c>
      <c r="G184" s="4" t="s">
        <v>162</v>
      </c>
      <c r="H184" s="4" t="s">
        <v>14</v>
      </c>
      <c r="I184" s="4">
        <v>2022</v>
      </c>
      <c r="J184" s="4">
        <v>1</v>
      </c>
      <c r="K184" s="4">
        <v>1</v>
      </c>
    </row>
    <row r="185" spans="1:11">
      <c r="A185" s="4" t="s">
        <v>370</v>
      </c>
      <c r="B185" s="4" t="s">
        <v>407</v>
      </c>
      <c r="C185" s="9" t="s">
        <v>335</v>
      </c>
      <c r="D185" s="13">
        <v>0</v>
      </c>
      <c r="E185" s="4">
        <v>11</v>
      </c>
      <c r="F185" s="4">
        <v>29</v>
      </c>
      <c r="G185" s="4" t="s">
        <v>162</v>
      </c>
      <c r="H185" s="4" t="s">
        <v>14</v>
      </c>
      <c r="I185" s="4">
        <v>2022</v>
      </c>
      <c r="J185" s="4">
        <v>1</v>
      </c>
      <c r="K185" s="4">
        <v>1</v>
      </c>
    </row>
    <row r="186" spans="1:11">
      <c r="A186" s="4" t="s">
        <v>370</v>
      </c>
      <c r="B186" s="4" t="s">
        <v>408</v>
      </c>
      <c r="C186" s="9" t="s">
        <v>381</v>
      </c>
      <c r="D186" s="13">
        <v>0</v>
      </c>
      <c r="E186" s="4">
        <v>12</v>
      </c>
      <c r="F186" s="4">
        <v>29</v>
      </c>
      <c r="G186" s="4" t="s">
        <v>162</v>
      </c>
      <c r="H186" s="4" t="s">
        <v>14</v>
      </c>
      <c r="I186" s="4">
        <v>2022</v>
      </c>
      <c r="J186" s="4">
        <v>1</v>
      </c>
      <c r="K186" s="4">
        <v>1</v>
      </c>
    </row>
    <row r="187" spans="1:11">
      <c r="A187" s="4" t="s">
        <v>370</v>
      </c>
      <c r="B187" s="4" t="s">
        <v>409</v>
      </c>
      <c r="C187" s="9" t="s">
        <v>336</v>
      </c>
      <c r="D187" s="13">
        <v>0</v>
      </c>
      <c r="E187" s="4">
        <v>13</v>
      </c>
      <c r="F187" s="4">
        <v>29</v>
      </c>
      <c r="G187" s="4" t="s">
        <v>162</v>
      </c>
      <c r="H187" s="4" t="s">
        <v>14</v>
      </c>
      <c r="I187" s="4">
        <v>2022</v>
      </c>
      <c r="J187" s="4">
        <v>1</v>
      </c>
      <c r="K187" s="4">
        <v>1</v>
      </c>
    </row>
    <row r="188" spans="1:11">
      <c r="A188" s="4" t="s">
        <v>370</v>
      </c>
      <c r="B188" s="4" t="s">
        <v>410</v>
      </c>
      <c r="C188" s="9" t="s">
        <v>382</v>
      </c>
      <c r="D188" s="13">
        <v>0</v>
      </c>
      <c r="E188" s="4">
        <v>14</v>
      </c>
      <c r="F188" s="4">
        <v>29</v>
      </c>
      <c r="G188" s="4" t="s">
        <v>162</v>
      </c>
      <c r="H188" s="4" t="s">
        <v>14</v>
      </c>
      <c r="I188" s="4">
        <v>2022</v>
      </c>
      <c r="J188" s="4">
        <v>1</v>
      </c>
      <c r="K188" s="4">
        <v>1</v>
      </c>
    </row>
    <row r="189" spans="1:11">
      <c r="A189" s="4" t="s">
        <v>370</v>
      </c>
      <c r="B189" s="4" t="s">
        <v>411</v>
      </c>
      <c r="C189" s="9" t="s">
        <v>383</v>
      </c>
      <c r="D189" s="13">
        <v>0</v>
      </c>
      <c r="E189" s="4">
        <v>15</v>
      </c>
      <c r="F189" s="4">
        <v>29</v>
      </c>
      <c r="G189" s="4" t="s">
        <v>162</v>
      </c>
      <c r="H189" s="4" t="s">
        <v>14</v>
      </c>
      <c r="I189" s="4">
        <v>2022</v>
      </c>
      <c r="J189" s="4">
        <v>1</v>
      </c>
      <c r="K189" s="4">
        <v>1</v>
      </c>
    </row>
    <row r="190" spans="1:11">
      <c r="A190" s="4" t="s">
        <v>370</v>
      </c>
      <c r="B190" s="4" t="s">
        <v>412</v>
      </c>
      <c r="C190" s="9" t="s">
        <v>384</v>
      </c>
      <c r="D190" s="13">
        <v>0</v>
      </c>
      <c r="E190" s="4">
        <v>16</v>
      </c>
      <c r="F190" s="4">
        <v>29</v>
      </c>
      <c r="G190" s="4" t="s">
        <v>162</v>
      </c>
      <c r="H190" s="4" t="s">
        <v>14</v>
      </c>
      <c r="I190" s="4">
        <v>2022</v>
      </c>
      <c r="J190" s="4">
        <v>1</v>
      </c>
      <c r="K190" s="4">
        <v>1</v>
      </c>
    </row>
    <row r="191" spans="1:11">
      <c r="A191" s="4" t="s">
        <v>370</v>
      </c>
      <c r="B191" s="4" t="s">
        <v>413</v>
      </c>
      <c r="C191" s="9" t="s">
        <v>385</v>
      </c>
      <c r="D191" s="13">
        <v>1</v>
      </c>
      <c r="E191" s="4">
        <v>17</v>
      </c>
      <c r="F191" s="4">
        <v>29</v>
      </c>
      <c r="G191" s="4" t="s">
        <v>162</v>
      </c>
      <c r="H191" s="4" t="s">
        <v>14</v>
      </c>
      <c r="I191" s="4">
        <v>2022</v>
      </c>
      <c r="J191" s="4">
        <v>1</v>
      </c>
      <c r="K191" s="4">
        <v>1</v>
      </c>
    </row>
    <row r="192" spans="1:11">
      <c r="A192" s="4" t="s">
        <v>370</v>
      </c>
      <c r="B192" s="4" t="s">
        <v>414</v>
      </c>
      <c r="C192" s="9" t="s">
        <v>386</v>
      </c>
      <c r="D192" s="13">
        <v>1</v>
      </c>
      <c r="E192" s="4">
        <v>18</v>
      </c>
      <c r="F192" s="4">
        <v>29</v>
      </c>
      <c r="G192" s="4" t="s">
        <v>162</v>
      </c>
      <c r="H192" s="4" t="s">
        <v>14</v>
      </c>
      <c r="I192" s="4">
        <v>2022</v>
      </c>
      <c r="J192" s="4">
        <v>1</v>
      </c>
      <c r="K192" s="4">
        <v>1</v>
      </c>
    </row>
    <row r="193" spans="1:12">
      <c r="A193" s="4" t="s">
        <v>370</v>
      </c>
      <c r="B193" s="4" t="s">
        <v>415</v>
      </c>
      <c r="C193" s="9" t="s">
        <v>387</v>
      </c>
      <c r="D193" s="13">
        <v>0</v>
      </c>
      <c r="E193" s="4">
        <v>19</v>
      </c>
      <c r="F193" s="4">
        <v>29</v>
      </c>
      <c r="G193" s="4" t="s">
        <v>162</v>
      </c>
      <c r="H193" s="4" t="s">
        <v>14</v>
      </c>
      <c r="I193" s="4">
        <v>2022</v>
      </c>
      <c r="J193" s="4">
        <v>1</v>
      </c>
      <c r="K193" s="4">
        <v>1</v>
      </c>
    </row>
    <row r="194" spans="1:12">
      <c r="A194" s="4" t="s">
        <v>370</v>
      </c>
      <c r="B194" s="4" t="s">
        <v>416</v>
      </c>
      <c r="C194" s="9" t="s">
        <v>388</v>
      </c>
      <c r="D194" s="13">
        <v>0</v>
      </c>
      <c r="E194" s="4">
        <v>20</v>
      </c>
      <c r="F194" s="4">
        <v>29</v>
      </c>
      <c r="G194" s="4" t="s">
        <v>162</v>
      </c>
      <c r="H194" s="4" t="s">
        <v>14</v>
      </c>
      <c r="I194" s="4">
        <v>2022</v>
      </c>
      <c r="J194" s="4">
        <v>1</v>
      </c>
      <c r="K194" s="4">
        <v>1</v>
      </c>
    </row>
    <row r="195" spans="1:12">
      <c r="A195" s="4" t="s">
        <v>370</v>
      </c>
      <c r="B195" s="4" t="s">
        <v>417</v>
      </c>
      <c r="C195" s="9" t="s">
        <v>389</v>
      </c>
      <c r="D195" s="13">
        <v>0</v>
      </c>
      <c r="E195" s="4">
        <v>21</v>
      </c>
      <c r="F195" s="4">
        <v>29</v>
      </c>
      <c r="G195" s="4" t="s">
        <v>162</v>
      </c>
      <c r="H195" s="4" t="s">
        <v>14</v>
      </c>
      <c r="I195" s="4">
        <v>2022</v>
      </c>
      <c r="J195" s="4">
        <v>1</v>
      </c>
      <c r="K195" s="4">
        <v>1</v>
      </c>
    </row>
    <row r="196" spans="1:12">
      <c r="A196" s="4" t="s">
        <v>370</v>
      </c>
      <c r="B196" s="4" t="s">
        <v>418</v>
      </c>
      <c r="C196" s="9" t="s">
        <v>390</v>
      </c>
      <c r="D196" s="13">
        <v>1</v>
      </c>
      <c r="E196" s="4">
        <v>22</v>
      </c>
      <c r="F196" s="4">
        <v>29</v>
      </c>
      <c r="G196" s="4" t="s">
        <v>162</v>
      </c>
      <c r="H196" s="4" t="s">
        <v>14</v>
      </c>
      <c r="I196" s="4">
        <v>2022</v>
      </c>
      <c r="J196" s="4">
        <v>1</v>
      </c>
      <c r="K196" s="4">
        <v>1</v>
      </c>
    </row>
    <row r="197" spans="1:12">
      <c r="A197" s="4" t="s">
        <v>370</v>
      </c>
      <c r="B197" s="4" t="s">
        <v>419</v>
      </c>
      <c r="C197" s="9" t="s">
        <v>391</v>
      </c>
      <c r="D197" s="13">
        <v>0</v>
      </c>
      <c r="E197" s="4">
        <v>23</v>
      </c>
      <c r="F197" s="4">
        <v>29</v>
      </c>
      <c r="G197" s="4" t="s">
        <v>162</v>
      </c>
      <c r="H197" s="4" t="s">
        <v>14</v>
      </c>
      <c r="I197" s="4">
        <v>2022</v>
      </c>
      <c r="J197" s="4">
        <v>1</v>
      </c>
      <c r="K197" s="4">
        <v>1</v>
      </c>
    </row>
    <row r="198" spans="1:12">
      <c r="A198" s="4" t="s">
        <v>370</v>
      </c>
      <c r="B198" s="4" t="s">
        <v>420</v>
      </c>
      <c r="C198" s="9" t="s">
        <v>392</v>
      </c>
      <c r="D198" s="13">
        <v>1</v>
      </c>
      <c r="E198" s="4">
        <v>24</v>
      </c>
      <c r="F198" s="4">
        <v>29</v>
      </c>
      <c r="G198" s="4" t="s">
        <v>162</v>
      </c>
      <c r="H198" s="4" t="s">
        <v>14</v>
      </c>
      <c r="I198" s="4">
        <v>2022</v>
      </c>
      <c r="J198" s="4">
        <v>1</v>
      </c>
      <c r="K198" s="4">
        <v>1</v>
      </c>
    </row>
    <row r="199" spans="1:12">
      <c r="A199" s="4" t="s">
        <v>370</v>
      </c>
      <c r="B199" s="4" t="s">
        <v>421</v>
      </c>
      <c r="C199" s="9" t="s">
        <v>393</v>
      </c>
      <c r="D199" s="13">
        <v>0</v>
      </c>
      <c r="E199" s="4">
        <v>25</v>
      </c>
      <c r="F199" s="4">
        <v>29</v>
      </c>
      <c r="G199" s="4" t="s">
        <v>162</v>
      </c>
      <c r="H199" s="4" t="s">
        <v>14</v>
      </c>
      <c r="I199" s="4">
        <v>2022</v>
      </c>
      <c r="J199" s="4">
        <v>1</v>
      </c>
      <c r="K199" s="4">
        <v>1</v>
      </c>
    </row>
    <row r="200" spans="1:12">
      <c r="A200" s="4" t="s">
        <v>370</v>
      </c>
      <c r="B200" s="4" t="s">
        <v>422</v>
      </c>
      <c r="C200" s="9" t="s">
        <v>394</v>
      </c>
      <c r="D200" s="13">
        <v>1</v>
      </c>
      <c r="E200" s="4">
        <v>26</v>
      </c>
      <c r="F200" s="4">
        <v>29</v>
      </c>
      <c r="G200" s="4" t="s">
        <v>162</v>
      </c>
      <c r="H200" s="4" t="s">
        <v>14</v>
      </c>
      <c r="I200" s="4">
        <v>2022</v>
      </c>
      <c r="J200" s="4">
        <v>1</v>
      </c>
      <c r="K200" s="4">
        <v>1</v>
      </c>
    </row>
    <row r="201" spans="1:12">
      <c r="A201" s="4" t="s">
        <v>370</v>
      </c>
      <c r="B201" s="4" t="s">
        <v>423</v>
      </c>
      <c r="C201" s="9" t="s">
        <v>395</v>
      </c>
      <c r="D201" s="13">
        <v>0</v>
      </c>
      <c r="E201" s="4">
        <v>27</v>
      </c>
      <c r="F201" s="4">
        <v>29</v>
      </c>
      <c r="G201" s="4" t="s">
        <v>162</v>
      </c>
      <c r="H201" s="4" t="s">
        <v>14</v>
      </c>
      <c r="I201" s="4">
        <v>2022</v>
      </c>
      <c r="J201" s="4">
        <v>1</v>
      </c>
      <c r="K201" s="4">
        <v>1</v>
      </c>
    </row>
    <row r="202" spans="1:12">
      <c r="A202" s="4" t="s">
        <v>370</v>
      </c>
      <c r="B202" s="4" t="s">
        <v>424</v>
      </c>
      <c r="C202" s="9" t="s">
        <v>396</v>
      </c>
      <c r="D202" s="13">
        <v>0</v>
      </c>
      <c r="E202" s="4">
        <v>28</v>
      </c>
      <c r="F202" s="4">
        <v>29</v>
      </c>
      <c r="G202" s="4" t="s">
        <v>162</v>
      </c>
      <c r="H202" s="4" t="s">
        <v>14</v>
      </c>
      <c r="I202" s="4">
        <v>2022</v>
      </c>
      <c r="J202" s="4">
        <v>1</v>
      </c>
      <c r="K202" s="4">
        <v>1</v>
      </c>
    </row>
    <row r="203" spans="1:12">
      <c r="A203" s="4" t="s">
        <v>370</v>
      </c>
      <c r="B203" s="4" t="s">
        <v>425</v>
      </c>
      <c r="C203" s="9" t="s">
        <v>397</v>
      </c>
      <c r="D203" s="13">
        <v>0</v>
      </c>
      <c r="E203" s="4">
        <v>29</v>
      </c>
      <c r="F203" s="4">
        <v>29</v>
      </c>
      <c r="G203" s="4" t="s">
        <v>162</v>
      </c>
      <c r="H203" s="4" t="s">
        <v>14</v>
      </c>
      <c r="I203" s="4">
        <v>2022</v>
      </c>
      <c r="J203" s="4">
        <v>1</v>
      </c>
      <c r="K203" s="4">
        <v>1</v>
      </c>
    </row>
    <row r="204" spans="1:12">
      <c r="A204" s="4" t="s">
        <v>433</v>
      </c>
      <c r="B204" s="4" t="s">
        <v>434</v>
      </c>
      <c r="C204" s="9" t="s">
        <v>435</v>
      </c>
      <c r="D204" s="13">
        <v>0</v>
      </c>
      <c r="E204" s="4">
        <v>1</v>
      </c>
      <c r="F204" s="4">
        <v>38</v>
      </c>
      <c r="G204" s="4" t="s">
        <v>162</v>
      </c>
      <c r="H204" s="4" t="s">
        <v>14</v>
      </c>
      <c r="I204" s="4">
        <v>2023</v>
      </c>
      <c r="J204" s="4">
        <v>1</v>
      </c>
      <c r="K204" s="4">
        <v>1</v>
      </c>
      <c r="L204" s="4"/>
    </row>
    <row r="205" spans="1:12">
      <c r="A205" s="4" t="s">
        <v>433</v>
      </c>
      <c r="B205" s="4" t="s">
        <v>436</v>
      </c>
      <c r="C205" s="9" t="s">
        <v>437</v>
      </c>
      <c r="D205" s="13">
        <v>0</v>
      </c>
      <c r="E205" s="4">
        <v>2</v>
      </c>
      <c r="F205" s="4">
        <v>38</v>
      </c>
      <c r="G205" s="4" t="s">
        <v>162</v>
      </c>
      <c r="H205" s="4" t="s">
        <v>14</v>
      </c>
      <c r="I205" s="4">
        <v>2023</v>
      </c>
      <c r="J205" s="4">
        <v>1</v>
      </c>
      <c r="K205" s="4">
        <v>1</v>
      </c>
      <c r="L205" s="4"/>
    </row>
    <row r="206" spans="1:12">
      <c r="A206" s="4" t="s">
        <v>433</v>
      </c>
      <c r="B206" s="4" t="s">
        <v>438</v>
      </c>
      <c r="C206" s="9" t="s">
        <v>439</v>
      </c>
      <c r="D206" s="13">
        <v>0</v>
      </c>
      <c r="E206" s="4">
        <v>3</v>
      </c>
      <c r="F206" s="4">
        <v>38</v>
      </c>
      <c r="G206" s="4" t="s">
        <v>162</v>
      </c>
      <c r="H206" s="4" t="s">
        <v>14</v>
      </c>
      <c r="I206" s="4">
        <v>2023</v>
      </c>
      <c r="J206" s="4">
        <v>1</v>
      </c>
      <c r="K206" s="4">
        <v>1</v>
      </c>
      <c r="L206" s="4"/>
    </row>
    <row r="207" spans="1:12">
      <c r="A207" s="4" t="s">
        <v>433</v>
      </c>
      <c r="B207" s="4" t="s">
        <v>440</v>
      </c>
      <c r="C207" s="9" t="s">
        <v>441</v>
      </c>
      <c r="D207" s="13">
        <v>0</v>
      </c>
      <c r="E207" s="4">
        <v>4</v>
      </c>
      <c r="F207" s="4">
        <v>38</v>
      </c>
      <c r="G207" s="4" t="s">
        <v>162</v>
      </c>
      <c r="H207" s="4" t="s">
        <v>14</v>
      </c>
      <c r="I207" s="4">
        <v>2023</v>
      </c>
      <c r="J207" s="4">
        <v>1</v>
      </c>
      <c r="K207" s="4">
        <v>1</v>
      </c>
      <c r="L207" s="4"/>
    </row>
    <row r="208" spans="1:12">
      <c r="A208" s="4" t="s">
        <v>433</v>
      </c>
      <c r="B208" s="4" t="s">
        <v>442</v>
      </c>
      <c r="C208" s="9" t="s">
        <v>443</v>
      </c>
      <c r="D208" s="13">
        <v>0</v>
      </c>
      <c r="E208" s="4">
        <v>5</v>
      </c>
      <c r="F208" s="4">
        <v>38</v>
      </c>
      <c r="G208" s="4" t="s">
        <v>162</v>
      </c>
      <c r="H208" s="4" t="s">
        <v>14</v>
      </c>
      <c r="I208" s="4">
        <v>2023</v>
      </c>
      <c r="J208" s="4">
        <v>1</v>
      </c>
      <c r="K208" s="4">
        <v>1</v>
      </c>
      <c r="L208" s="4"/>
    </row>
    <row r="209" spans="1:12">
      <c r="A209" s="4" t="s">
        <v>433</v>
      </c>
      <c r="B209" s="4" t="s">
        <v>444</v>
      </c>
      <c r="C209" s="9" t="s">
        <v>445</v>
      </c>
      <c r="D209" s="13">
        <v>1</v>
      </c>
      <c r="E209" s="4">
        <v>6</v>
      </c>
      <c r="F209" s="4">
        <v>38</v>
      </c>
      <c r="G209" s="4" t="s">
        <v>162</v>
      </c>
      <c r="H209" s="4" t="s">
        <v>14</v>
      </c>
      <c r="I209" s="4">
        <v>2023</v>
      </c>
      <c r="J209" s="4">
        <v>1</v>
      </c>
      <c r="K209" s="4">
        <v>1</v>
      </c>
      <c r="L209" s="4"/>
    </row>
    <row r="210" spans="1:12">
      <c r="A210" s="4" t="s">
        <v>433</v>
      </c>
      <c r="B210" s="4" t="s">
        <v>446</v>
      </c>
      <c r="C210" s="9" t="s">
        <v>447</v>
      </c>
      <c r="D210" s="13">
        <v>0</v>
      </c>
      <c r="E210" s="4">
        <v>7</v>
      </c>
      <c r="F210" s="4">
        <v>38</v>
      </c>
      <c r="G210" s="4" t="s">
        <v>162</v>
      </c>
      <c r="H210" s="4" t="s">
        <v>14</v>
      </c>
      <c r="I210" s="4">
        <v>2023</v>
      </c>
      <c r="J210" s="4">
        <v>1</v>
      </c>
      <c r="K210" s="4">
        <v>1</v>
      </c>
      <c r="L210" s="4"/>
    </row>
    <row r="211" spans="1:12">
      <c r="A211" s="4" t="s">
        <v>433</v>
      </c>
      <c r="B211" s="4" t="s">
        <v>448</v>
      </c>
      <c r="C211" s="9" t="s">
        <v>449</v>
      </c>
      <c r="D211" s="13">
        <v>0</v>
      </c>
      <c r="E211" s="4">
        <v>8</v>
      </c>
      <c r="F211" s="4">
        <v>38</v>
      </c>
      <c r="G211" s="4" t="s">
        <v>162</v>
      </c>
      <c r="H211" s="4" t="s">
        <v>14</v>
      </c>
      <c r="I211" s="4">
        <v>2023</v>
      </c>
      <c r="J211" s="4">
        <v>1</v>
      </c>
      <c r="K211" s="4">
        <v>1</v>
      </c>
      <c r="L211" s="4"/>
    </row>
    <row r="212" spans="1:12">
      <c r="A212" s="4" t="s">
        <v>433</v>
      </c>
      <c r="B212" s="4" t="s">
        <v>450</v>
      </c>
      <c r="C212" s="9" t="s">
        <v>451</v>
      </c>
      <c r="D212" s="13">
        <v>0</v>
      </c>
      <c r="E212" s="4">
        <v>9</v>
      </c>
      <c r="F212" s="4">
        <v>38</v>
      </c>
      <c r="G212" s="4" t="s">
        <v>162</v>
      </c>
      <c r="H212" s="4" t="s">
        <v>14</v>
      </c>
      <c r="I212" s="4">
        <v>2023</v>
      </c>
      <c r="J212" s="4">
        <v>1</v>
      </c>
      <c r="K212" s="4">
        <v>1</v>
      </c>
      <c r="L212" s="4"/>
    </row>
    <row r="213" spans="1:12">
      <c r="A213" s="4" t="s">
        <v>433</v>
      </c>
      <c r="B213" s="4" t="s">
        <v>452</v>
      </c>
      <c r="C213" s="9" t="s">
        <v>453</v>
      </c>
      <c r="D213" s="13">
        <v>0</v>
      </c>
      <c r="E213" s="4">
        <v>10</v>
      </c>
      <c r="F213" s="4">
        <v>38</v>
      </c>
      <c r="G213" s="4" t="s">
        <v>162</v>
      </c>
      <c r="H213" s="4" t="s">
        <v>14</v>
      </c>
      <c r="I213" s="4">
        <v>2023</v>
      </c>
      <c r="J213" s="4">
        <v>1</v>
      </c>
      <c r="K213" s="4">
        <v>1</v>
      </c>
      <c r="L213" s="4"/>
    </row>
    <row r="214" spans="1:12">
      <c r="A214" s="4" t="s">
        <v>433</v>
      </c>
      <c r="B214" s="4" t="s">
        <v>454</v>
      </c>
      <c r="C214" s="9" t="s">
        <v>455</v>
      </c>
      <c r="D214" s="13">
        <v>0</v>
      </c>
      <c r="E214" s="4">
        <v>11</v>
      </c>
      <c r="F214" s="4">
        <v>38</v>
      </c>
      <c r="G214" s="4" t="s">
        <v>162</v>
      </c>
      <c r="H214" s="4" t="s">
        <v>14</v>
      </c>
      <c r="I214" s="4">
        <v>2023</v>
      </c>
      <c r="J214" s="4">
        <v>1</v>
      </c>
      <c r="K214" s="4">
        <v>1</v>
      </c>
      <c r="L214" s="4"/>
    </row>
    <row r="215" spans="1:12">
      <c r="A215" s="4" t="s">
        <v>433</v>
      </c>
      <c r="B215" s="4" t="s">
        <v>456</v>
      </c>
      <c r="C215" s="14" t="s">
        <v>457</v>
      </c>
      <c r="D215" s="13">
        <v>0</v>
      </c>
      <c r="E215" s="4">
        <v>12</v>
      </c>
      <c r="F215" s="4">
        <v>38</v>
      </c>
      <c r="G215" s="4" t="s">
        <v>162</v>
      </c>
      <c r="H215" s="4" t="s">
        <v>14</v>
      </c>
      <c r="I215" s="4">
        <v>2023</v>
      </c>
      <c r="J215" s="4">
        <v>1</v>
      </c>
      <c r="K215" s="4">
        <v>1</v>
      </c>
      <c r="L215" s="4"/>
    </row>
    <row r="216" spans="1:12">
      <c r="A216" s="4" t="s">
        <v>433</v>
      </c>
      <c r="B216" s="4" t="s">
        <v>458</v>
      </c>
      <c r="C216" s="9" t="s">
        <v>459</v>
      </c>
      <c r="D216" s="13">
        <v>0</v>
      </c>
      <c r="E216" s="4">
        <v>13</v>
      </c>
      <c r="F216" s="4">
        <v>38</v>
      </c>
      <c r="G216" s="4" t="s">
        <v>162</v>
      </c>
      <c r="H216" s="4" t="s">
        <v>14</v>
      </c>
      <c r="I216" s="4">
        <v>2023</v>
      </c>
      <c r="J216" s="4">
        <v>1</v>
      </c>
      <c r="K216" s="4">
        <v>1</v>
      </c>
      <c r="L216" s="4"/>
    </row>
    <row r="217" spans="1:12">
      <c r="A217" s="4" t="s">
        <v>433</v>
      </c>
      <c r="B217" s="4" t="s">
        <v>460</v>
      </c>
      <c r="C217" s="9" t="s">
        <v>461</v>
      </c>
      <c r="D217" s="13">
        <v>0</v>
      </c>
      <c r="E217" s="4">
        <v>14</v>
      </c>
      <c r="F217" s="4">
        <v>38</v>
      </c>
      <c r="G217" s="4" t="s">
        <v>162</v>
      </c>
      <c r="H217" s="4" t="s">
        <v>14</v>
      </c>
      <c r="I217" s="4">
        <v>2023</v>
      </c>
      <c r="J217" s="4">
        <v>1</v>
      </c>
      <c r="K217" s="4">
        <v>1</v>
      </c>
      <c r="L217" s="4"/>
    </row>
    <row r="218" spans="1:12">
      <c r="A218" s="4" t="s">
        <v>433</v>
      </c>
      <c r="B218" s="4" t="s">
        <v>462</v>
      </c>
      <c r="C218" s="9" t="s">
        <v>463</v>
      </c>
      <c r="D218" s="13">
        <v>0</v>
      </c>
      <c r="E218" s="4">
        <v>15</v>
      </c>
      <c r="F218" s="4">
        <v>38</v>
      </c>
      <c r="G218" s="4" t="s">
        <v>162</v>
      </c>
      <c r="H218" s="4" t="s">
        <v>14</v>
      </c>
      <c r="I218" s="4">
        <v>2023</v>
      </c>
      <c r="J218" s="4">
        <v>1</v>
      </c>
      <c r="K218" s="4">
        <v>1</v>
      </c>
      <c r="L218" s="4"/>
    </row>
    <row r="219" spans="1:12">
      <c r="A219" s="4" t="s">
        <v>433</v>
      </c>
      <c r="B219" s="4" t="s">
        <v>464</v>
      </c>
      <c r="C219" s="9" t="s">
        <v>465</v>
      </c>
      <c r="D219" s="13">
        <v>0</v>
      </c>
      <c r="E219" s="4">
        <v>16</v>
      </c>
      <c r="F219" s="4">
        <v>38</v>
      </c>
      <c r="G219" s="4" t="s">
        <v>162</v>
      </c>
      <c r="H219" s="4" t="s">
        <v>14</v>
      </c>
      <c r="I219" s="4">
        <v>2023</v>
      </c>
      <c r="J219" s="4">
        <v>1</v>
      </c>
      <c r="K219" s="4">
        <v>1</v>
      </c>
      <c r="L219" s="4"/>
    </row>
    <row r="220" spans="1:12">
      <c r="A220" s="4" t="s">
        <v>433</v>
      </c>
      <c r="B220" s="4" t="s">
        <v>466</v>
      </c>
      <c r="C220" s="9" t="s">
        <v>467</v>
      </c>
      <c r="D220" s="13">
        <v>0</v>
      </c>
      <c r="E220" s="4">
        <v>17</v>
      </c>
      <c r="F220" s="4">
        <v>38</v>
      </c>
      <c r="G220" s="4" t="s">
        <v>162</v>
      </c>
      <c r="H220" s="4" t="s">
        <v>14</v>
      </c>
      <c r="I220" s="4">
        <v>2023</v>
      </c>
      <c r="J220" s="4">
        <v>1</v>
      </c>
      <c r="K220" s="4">
        <v>1</v>
      </c>
      <c r="L220" s="4"/>
    </row>
    <row r="221" spans="1:12">
      <c r="A221" s="4" t="s">
        <v>433</v>
      </c>
      <c r="B221" s="4" t="s">
        <v>468</v>
      </c>
      <c r="C221" s="9" t="s">
        <v>469</v>
      </c>
      <c r="D221" s="13">
        <v>0</v>
      </c>
      <c r="E221" s="4">
        <v>18</v>
      </c>
      <c r="F221" s="4">
        <v>38</v>
      </c>
      <c r="G221" s="4" t="s">
        <v>162</v>
      </c>
      <c r="H221" s="4" t="s">
        <v>14</v>
      </c>
      <c r="I221" s="4">
        <v>2023</v>
      </c>
      <c r="J221" s="4">
        <v>1</v>
      </c>
      <c r="K221" s="4">
        <v>1</v>
      </c>
      <c r="L221" s="4"/>
    </row>
    <row r="222" spans="1:12">
      <c r="A222" s="4" t="s">
        <v>433</v>
      </c>
      <c r="B222" s="4" t="s">
        <v>470</v>
      </c>
      <c r="C222" s="9" t="s">
        <v>471</v>
      </c>
      <c r="D222" s="13">
        <v>1</v>
      </c>
      <c r="E222" s="4">
        <v>19</v>
      </c>
      <c r="F222" s="4">
        <v>38</v>
      </c>
      <c r="G222" s="4" t="s">
        <v>162</v>
      </c>
      <c r="H222" s="4" t="s">
        <v>14</v>
      </c>
      <c r="I222" s="4">
        <v>2023</v>
      </c>
      <c r="J222" s="4">
        <v>1</v>
      </c>
      <c r="K222" s="4">
        <v>1</v>
      </c>
      <c r="L222" s="4"/>
    </row>
    <row r="223" spans="1:12">
      <c r="A223" s="4" t="s">
        <v>433</v>
      </c>
      <c r="B223" s="4" t="s">
        <v>472</v>
      </c>
      <c r="C223" s="9" t="s">
        <v>473</v>
      </c>
      <c r="D223" s="13">
        <v>0</v>
      </c>
      <c r="E223" s="4">
        <v>20</v>
      </c>
      <c r="F223" s="4">
        <v>38</v>
      </c>
      <c r="G223" s="4" t="s">
        <v>162</v>
      </c>
      <c r="H223" s="4" t="s">
        <v>14</v>
      </c>
      <c r="I223" s="4">
        <v>2023</v>
      </c>
      <c r="J223" s="4">
        <v>1</v>
      </c>
      <c r="K223" s="4">
        <v>1</v>
      </c>
      <c r="L223" s="4"/>
    </row>
    <row r="224" spans="1:12">
      <c r="A224" s="4" t="s">
        <v>433</v>
      </c>
      <c r="B224" s="4" t="s">
        <v>474</v>
      </c>
      <c r="C224" s="14" t="s">
        <v>475</v>
      </c>
      <c r="D224" s="13">
        <v>0</v>
      </c>
      <c r="E224" s="4">
        <v>21</v>
      </c>
      <c r="F224" s="4">
        <v>38</v>
      </c>
      <c r="G224" s="4" t="s">
        <v>162</v>
      </c>
      <c r="H224" s="4" t="s">
        <v>14</v>
      </c>
      <c r="I224" s="4">
        <v>2023</v>
      </c>
      <c r="J224" s="4">
        <v>1</v>
      </c>
      <c r="K224" s="4">
        <v>1</v>
      </c>
      <c r="L224" s="4"/>
    </row>
    <row r="225" spans="1:12">
      <c r="A225" s="4" t="s">
        <v>433</v>
      </c>
      <c r="B225" s="4" t="s">
        <v>476</v>
      </c>
      <c r="C225" s="14" t="s">
        <v>477</v>
      </c>
      <c r="D225" s="13">
        <v>0</v>
      </c>
      <c r="E225" s="4">
        <v>22</v>
      </c>
      <c r="F225" s="4">
        <v>38</v>
      </c>
      <c r="G225" s="4" t="s">
        <v>162</v>
      </c>
      <c r="H225" s="4" t="s">
        <v>14</v>
      </c>
      <c r="I225" s="4">
        <v>2023</v>
      </c>
      <c r="J225" s="4">
        <v>1</v>
      </c>
      <c r="K225" s="4">
        <v>1</v>
      </c>
      <c r="L225" s="4"/>
    </row>
    <row r="226" spans="1:12">
      <c r="A226" s="4" t="s">
        <v>433</v>
      </c>
      <c r="B226" s="4" t="s">
        <v>478</v>
      </c>
      <c r="C226" s="14" t="s">
        <v>479</v>
      </c>
      <c r="D226" s="13">
        <v>0</v>
      </c>
      <c r="E226" s="4">
        <v>23</v>
      </c>
      <c r="F226" s="4">
        <v>38</v>
      </c>
      <c r="G226" s="4" t="s">
        <v>162</v>
      </c>
      <c r="H226" s="4" t="s">
        <v>14</v>
      </c>
      <c r="I226" s="4">
        <v>2023</v>
      </c>
      <c r="J226" s="4">
        <v>1</v>
      </c>
      <c r="K226" s="4">
        <v>1</v>
      </c>
      <c r="L226" s="4"/>
    </row>
    <row r="227" spans="1:12">
      <c r="A227" s="4" t="s">
        <v>433</v>
      </c>
      <c r="B227" s="4" t="s">
        <v>480</v>
      </c>
      <c r="C227" s="14" t="s">
        <v>481</v>
      </c>
      <c r="D227" s="13">
        <v>0</v>
      </c>
      <c r="E227" s="4">
        <v>24</v>
      </c>
      <c r="F227" s="4">
        <v>38</v>
      </c>
      <c r="G227" s="4" t="s">
        <v>162</v>
      </c>
      <c r="H227" s="4" t="s">
        <v>14</v>
      </c>
      <c r="I227" s="4">
        <v>2023</v>
      </c>
      <c r="J227" s="4">
        <v>1</v>
      </c>
      <c r="K227" s="4">
        <v>1</v>
      </c>
      <c r="L227" s="4"/>
    </row>
    <row r="228" spans="1:12">
      <c r="A228" s="4" t="s">
        <v>433</v>
      </c>
      <c r="B228" s="4" t="s">
        <v>482</v>
      </c>
      <c r="C228" s="14" t="s">
        <v>483</v>
      </c>
      <c r="D228" s="13">
        <v>0</v>
      </c>
      <c r="E228" s="4">
        <v>25</v>
      </c>
      <c r="F228" s="4">
        <v>38</v>
      </c>
      <c r="G228" s="4" t="s">
        <v>162</v>
      </c>
      <c r="H228" s="4" t="s">
        <v>14</v>
      </c>
      <c r="I228" s="4">
        <v>2023</v>
      </c>
      <c r="J228" s="4">
        <v>1</v>
      </c>
      <c r="K228" s="4">
        <v>1</v>
      </c>
      <c r="L228" s="4"/>
    </row>
    <row r="229" spans="1:12">
      <c r="A229" s="4" t="s">
        <v>433</v>
      </c>
      <c r="B229" s="4" t="s">
        <v>484</v>
      </c>
      <c r="C229" s="14" t="s">
        <v>485</v>
      </c>
      <c r="D229" s="13">
        <v>1</v>
      </c>
      <c r="E229" s="4">
        <v>26</v>
      </c>
      <c r="F229" s="4">
        <v>38</v>
      </c>
      <c r="G229" s="4" t="s">
        <v>162</v>
      </c>
      <c r="H229" s="4" t="s">
        <v>14</v>
      </c>
      <c r="I229" s="4">
        <v>2023</v>
      </c>
      <c r="J229" s="4">
        <v>1</v>
      </c>
      <c r="K229" s="4">
        <v>1</v>
      </c>
      <c r="L229" s="4"/>
    </row>
    <row r="230" spans="1:12">
      <c r="A230" s="4" t="s">
        <v>433</v>
      </c>
      <c r="B230" s="4" t="s">
        <v>486</v>
      </c>
      <c r="C230" s="14" t="s">
        <v>487</v>
      </c>
      <c r="D230" s="13">
        <v>1</v>
      </c>
      <c r="E230" s="4">
        <v>27</v>
      </c>
      <c r="F230" s="4">
        <v>38</v>
      </c>
      <c r="G230" s="4" t="s">
        <v>162</v>
      </c>
      <c r="H230" s="4" t="s">
        <v>14</v>
      </c>
      <c r="I230" s="4">
        <v>2023</v>
      </c>
      <c r="J230" s="4">
        <v>1</v>
      </c>
      <c r="K230" s="4">
        <v>1</v>
      </c>
      <c r="L230" s="4"/>
    </row>
    <row r="231" spans="1:12">
      <c r="A231" s="4" t="s">
        <v>433</v>
      </c>
      <c r="B231" s="4" t="s">
        <v>488</v>
      </c>
      <c r="C231" s="14" t="s">
        <v>489</v>
      </c>
      <c r="D231" s="13">
        <v>0</v>
      </c>
      <c r="E231" s="4">
        <v>28</v>
      </c>
      <c r="F231" s="4">
        <v>38</v>
      </c>
      <c r="G231" s="4" t="s">
        <v>162</v>
      </c>
      <c r="H231" s="4" t="s">
        <v>14</v>
      </c>
      <c r="I231" s="4">
        <v>2023</v>
      </c>
      <c r="J231" s="4">
        <v>1</v>
      </c>
      <c r="K231" s="4">
        <v>1</v>
      </c>
      <c r="L231" s="4"/>
    </row>
    <row r="232" spans="1:12">
      <c r="A232" s="4" t="s">
        <v>433</v>
      </c>
      <c r="B232" s="4" t="s">
        <v>490</v>
      </c>
      <c r="C232" s="14" t="s">
        <v>491</v>
      </c>
      <c r="D232" s="13">
        <v>0</v>
      </c>
      <c r="E232" s="4">
        <v>29</v>
      </c>
      <c r="F232" s="4">
        <v>38</v>
      </c>
      <c r="G232" s="4" t="s">
        <v>162</v>
      </c>
      <c r="H232" s="4" t="s">
        <v>14</v>
      </c>
      <c r="I232" s="4">
        <v>2023</v>
      </c>
      <c r="J232" s="4">
        <v>1</v>
      </c>
      <c r="K232" s="4">
        <v>1</v>
      </c>
      <c r="L232" s="4"/>
    </row>
    <row r="233" spans="1:12">
      <c r="A233" s="4" t="s">
        <v>433</v>
      </c>
      <c r="B233" s="4" t="s">
        <v>492</v>
      </c>
      <c r="C233" s="14" t="s">
        <v>493</v>
      </c>
      <c r="D233" s="13">
        <v>0</v>
      </c>
      <c r="E233" s="4">
        <v>30</v>
      </c>
      <c r="F233" s="4">
        <v>38</v>
      </c>
      <c r="G233" s="4" t="s">
        <v>162</v>
      </c>
      <c r="H233" s="4" t="s">
        <v>14</v>
      </c>
      <c r="I233" s="4">
        <v>2023</v>
      </c>
      <c r="J233" s="4">
        <v>1</v>
      </c>
      <c r="K233" s="4">
        <v>1</v>
      </c>
      <c r="L233" s="4"/>
    </row>
    <row r="234" spans="1:12">
      <c r="A234" s="4" t="s">
        <v>433</v>
      </c>
      <c r="B234" s="4" t="s">
        <v>494</v>
      </c>
      <c r="C234" s="14" t="s">
        <v>495</v>
      </c>
      <c r="D234" s="13">
        <v>0</v>
      </c>
      <c r="E234" s="4">
        <v>31</v>
      </c>
      <c r="F234" s="4">
        <v>38</v>
      </c>
      <c r="G234" s="4" t="s">
        <v>162</v>
      </c>
      <c r="H234" s="4" t="s">
        <v>14</v>
      </c>
      <c r="I234" s="4">
        <v>2023</v>
      </c>
      <c r="J234" s="4">
        <v>1</v>
      </c>
      <c r="K234" s="4">
        <v>1</v>
      </c>
      <c r="L234" s="4"/>
    </row>
    <row r="235" spans="1:12">
      <c r="A235" s="4" t="s">
        <v>433</v>
      </c>
      <c r="B235" s="4" t="s">
        <v>496</v>
      </c>
      <c r="C235" s="14" t="s">
        <v>497</v>
      </c>
      <c r="D235" s="13">
        <v>1</v>
      </c>
      <c r="E235" s="4">
        <v>32</v>
      </c>
      <c r="F235" s="4">
        <v>38</v>
      </c>
      <c r="G235" s="4" t="s">
        <v>162</v>
      </c>
      <c r="H235" s="4" t="s">
        <v>14</v>
      </c>
      <c r="I235" s="4">
        <v>2023</v>
      </c>
      <c r="J235" s="4">
        <v>1</v>
      </c>
      <c r="K235" s="4">
        <v>1</v>
      </c>
      <c r="L235" s="4"/>
    </row>
    <row r="236" spans="1:12">
      <c r="A236" s="4" t="s">
        <v>433</v>
      </c>
      <c r="B236" s="4" t="s">
        <v>498</v>
      </c>
      <c r="C236" s="9" t="s">
        <v>499</v>
      </c>
      <c r="D236" s="13">
        <v>1</v>
      </c>
      <c r="E236" s="4">
        <v>33</v>
      </c>
      <c r="F236" s="4">
        <v>38</v>
      </c>
      <c r="G236" s="4" t="s">
        <v>162</v>
      </c>
      <c r="H236" s="4" t="s">
        <v>14</v>
      </c>
      <c r="I236" s="4">
        <v>2023</v>
      </c>
      <c r="J236" s="4">
        <v>1</v>
      </c>
      <c r="K236" s="4">
        <v>1</v>
      </c>
      <c r="L236" s="4"/>
    </row>
    <row r="237" spans="1:12">
      <c r="A237" s="4" t="s">
        <v>433</v>
      </c>
      <c r="B237" s="4" t="s">
        <v>500</v>
      </c>
      <c r="C237" s="14" t="s">
        <v>501</v>
      </c>
      <c r="D237" s="13">
        <v>1</v>
      </c>
      <c r="E237" s="4">
        <v>34</v>
      </c>
      <c r="F237" s="4">
        <v>38</v>
      </c>
      <c r="G237" s="4" t="s">
        <v>162</v>
      </c>
      <c r="H237" s="4" t="s">
        <v>14</v>
      </c>
      <c r="I237" s="4">
        <v>2023</v>
      </c>
      <c r="J237" s="4">
        <v>1</v>
      </c>
      <c r="K237" s="4">
        <v>1</v>
      </c>
      <c r="L237" s="4"/>
    </row>
    <row r="238" spans="1:12">
      <c r="A238" s="4" t="s">
        <v>433</v>
      </c>
      <c r="B238" s="4" t="s">
        <v>502</v>
      </c>
      <c r="C238" s="14" t="s">
        <v>503</v>
      </c>
      <c r="D238" s="13">
        <v>0</v>
      </c>
      <c r="E238" s="4">
        <v>35</v>
      </c>
      <c r="F238" s="4">
        <v>38</v>
      </c>
      <c r="G238" s="4" t="s">
        <v>162</v>
      </c>
      <c r="H238" s="4" t="s">
        <v>14</v>
      </c>
      <c r="I238" s="4">
        <v>2023</v>
      </c>
      <c r="J238" s="4">
        <v>1</v>
      </c>
      <c r="K238" s="4">
        <v>1</v>
      </c>
      <c r="L238" s="4"/>
    </row>
    <row r="239" spans="1:12">
      <c r="A239" s="4" t="s">
        <v>433</v>
      </c>
      <c r="B239" s="4" t="s">
        <v>504</v>
      </c>
      <c r="C239" s="14" t="s">
        <v>505</v>
      </c>
      <c r="D239" s="13">
        <v>0</v>
      </c>
      <c r="E239" s="4">
        <v>36</v>
      </c>
      <c r="F239" s="4">
        <v>38</v>
      </c>
      <c r="G239" s="4" t="s">
        <v>162</v>
      </c>
      <c r="H239" s="4" t="s">
        <v>14</v>
      </c>
      <c r="I239" s="4">
        <v>2023</v>
      </c>
      <c r="J239" s="4">
        <v>1</v>
      </c>
      <c r="K239" s="4">
        <v>1</v>
      </c>
      <c r="L239" s="4"/>
    </row>
    <row r="240" spans="1:12">
      <c r="A240" s="4" t="s">
        <v>433</v>
      </c>
      <c r="B240" s="4" t="s">
        <v>506</v>
      </c>
      <c r="C240" s="14" t="s">
        <v>507</v>
      </c>
      <c r="D240" s="13">
        <v>0</v>
      </c>
      <c r="E240" s="4">
        <v>37</v>
      </c>
      <c r="F240" s="4">
        <v>38</v>
      </c>
      <c r="G240" s="4" t="s">
        <v>162</v>
      </c>
      <c r="H240" s="4" t="s">
        <v>14</v>
      </c>
      <c r="I240" s="4">
        <v>2023</v>
      </c>
      <c r="J240" s="4">
        <v>1</v>
      </c>
      <c r="K240" s="4">
        <v>1</v>
      </c>
      <c r="L240" s="4"/>
    </row>
    <row r="241" spans="1:12">
      <c r="A241" s="4" t="s">
        <v>433</v>
      </c>
      <c r="B241" s="4" t="s">
        <v>508</v>
      </c>
      <c r="C241" s="14" t="s">
        <v>509</v>
      </c>
      <c r="D241" s="13">
        <v>0</v>
      </c>
      <c r="E241" s="4">
        <v>38</v>
      </c>
      <c r="F241" s="4">
        <v>38</v>
      </c>
      <c r="G241" s="4" t="s">
        <v>162</v>
      </c>
      <c r="H241" s="4" t="s">
        <v>14</v>
      </c>
      <c r="I241" s="4">
        <v>2023</v>
      </c>
      <c r="J241" s="4">
        <v>1</v>
      </c>
      <c r="K241" s="4">
        <v>1</v>
      </c>
      <c r="L241" s="4"/>
    </row>
    <row r="242" spans="1:12">
      <c r="A242" s="4" t="s">
        <v>510</v>
      </c>
      <c r="B242" s="4" t="s">
        <v>511</v>
      </c>
      <c r="C242" s="14" t="s">
        <v>512</v>
      </c>
      <c r="D242" s="13">
        <v>0</v>
      </c>
      <c r="E242" s="4">
        <v>1</v>
      </c>
      <c r="F242" s="4">
        <v>42</v>
      </c>
      <c r="G242" s="4" t="s">
        <v>162</v>
      </c>
      <c r="H242" s="4" t="s">
        <v>14</v>
      </c>
      <c r="I242" s="4">
        <v>2024</v>
      </c>
      <c r="J242" s="4">
        <v>1</v>
      </c>
      <c r="K242" s="4">
        <v>1</v>
      </c>
      <c r="L242" s="4"/>
    </row>
    <row r="243" spans="1:12">
      <c r="A243" s="4" t="s">
        <v>510</v>
      </c>
      <c r="B243" s="4" t="s">
        <v>513</v>
      </c>
      <c r="C243" s="14" t="s">
        <v>514</v>
      </c>
      <c r="D243" s="13">
        <v>0</v>
      </c>
      <c r="E243" s="4">
        <v>2</v>
      </c>
      <c r="F243" s="4">
        <v>42</v>
      </c>
      <c r="G243" s="4" t="s">
        <v>162</v>
      </c>
      <c r="H243" s="4" t="s">
        <v>14</v>
      </c>
      <c r="I243" s="4">
        <v>2024</v>
      </c>
      <c r="J243" s="4">
        <v>1</v>
      </c>
      <c r="K243" s="4">
        <v>1</v>
      </c>
      <c r="L243" s="4"/>
    </row>
    <row r="244" spans="1:12">
      <c r="A244" s="4" t="s">
        <v>510</v>
      </c>
      <c r="B244" s="4" t="s">
        <v>515</v>
      </c>
      <c r="C244" s="14" t="s">
        <v>516</v>
      </c>
      <c r="D244" s="13">
        <v>0</v>
      </c>
      <c r="E244" s="4">
        <v>3</v>
      </c>
      <c r="F244" s="4">
        <v>42</v>
      </c>
      <c r="G244" s="4" t="s">
        <v>162</v>
      </c>
      <c r="H244" s="4" t="s">
        <v>14</v>
      </c>
      <c r="I244" s="4">
        <v>2024</v>
      </c>
      <c r="J244" s="4">
        <v>1</v>
      </c>
      <c r="K244" s="4">
        <v>1</v>
      </c>
      <c r="L244" s="4"/>
    </row>
    <row r="245" spans="1:12">
      <c r="A245" s="4" t="s">
        <v>510</v>
      </c>
      <c r="B245" s="4" t="s">
        <v>517</v>
      </c>
      <c r="C245" s="14" t="s">
        <v>518</v>
      </c>
      <c r="D245" s="13">
        <v>0</v>
      </c>
      <c r="E245" s="4">
        <v>4</v>
      </c>
      <c r="F245" s="4">
        <v>42</v>
      </c>
      <c r="G245" s="4" t="s">
        <v>162</v>
      </c>
      <c r="H245" s="4" t="s">
        <v>14</v>
      </c>
      <c r="I245" s="4">
        <v>2024</v>
      </c>
      <c r="J245" s="4">
        <v>1</v>
      </c>
      <c r="K245" s="4">
        <v>1</v>
      </c>
      <c r="L245" s="4"/>
    </row>
    <row r="246" spans="1:12">
      <c r="A246" s="4" t="s">
        <v>510</v>
      </c>
      <c r="B246" s="4" t="s">
        <v>519</v>
      </c>
      <c r="C246" s="14" t="s">
        <v>520</v>
      </c>
      <c r="D246" s="13">
        <v>0</v>
      </c>
      <c r="E246" s="4">
        <v>5</v>
      </c>
      <c r="F246" s="4">
        <v>42</v>
      </c>
      <c r="G246" s="4" t="s">
        <v>162</v>
      </c>
      <c r="H246" s="4" t="s">
        <v>14</v>
      </c>
      <c r="I246" s="4">
        <v>2024</v>
      </c>
      <c r="J246" s="4">
        <v>1</v>
      </c>
      <c r="K246" s="4">
        <v>1</v>
      </c>
      <c r="L246" s="4"/>
    </row>
    <row r="247" spans="1:12">
      <c r="A247" s="4" t="s">
        <v>510</v>
      </c>
      <c r="B247" s="4" t="s">
        <v>521</v>
      </c>
      <c r="C247" s="14" t="s">
        <v>522</v>
      </c>
      <c r="D247" s="13">
        <v>0</v>
      </c>
      <c r="E247" s="4">
        <v>6</v>
      </c>
      <c r="F247" s="4">
        <v>42</v>
      </c>
      <c r="G247" s="4" t="s">
        <v>162</v>
      </c>
      <c r="H247" s="4" t="s">
        <v>14</v>
      </c>
      <c r="I247" s="4">
        <v>2024</v>
      </c>
      <c r="J247" s="4">
        <v>1</v>
      </c>
      <c r="K247" s="4">
        <v>1</v>
      </c>
      <c r="L247" s="4"/>
    </row>
    <row r="248" spans="1:12">
      <c r="A248" s="4" t="s">
        <v>510</v>
      </c>
      <c r="B248" s="4" t="s">
        <v>523</v>
      </c>
      <c r="C248" s="14" t="s">
        <v>524</v>
      </c>
      <c r="D248" s="13">
        <v>0</v>
      </c>
      <c r="E248" s="4">
        <v>7</v>
      </c>
      <c r="F248" s="4">
        <v>42</v>
      </c>
      <c r="G248" s="4" t="s">
        <v>162</v>
      </c>
      <c r="H248" s="4" t="s">
        <v>14</v>
      </c>
      <c r="I248" s="4">
        <v>2024</v>
      </c>
      <c r="J248" s="4">
        <v>1</v>
      </c>
      <c r="K248" s="4">
        <v>1</v>
      </c>
      <c r="L248" s="4"/>
    </row>
    <row r="249" spans="1:12">
      <c r="A249" s="4" t="s">
        <v>510</v>
      </c>
      <c r="B249" s="4" t="s">
        <v>525</v>
      </c>
      <c r="C249" s="14" t="s">
        <v>526</v>
      </c>
      <c r="D249" s="13">
        <v>0</v>
      </c>
      <c r="E249" s="4">
        <v>8</v>
      </c>
      <c r="F249" s="4">
        <v>42</v>
      </c>
      <c r="G249" s="4" t="s">
        <v>162</v>
      </c>
      <c r="H249" s="4" t="s">
        <v>14</v>
      </c>
      <c r="I249" s="4">
        <v>2024</v>
      </c>
      <c r="J249" s="4">
        <v>1</v>
      </c>
      <c r="K249" s="4">
        <v>1</v>
      </c>
      <c r="L249" s="4"/>
    </row>
    <row r="250" spans="1:12">
      <c r="A250" s="4" t="s">
        <v>510</v>
      </c>
      <c r="B250" s="4" t="s">
        <v>527</v>
      </c>
      <c r="C250" s="9" t="s">
        <v>528</v>
      </c>
      <c r="D250" s="13">
        <v>0</v>
      </c>
      <c r="E250" s="4">
        <v>9</v>
      </c>
      <c r="F250" s="4">
        <v>42</v>
      </c>
      <c r="G250" s="4" t="s">
        <v>162</v>
      </c>
      <c r="H250" s="4" t="s">
        <v>14</v>
      </c>
      <c r="I250" s="4">
        <v>2024</v>
      </c>
      <c r="J250" s="4">
        <v>1</v>
      </c>
      <c r="K250" s="4">
        <v>1</v>
      </c>
      <c r="L250" s="4"/>
    </row>
    <row r="251" spans="1:12">
      <c r="A251" s="4" t="s">
        <v>510</v>
      </c>
      <c r="B251" s="4" t="s">
        <v>529</v>
      </c>
      <c r="C251" s="14" t="s">
        <v>530</v>
      </c>
      <c r="D251" s="13">
        <v>0</v>
      </c>
      <c r="E251" s="4">
        <v>10</v>
      </c>
      <c r="F251" s="4">
        <v>42</v>
      </c>
      <c r="G251" s="4" t="s">
        <v>162</v>
      </c>
      <c r="H251" s="4" t="s">
        <v>14</v>
      </c>
      <c r="I251" s="4">
        <v>2024</v>
      </c>
      <c r="J251" s="4">
        <v>1</v>
      </c>
      <c r="K251" s="4">
        <v>1</v>
      </c>
      <c r="L251" s="4"/>
    </row>
    <row r="252" spans="1:12">
      <c r="A252" s="4" t="s">
        <v>510</v>
      </c>
      <c r="B252" s="4" t="s">
        <v>531</v>
      </c>
      <c r="C252" s="14" t="s">
        <v>532</v>
      </c>
      <c r="D252" s="13">
        <v>1</v>
      </c>
      <c r="E252" s="4">
        <v>11</v>
      </c>
      <c r="F252" s="4">
        <v>42</v>
      </c>
      <c r="G252" s="4" t="s">
        <v>162</v>
      </c>
      <c r="H252" s="4" t="s">
        <v>14</v>
      </c>
      <c r="I252" s="4">
        <v>2024</v>
      </c>
      <c r="J252" s="4">
        <v>1</v>
      </c>
      <c r="K252" s="4">
        <v>1</v>
      </c>
      <c r="L252" s="4"/>
    </row>
    <row r="253" spans="1:12">
      <c r="A253" s="4" t="s">
        <v>510</v>
      </c>
      <c r="B253" s="4" t="s">
        <v>533</v>
      </c>
      <c r="C253" s="9" t="s">
        <v>534</v>
      </c>
      <c r="D253" s="13">
        <v>0</v>
      </c>
      <c r="E253" s="4">
        <v>12</v>
      </c>
      <c r="F253" s="4">
        <v>42</v>
      </c>
      <c r="G253" s="4" t="s">
        <v>162</v>
      </c>
      <c r="H253" s="4" t="s">
        <v>14</v>
      </c>
      <c r="I253" s="4">
        <v>2024</v>
      </c>
      <c r="J253" s="4">
        <v>1</v>
      </c>
      <c r="K253" s="4">
        <v>1</v>
      </c>
      <c r="L253" s="4"/>
    </row>
    <row r="254" spans="1:12">
      <c r="A254" s="4" t="s">
        <v>510</v>
      </c>
      <c r="B254" s="4" t="s">
        <v>535</v>
      </c>
      <c r="C254" s="14" t="s">
        <v>536</v>
      </c>
      <c r="D254" s="13">
        <v>0</v>
      </c>
      <c r="E254" s="4">
        <v>13</v>
      </c>
      <c r="F254" s="4">
        <v>42</v>
      </c>
      <c r="G254" s="4" t="s">
        <v>162</v>
      </c>
      <c r="H254" s="4" t="s">
        <v>14</v>
      </c>
      <c r="I254" s="4">
        <v>2024</v>
      </c>
      <c r="J254" s="4">
        <v>1</v>
      </c>
      <c r="K254" s="4">
        <v>1</v>
      </c>
      <c r="L254" s="4"/>
    </row>
    <row r="255" spans="1:12">
      <c r="A255" s="4" t="s">
        <v>510</v>
      </c>
      <c r="B255" s="4" t="s">
        <v>537</v>
      </c>
      <c r="C255" s="14" t="s">
        <v>538</v>
      </c>
      <c r="D255" s="13">
        <v>0</v>
      </c>
      <c r="E255" s="4">
        <v>14</v>
      </c>
      <c r="F255" s="4">
        <v>42</v>
      </c>
      <c r="G255" s="4" t="s">
        <v>162</v>
      </c>
      <c r="H255" s="4" t="s">
        <v>14</v>
      </c>
      <c r="I255" s="4">
        <v>2024</v>
      </c>
      <c r="J255" s="4">
        <v>1</v>
      </c>
      <c r="K255" s="4">
        <v>1</v>
      </c>
      <c r="L255" s="4"/>
    </row>
    <row r="256" spans="1:12">
      <c r="A256" s="4" t="s">
        <v>510</v>
      </c>
      <c r="B256" s="4" t="s">
        <v>539</v>
      </c>
      <c r="C256" s="14" t="s">
        <v>540</v>
      </c>
      <c r="D256" s="13">
        <v>0</v>
      </c>
      <c r="E256" s="4">
        <v>15</v>
      </c>
      <c r="F256" s="4">
        <v>42</v>
      </c>
      <c r="G256" s="4" t="s">
        <v>162</v>
      </c>
      <c r="H256" s="4" t="s">
        <v>14</v>
      </c>
      <c r="I256" s="4">
        <v>2024</v>
      </c>
      <c r="J256" s="4">
        <v>1</v>
      </c>
      <c r="K256" s="4">
        <v>1</v>
      </c>
      <c r="L256" s="4"/>
    </row>
    <row r="257" spans="1:12">
      <c r="A257" s="4" t="s">
        <v>510</v>
      </c>
      <c r="B257" s="4" t="s">
        <v>541</v>
      </c>
      <c r="C257" s="14" t="s">
        <v>540</v>
      </c>
      <c r="D257" s="13">
        <v>0</v>
      </c>
      <c r="E257" s="4">
        <v>16</v>
      </c>
      <c r="F257" s="4">
        <v>42</v>
      </c>
      <c r="G257" s="4" t="s">
        <v>162</v>
      </c>
      <c r="H257" s="4" t="s">
        <v>14</v>
      </c>
      <c r="I257" s="4">
        <v>2024</v>
      </c>
      <c r="J257" s="4">
        <v>1</v>
      </c>
      <c r="K257" s="4">
        <v>1</v>
      </c>
      <c r="L257" s="4"/>
    </row>
    <row r="258" spans="1:12">
      <c r="A258" s="4" t="s">
        <v>510</v>
      </c>
      <c r="B258" s="4" t="s">
        <v>542</v>
      </c>
      <c r="C258" s="14" t="s">
        <v>543</v>
      </c>
      <c r="D258" s="13">
        <v>0</v>
      </c>
      <c r="E258" s="4">
        <v>17</v>
      </c>
      <c r="F258" s="4">
        <v>42</v>
      </c>
      <c r="G258" s="4" t="s">
        <v>162</v>
      </c>
      <c r="H258" s="4" t="s">
        <v>14</v>
      </c>
      <c r="I258" s="4">
        <v>2024</v>
      </c>
      <c r="J258" s="4">
        <v>1</v>
      </c>
      <c r="K258" s="4">
        <v>1</v>
      </c>
      <c r="L258" s="4"/>
    </row>
    <row r="259" spans="1:12">
      <c r="A259" s="4" t="s">
        <v>510</v>
      </c>
      <c r="B259" s="4" t="s">
        <v>544</v>
      </c>
      <c r="C259" s="14" t="s">
        <v>545</v>
      </c>
      <c r="D259" s="13">
        <v>0</v>
      </c>
      <c r="E259" s="4">
        <v>18</v>
      </c>
      <c r="F259" s="4">
        <v>42</v>
      </c>
      <c r="G259" s="4" t="s">
        <v>162</v>
      </c>
      <c r="H259" s="4" t="s">
        <v>14</v>
      </c>
      <c r="I259" s="4">
        <v>2024</v>
      </c>
      <c r="J259" s="4">
        <v>1</v>
      </c>
      <c r="K259" s="4">
        <v>1</v>
      </c>
      <c r="L259" s="4"/>
    </row>
    <row r="260" spans="1:12">
      <c r="A260" s="4" t="s">
        <v>510</v>
      </c>
      <c r="B260" s="4" t="s">
        <v>546</v>
      </c>
      <c r="C260" s="14" t="s">
        <v>547</v>
      </c>
      <c r="D260" s="13">
        <v>0</v>
      </c>
      <c r="E260" s="4">
        <v>19</v>
      </c>
      <c r="F260" s="4">
        <v>42</v>
      </c>
      <c r="G260" s="4" t="s">
        <v>162</v>
      </c>
      <c r="H260" s="4" t="s">
        <v>14</v>
      </c>
      <c r="I260" s="4">
        <v>2024</v>
      </c>
      <c r="J260" s="4">
        <v>1</v>
      </c>
      <c r="K260" s="4">
        <v>1</v>
      </c>
      <c r="L260" s="4"/>
    </row>
    <row r="261" spans="1:12">
      <c r="A261" s="4" t="s">
        <v>510</v>
      </c>
      <c r="B261" s="4" t="s">
        <v>548</v>
      </c>
      <c r="C261" s="14" t="s">
        <v>549</v>
      </c>
      <c r="D261" s="13">
        <v>0</v>
      </c>
      <c r="E261" s="4">
        <v>20</v>
      </c>
      <c r="F261" s="4">
        <v>42</v>
      </c>
      <c r="G261" s="4" t="s">
        <v>162</v>
      </c>
      <c r="H261" s="4" t="s">
        <v>14</v>
      </c>
      <c r="I261" s="4">
        <v>2024</v>
      </c>
      <c r="J261" s="4">
        <v>1</v>
      </c>
      <c r="K261" s="4">
        <v>1</v>
      </c>
      <c r="L261" s="4"/>
    </row>
    <row r="262" spans="1:12">
      <c r="A262" s="4" t="s">
        <v>510</v>
      </c>
      <c r="B262" s="4" t="s">
        <v>550</v>
      </c>
      <c r="C262" s="14" t="s">
        <v>551</v>
      </c>
      <c r="D262" s="13">
        <v>0</v>
      </c>
      <c r="E262" s="4">
        <v>21</v>
      </c>
      <c r="F262" s="4">
        <v>42</v>
      </c>
      <c r="G262" s="4" t="s">
        <v>162</v>
      </c>
      <c r="H262" s="4" t="s">
        <v>14</v>
      </c>
      <c r="I262" s="4">
        <v>2024</v>
      </c>
      <c r="J262" s="4">
        <v>1</v>
      </c>
      <c r="K262" s="4">
        <v>1</v>
      </c>
      <c r="L262" s="4"/>
    </row>
    <row r="263" spans="1:12">
      <c r="A263" s="4" t="s">
        <v>510</v>
      </c>
      <c r="B263" s="4" t="s">
        <v>552</v>
      </c>
      <c r="C263" s="14" t="s">
        <v>553</v>
      </c>
      <c r="D263" s="13">
        <v>0</v>
      </c>
      <c r="E263" s="4">
        <v>22</v>
      </c>
      <c r="F263" s="4">
        <v>42</v>
      </c>
      <c r="G263" s="4" t="s">
        <v>162</v>
      </c>
      <c r="H263" s="4" t="s">
        <v>14</v>
      </c>
      <c r="I263" s="4">
        <v>2024</v>
      </c>
      <c r="J263" s="4">
        <v>1</v>
      </c>
      <c r="K263" s="4">
        <v>1</v>
      </c>
      <c r="L263" s="4"/>
    </row>
    <row r="264" spans="1:12">
      <c r="A264" s="4" t="s">
        <v>510</v>
      </c>
      <c r="B264" s="4" t="s">
        <v>554</v>
      </c>
      <c r="C264" s="9" t="s">
        <v>555</v>
      </c>
      <c r="D264" s="13">
        <v>0</v>
      </c>
      <c r="E264" s="4">
        <v>23</v>
      </c>
      <c r="F264" s="4">
        <v>42</v>
      </c>
      <c r="G264" s="4" t="s">
        <v>162</v>
      </c>
      <c r="H264" s="4" t="s">
        <v>14</v>
      </c>
      <c r="I264" s="4">
        <v>2024</v>
      </c>
      <c r="J264" s="4">
        <v>1</v>
      </c>
      <c r="K264" s="4">
        <v>1</v>
      </c>
      <c r="L264" s="4"/>
    </row>
    <row r="265" spans="1:12">
      <c r="A265" s="4" t="s">
        <v>510</v>
      </c>
      <c r="B265" s="4" t="s">
        <v>556</v>
      </c>
      <c r="C265" s="14" t="s">
        <v>557</v>
      </c>
      <c r="D265" s="13">
        <v>0</v>
      </c>
      <c r="E265" s="4">
        <v>24</v>
      </c>
      <c r="F265" s="4">
        <v>42</v>
      </c>
      <c r="G265" s="4" t="s">
        <v>162</v>
      </c>
      <c r="H265" s="4" t="s">
        <v>14</v>
      </c>
      <c r="I265" s="4">
        <v>2024</v>
      </c>
      <c r="J265" s="4">
        <v>1</v>
      </c>
      <c r="K265" s="4">
        <v>1</v>
      </c>
      <c r="L265" s="4"/>
    </row>
    <row r="266" spans="1:12">
      <c r="A266" s="4" t="s">
        <v>510</v>
      </c>
      <c r="B266" s="4" t="s">
        <v>558</v>
      </c>
      <c r="C266" s="14" t="s">
        <v>477</v>
      </c>
      <c r="D266" s="13">
        <v>0</v>
      </c>
      <c r="E266" s="4">
        <v>25</v>
      </c>
      <c r="F266" s="4">
        <v>42</v>
      </c>
      <c r="G266" s="4" t="s">
        <v>162</v>
      </c>
      <c r="H266" s="4" t="s">
        <v>14</v>
      </c>
      <c r="I266" s="4">
        <v>2024</v>
      </c>
      <c r="J266" s="4">
        <v>1</v>
      </c>
      <c r="K266" s="4">
        <v>1</v>
      </c>
      <c r="L266" s="4"/>
    </row>
    <row r="267" spans="1:12">
      <c r="A267" s="4" t="s">
        <v>510</v>
      </c>
      <c r="B267" s="4" t="s">
        <v>559</v>
      </c>
      <c r="C267" s="14" t="s">
        <v>560</v>
      </c>
      <c r="D267" s="13">
        <v>0</v>
      </c>
      <c r="E267" s="4">
        <v>26</v>
      </c>
      <c r="F267" s="4">
        <v>42</v>
      </c>
      <c r="G267" s="4" t="s">
        <v>162</v>
      </c>
      <c r="H267" s="4" t="s">
        <v>14</v>
      </c>
      <c r="I267" s="4">
        <v>2024</v>
      </c>
      <c r="J267" s="4">
        <v>1</v>
      </c>
      <c r="K267" s="4">
        <v>1</v>
      </c>
      <c r="L267" s="4"/>
    </row>
    <row r="268" spans="1:12">
      <c r="A268" s="4" t="s">
        <v>510</v>
      </c>
      <c r="B268" s="4" t="s">
        <v>561</v>
      </c>
      <c r="C268" s="14" t="s">
        <v>562</v>
      </c>
      <c r="D268" s="13">
        <v>0</v>
      </c>
      <c r="E268" s="4">
        <v>27</v>
      </c>
      <c r="F268" s="4">
        <v>42</v>
      </c>
      <c r="G268" s="4" t="s">
        <v>162</v>
      </c>
      <c r="H268" s="4" t="s">
        <v>14</v>
      </c>
      <c r="I268" s="4">
        <v>2024</v>
      </c>
      <c r="J268" s="4">
        <v>1</v>
      </c>
      <c r="K268" s="4">
        <v>1</v>
      </c>
      <c r="L268" s="4"/>
    </row>
    <row r="269" spans="1:12">
      <c r="A269" s="4" t="s">
        <v>510</v>
      </c>
      <c r="B269" s="4" t="s">
        <v>563</v>
      </c>
      <c r="C269" s="14" t="s">
        <v>481</v>
      </c>
      <c r="D269" s="13">
        <v>0</v>
      </c>
      <c r="E269" s="4">
        <v>28</v>
      </c>
      <c r="F269" s="4">
        <v>42</v>
      </c>
      <c r="G269" s="4" t="s">
        <v>162</v>
      </c>
      <c r="H269" s="4" t="s">
        <v>14</v>
      </c>
      <c r="I269" s="4">
        <v>2024</v>
      </c>
      <c r="J269" s="4">
        <v>1</v>
      </c>
      <c r="K269" s="4">
        <v>1</v>
      </c>
      <c r="L269" s="4"/>
    </row>
    <row r="270" spans="1:12">
      <c r="A270" s="4" t="s">
        <v>510</v>
      </c>
      <c r="B270" s="4" t="s">
        <v>564</v>
      </c>
      <c r="C270" s="14" t="s">
        <v>565</v>
      </c>
      <c r="D270" s="13">
        <v>1</v>
      </c>
      <c r="E270" s="4">
        <v>29</v>
      </c>
      <c r="F270" s="4">
        <v>42</v>
      </c>
      <c r="G270" s="4" t="s">
        <v>162</v>
      </c>
      <c r="H270" s="4" t="s">
        <v>14</v>
      </c>
      <c r="I270" s="4">
        <v>2024</v>
      </c>
      <c r="J270" s="4">
        <v>1</v>
      </c>
      <c r="K270" s="4">
        <v>1</v>
      </c>
      <c r="L270" s="4"/>
    </row>
    <row r="271" spans="1:12">
      <c r="A271" s="4" t="s">
        <v>510</v>
      </c>
      <c r="B271" s="4" t="s">
        <v>566</v>
      </c>
      <c r="C271" s="14" t="s">
        <v>567</v>
      </c>
      <c r="D271" s="13">
        <v>1</v>
      </c>
      <c r="E271" s="4">
        <v>30</v>
      </c>
      <c r="F271" s="4">
        <v>42</v>
      </c>
      <c r="G271" s="4" t="s">
        <v>162</v>
      </c>
      <c r="H271" s="4" t="s">
        <v>14</v>
      </c>
      <c r="I271" s="4">
        <v>2024</v>
      </c>
      <c r="J271" s="4">
        <v>1</v>
      </c>
      <c r="K271" s="4">
        <v>1</v>
      </c>
      <c r="L271" s="4"/>
    </row>
    <row r="272" spans="1:12">
      <c r="A272" s="4" t="s">
        <v>510</v>
      </c>
      <c r="B272" s="4" t="s">
        <v>568</v>
      </c>
      <c r="C272" s="14" t="s">
        <v>569</v>
      </c>
      <c r="D272" s="13">
        <v>0</v>
      </c>
      <c r="E272" s="4">
        <v>31</v>
      </c>
      <c r="F272" s="4">
        <v>42</v>
      </c>
      <c r="G272" s="4" t="s">
        <v>162</v>
      </c>
      <c r="H272" s="4" t="s">
        <v>14</v>
      </c>
      <c r="I272" s="4">
        <v>2024</v>
      </c>
      <c r="J272" s="4">
        <v>1</v>
      </c>
      <c r="K272" s="4">
        <v>1</v>
      </c>
      <c r="L272" s="4"/>
    </row>
    <row r="273" spans="1:12">
      <c r="A273" s="4" t="s">
        <v>510</v>
      </c>
      <c r="B273" s="4" t="s">
        <v>570</v>
      </c>
      <c r="C273" s="14" t="s">
        <v>495</v>
      </c>
      <c r="D273" s="13">
        <v>0</v>
      </c>
      <c r="E273" s="4">
        <v>32</v>
      </c>
      <c r="F273" s="4">
        <v>42</v>
      </c>
      <c r="G273" s="4" t="s">
        <v>162</v>
      </c>
      <c r="H273" s="4" t="s">
        <v>14</v>
      </c>
      <c r="I273" s="4">
        <v>2024</v>
      </c>
      <c r="J273" s="4">
        <v>1</v>
      </c>
      <c r="K273" s="4">
        <v>1</v>
      </c>
      <c r="L273" s="4"/>
    </row>
    <row r="274" spans="1:12">
      <c r="A274" s="4" t="s">
        <v>510</v>
      </c>
      <c r="B274" s="4" t="s">
        <v>571</v>
      </c>
      <c r="C274" s="14" t="s">
        <v>572</v>
      </c>
      <c r="D274" s="13">
        <v>1</v>
      </c>
      <c r="E274" s="4">
        <v>33</v>
      </c>
      <c r="F274" s="4">
        <v>42</v>
      </c>
      <c r="G274" s="4" t="s">
        <v>162</v>
      </c>
      <c r="H274" s="4" t="s">
        <v>14</v>
      </c>
      <c r="I274" s="4">
        <v>2024</v>
      </c>
      <c r="J274" s="4">
        <v>1</v>
      </c>
      <c r="K274" s="4">
        <v>1</v>
      </c>
      <c r="L274" s="4"/>
    </row>
    <row r="275" spans="1:12">
      <c r="A275" s="4" t="s">
        <v>510</v>
      </c>
      <c r="B275" s="4" t="s">
        <v>573</v>
      </c>
      <c r="C275" s="14" t="s">
        <v>574</v>
      </c>
      <c r="D275" s="13">
        <v>1</v>
      </c>
      <c r="E275" s="4">
        <v>34</v>
      </c>
      <c r="F275" s="4">
        <v>42</v>
      </c>
      <c r="G275" s="4" t="s">
        <v>162</v>
      </c>
      <c r="H275" s="4" t="s">
        <v>14</v>
      </c>
      <c r="I275" s="4">
        <v>2024</v>
      </c>
      <c r="J275" s="4">
        <v>1</v>
      </c>
      <c r="K275" s="4">
        <v>1</v>
      </c>
      <c r="L275" s="4"/>
    </row>
    <row r="276" spans="1:12">
      <c r="A276" s="4" t="s">
        <v>510</v>
      </c>
      <c r="B276" s="4" t="s">
        <v>575</v>
      </c>
      <c r="C276" s="14" t="s">
        <v>501</v>
      </c>
      <c r="D276" s="13">
        <v>1</v>
      </c>
      <c r="E276" s="4">
        <v>35</v>
      </c>
      <c r="F276" s="4">
        <v>42</v>
      </c>
      <c r="G276" s="4" t="s">
        <v>162</v>
      </c>
      <c r="H276" s="4" t="s">
        <v>14</v>
      </c>
      <c r="I276" s="4">
        <v>2024</v>
      </c>
      <c r="J276" s="4">
        <v>1</v>
      </c>
      <c r="K276" s="4">
        <v>1</v>
      </c>
      <c r="L276" s="4"/>
    </row>
    <row r="277" spans="1:12">
      <c r="A277" s="4" t="s">
        <v>510</v>
      </c>
      <c r="B277" s="4" t="s">
        <v>576</v>
      </c>
      <c r="C277" s="14" t="s">
        <v>577</v>
      </c>
      <c r="D277" s="13">
        <v>0</v>
      </c>
      <c r="E277" s="4">
        <v>36</v>
      </c>
      <c r="F277" s="4">
        <v>42</v>
      </c>
      <c r="G277" s="4" t="s">
        <v>162</v>
      </c>
      <c r="H277" s="4" t="s">
        <v>14</v>
      </c>
      <c r="I277" s="4">
        <v>2024</v>
      </c>
      <c r="J277" s="4">
        <v>1</v>
      </c>
      <c r="K277" s="4">
        <v>1</v>
      </c>
      <c r="L277" s="4"/>
    </row>
    <row r="278" spans="1:12">
      <c r="A278" s="4" t="s">
        <v>510</v>
      </c>
      <c r="B278" s="4" t="s">
        <v>578</v>
      </c>
      <c r="C278" s="9" t="s">
        <v>579</v>
      </c>
      <c r="D278" s="13">
        <v>0</v>
      </c>
      <c r="E278" s="4">
        <v>37</v>
      </c>
      <c r="F278" s="4">
        <v>42</v>
      </c>
      <c r="G278" s="4" t="s">
        <v>162</v>
      </c>
      <c r="H278" s="4" t="s">
        <v>14</v>
      </c>
      <c r="I278" s="4">
        <v>2024</v>
      </c>
      <c r="J278" s="4">
        <v>1</v>
      </c>
      <c r="K278" s="4">
        <v>1</v>
      </c>
      <c r="L278" s="4"/>
    </row>
    <row r="279" spans="1:12">
      <c r="A279" s="4" t="s">
        <v>510</v>
      </c>
      <c r="B279" s="4" t="s">
        <v>580</v>
      </c>
      <c r="C279" s="14" t="s">
        <v>581</v>
      </c>
      <c r="D279" s="13">
        <v>0</v>
      </c>
      <c r="E279" s="4">
        <v>38</v>
      </c>
      <c r="F279" s="4">
        <v>42</v>
      </c>
      <c r="G279" s="4" t="s">
        <v>162</v>
      </c>
      <c r="H279" s="4" t="s">
        <v>14</v>
      </c>
      <c r="I279" s="4">
        <v>2024</v>
      </c>
      <c r="J279" s="4">
        <v>1</v>
      </c>
      <c r="K279" s="4">
        <v>1</v>
      </c>
      <c r="L279" s="4"/>
    </row>
    <row r="280" spans="1:12">
      <c r="A280" s="4" t="s">
        <v>510</v>
      </c>
      <c r="B280" s="4" t="s">
        <v>582</v>
      </c>
      <c r="C280" s="14" t="s">
        <v>503</v>
      </c>
      <c r="D280" s="13">
        <v>0</v>
      </c>
      <c r="E280" s="4">
        <v>39</v>
      </c>
      <c r="F280" s="4">
        <v>42</v>
      </c>
      <c r="G280" s="4" t="s">
        <v>162</v>
      </c>
      <c r="H280" s="4" t="s">
        <v>14</v>
      </c>
      <c r="I280" s="4">
        <v>2024</v>
      </c>
      <c r="J280" s="4">
        <v>1</v>
      </c>
      <c r="K280" s="4">
        <v>1</v>
      </c>
      <c r="L280" s="4"/>
    </row>
    <row r="281" spans="1:12">
      <c r="A281" s="4" t="s">
        <v>510</v>
      </c>
      <c r="B281" s="4" t="s">
        <v>583</v>
      </c>
      <c r="C281" s="14" t="s">
        <v>584</v>
      </c>
      <c r="D281" s="13">
        <v>0</v>
      </c>
      <c r="E281" s="4">
        <v>40</v>
      </c>
      <c r="F281" s="4">
        <v>42</v>
      </c>
      <c r="G281" s="4" t="s">
        <v>162</v>
      </c>
      <c r="H281" s="4" t="s">
        <v>14</v>
      </c>
      <c r="I281" s="4">
        <v>2024</v>
      </c>
      <c r="J281" s="4">
        <v>1</v>
      </c>
      <c r="K281" s="4">
        <v>1</v>
      </c>
      <c r="L281" s="4"/>
    </row>
    <row r="282" spans="1:12">
      <c r="A282" s="4" t="s">
        <v>510</v>
      </c>
      <c r="B282" s="4" t="s">
        <v>585</v>
      </c>
      <c r="C282" s="14" t="s">
        <v>507</v>
      </c>
      <c r="D282" s="13">
        <v>0</v>
      </c>
      <c r="E282" s="4">
        <v>41</v>
      </c>
      <c r="F282" s="4">
        <v>42</v>
      </c>
      <c r="G282" s="4" t="s">
        <v>162</v>
      </c>
      <c r="H282" s="4" t="s">
        <v>14</v>
      </c>
      <c r="I282" s="4">
        <v>2024</v>
      </c>
      <c r="J282" s="4">
        <v>1</v>
      </c>
      <c r="K282" s="4">
        <v>1</v>
      </c>
      <c r="L282" s="4"/>
    </row>
    <row r="283" spans="1:12">
      <c r="A283" s="4" t="s">
        <v>510</v>
      </c>
      <c r="B283" s="4" t="s">
        <v>586</v>
      </c>
      <c r="C283" s="14" t="s">
        <v>587</v>
      </c>
      <c r="D283" s="13">
        <v>0</v>
      </c>
      <c r="E283" s="4">
        <v>42</v>
      </c>
      <c r="F283" s="4">
        <v>42</v>
      </c>
      <c r="G283" s="4" t="s">
        <v>162</v>
      </c>
      <c r="H283" s="4" t="s">
        <v>14</v>
      </c>
      <c r="I283" s="4">
        <v>2024</v>
      </c>
      <c r="J283" s="4">
        <v>1</v>
      </c>
      <c r="K283" s="4">
        <v>1</v>
      </c>
      <c r="L283" s="4"/>
    </row>
    <row r="284" spans="1:12">
      <c r="A284" s="4" t="s">
        <v>588</v>
      </c>
      <c r="B284" s="4" t="s">
        <v>589</v>
      </c>
      <c r="C284" s="9" t="s">
        <v>590</v>
      </c>
      <c r="D284" s="13">
        <v>0</v>
      </c>
      <c r="E284" s="4">
        <v>1</v>
      </c>
      <c r="F284" s="4">
        <v>46</v>
      </c>
      <c r="G284" s="4" t="s">
        <v>162</v>
      </c>
      <c r="H284" s="4" t="s">
        <v>14</v>
      </c>
      <c r="I284" s="4">
        <v>2025</v>
      </c>
      <c r="J284" s="4">
        <v>1</v>
      </c>
      <c r="K284" s="4">
        <v>1</v>
      </c>
      <c r="L284" s="4"/>
    </row>
    <row r="285" spans="1:12">
      <c r="A285" s="4" t="s">
        <v>588</v>
      </c>
      <c r="B285" s="4" t="s">
        <v>591</v>
      </c>
      <c r="C285" s="14" t="s">
        <v>592</v>
      </c>
      <c r="D285" s="13">
        <v>0</v>
      </c>
      <c r="E285" s="4">
        <v>2</v>
      </c>
      <c r="F285" s="4">
        <v>46</v>
      </c>
      <c r="G285" s="4" t="s">
        <v>162</v>
      </c>
      <c r="H285" s="4" t="s">
        <v>14</v>
      </c>
      <c r="I285" s="4">
        <v>2025</v>
      </c>
      <c r="J285" s="4">
        <v>1</v>
      </c>
      <c r="K285" s="4">
        <v>1</v>
      </c>
      <c r="L285" s="4"/>
    </row>
    <row r="286" spans="1:12">
      <c r="A286" s="4" t="s">
        <v>588</v>
      </c>
      <c r="B286" s="4" t="s">
        <v>593</v>
      </c>
      <c r="C286" s="14" t="s">
        <v>594</v>
      </c>
      <c r="D286" s="13">
        <v>0</v>
      </c>
      <c r="E286" s="4">
        <v>3</v>
      </c>
      <c r="F286" s="4">
        <v>46</v>
      </c>
      <c r="G286" s="4" t="s">
        <v>162</v>
      </c>
      <c r="H286" s="4" t="s">
        <v>14</v>
      </c>
      <c r="I286" s="4">
        <v>2025</v>
      </c>
      <c r="J286" s="4">
        <v>1</v>
      </c>
      <c r="K286" s="4">
        <v>1</v>
      </c>
      <c r="L286" s="4"/>
    </row>
    <row r="287" spans="1:12">
      <c r="A287" s="4" t="s">
        <v>588</v>
      </c>
      <c r="B287" s="4" t="s">
        <v>595</v>
      </c>
      <c r="C287" s="14" t="s">
        <v>596</v>
      </c>
      <c r="D287" s="13">
        <v>0</v>
      </c>
      <c r="E287" s="4">
        <v>4</v>
      </c>
      <c r="F287" s="4">
        <v>46</v>
      </c>
      <c r="G287" s="4" t="s">
        <v>162</v>
      </c>
      <c r="H287" s="4" t="s">
        <v>14</v>
      </c>
      <c r="I287" s="4">
        <v>2025</v>
      </c>
      <c r="J287" s="4">
        <v>1</v>
      </c>
      <c r="K287" s="4">
        <v>1</v>
      </c>
      <c r="L287" s="4"/>
    </row>
    <row r="288" spans="1:12">
      <c r="A288" s="4" t="s">
        <v>588</v>
      </c>
      <c r="B288" s="4" t="s">
        <v>597</v>
      </c>
      <c r="C288" s="14" t="s">
        <v>598</v>
      </c>
      <c r="D288" s="13">
        <v>0</v>
      </c>
      <c r="E288" s="4">
        <v>5</v>
      </c>
      <c r="F288" s="4">
        <v>46</v>
      </c>
      <c r="G288" s="4" t="s">
        <v>162</v>
      </c>
      <c r="H288" s="4" t="s">
        <v>14</v>
      </c>
      <c r="I288" s="4">
        <v>2025</v>
      </c>
      <c r="J288" s="4">
        <v>1</v>
      </c>
      <c r="K288" s="4">
        <v>1</v>
      </c>
      <c r="L288" s="4"/>
    </row>
    <row r="289" spans="1:12">
      <c r="A289" s="4" t="s">
        <v>588</v>
      </c>
      <c r="B289" s="4" t="s">
        <v>599</v>
      </c>
      <c r="C289" s="14" t="s">
        <v>600</v>
      </c>
      <c r="D289" s="13">
        <v>0</v>
      </c>
      <c r="E289" s="4">
        <v>6</v>
      </c>
      <c r="F289" s="4">
        <v>46</v>
      </c>
      <c r="G289" s="4" t="s">
        <v>162</v>
      </c>
      <c r="H289" s="4" t="s">
        <v>14</v>
      </c>
      <c r="I289" s="4">
        <v>2025</v>
      </c>
      <c r="J289" s="4">
        <v>1</v>
      </c>
      <c r="K289" s="4">
        <v>1</v>
      </c>
      <c r="L289" s="4"/>
    </row>
    <row r="290" spans="1:12">
      <c r="A290" s="4" t="s">
        <v>588</v>
      </c>
      <c r="B290" s="4" t="s">
        <v>601</v>
      </c>
      <c r="C290" s="14" t="s">
        <v>602</v>
      </c>
      <c r="D290" s="13">
        <v>0</v>
      </c>
      <c r="E290" s="4">
        <v>7</v>
      </c>
      <c r="F290" s="4">
        <v>46</v>
      </c>
      <c r="G290" s="4" t="s">
        <v>162</v>
      </c>
      <c r="H290" s="4" t="s">
        <v>14</v>
      </c>
      <c r="I290" s="4">
        <v>2025</v>
      </c>
      <c r="J290" s="4">
        <v>1</v>
      </c>
      <c r="K290" s="4">
        <v>1</v>
      </c>
      <c r="L290" s="4"/>
    </row>
    <row r="291" spans="1:12">
      <c r="A291" s="4" t="s">
        <v>588</v>
      </c>
      <c r="B291" s="4" t="s">
        <v>603</v>
      </c>
      <c r="C291" s="14" t="s">
        <v>604</v>
      </c>
      <c r="D291" s="13">
        <v>0</v>
      </c>
      <c r="E291" s="4">
        <v>8</v>
      </c>
      <c r="F291" s="4">
        <v>46</v>
      </c>
      <c r="G291" s="4" t="s">
        <v>162</v>
      </c>
      <c r="H291" s="4" t="s">
        <v>14</v>
      </c>
      <c r="I291" s="4">
        <v>2025</v>
      </c>
      <c r="J291" s="4">
        <v>1</v>
      </c>
      <c r="K291" s="4">
        <v>1</v>
      </c>
      <c r="L291" s="4"/>
    </row>
    <row r="292" spans="1:12">
      <c r="A292" s="4" t="s">
        <v>588</v>
      </c>
      <c r="B292" s="4" t="s">
        <v>605</v>
      </c>
      <c r="C292" s="14" t="s">
        <v>606</v>
      </c>
      <c r="D292" s="13">
        <v>0</v>
      </c>
      <c r="E292" s="4">
        <v>9</v>
      </c>
      <c r="F292" s="4">
        <v>46</v>
      </c>
      <c r="G292" s="4" t="s">
        <v>162</v>
      </c>
      <c r="H292" s="4" t="s">
        <v>14</v>
      </c>
      <c r="I292" s="4">
        <v>2025</v>
      </c>
      <c r="J292" s="4">
        <v>1</v>
      </c>
      <c r="K292" s="4">
        <v>1</v>
      </c>
      <c r="L292" s="4"/>
    </row>
    <row r="293" spans="1:12">
      <c r="A293" s="4" t="s">
        <v>588</v>
      </c>
      <c r="B293" s="4" t="s">
        <v>607</v>
      </c>
      <c r="C293" s="14" t="s">
        <v>608</v>
      </c>
      <c r="D293" s="13">
        <v>0</v>
      </c>
      <c r="E293" s="4">
        <v>10</v>
      </c>
      <c r="F293" s="4">
        <v>46</v>
      </c>
      <c r="G293" s="4" t="s">
        <v>162</v>
      </c>
      <c r="H293" s="4" t="s">
        <v>14</v>
      </c>
      <c r="I293" s="4">
        <v>2025</v>
      </c>
      <c r="J293" s="4">
        <v>1</v>
      </c>
      <c r="K293" s="4">
        <v>1</v>
      </c>
      <c r="L293" s="4"/>
    </row>
    <row r="294" spans="1:12">
      <c r="A294" s="4" t="s">
        <v>588</v>
      </c>
      <c r="B294" s="4" t="s">
        <v>609</v>
      </c>
      <c r="C294" s="14" t="s">
        <v>610</v>
      </c>
      <c r="D294" s="13">
        <v>0</v>
      </c>
      <c r="E294" s="4">
        <v>11</v>
      </c>
      <c r="F294" s="4">
        <v>46</v>
      </c>
      <c r="G294" s="4" t="s">
        <v>162</v>
      </c>
      <c r="H294" s="4" t="s">
        <v>14</v>
      </c>
      <c r="I294" s="4">
        <v>2025</v>
      </c>
      <c r="J294" s="4">
        <v>1</v>
      </c>
      <c r="K294" s="4">
        <v>1</v>
      </c>
      <c r="L294" s="4"/>
    </row>
    <row r="295" spans="1:12">
      <c r="A295" s="4" t="s">
        <v>588</v>
      </c>
      <c r="B295" s="4" t="s">
        <v>611</v>
      </c>
      <c r="C295" s="14" t="s">
        <v>612</v>
      </c>
      <c r="D295" s="13">
        <v>1</v>
      </c>
      <c r="E295" s="4">
        <v>12</v>
      </c>
      <c r="F295" s="4">
        <v>46</v>
      </c>
      <c r="G295" s="4" t="s">
        <v>162</v>
      </c>
      <c r="H295" s="4" t="s">
        <v>14</v>
      </c>
      <c r="I295" s="4">
        <v>2025</v>
      </c>
      <c r="J295" s="4">
        <v>1</v>
      </c>
      <c r="K295" s="4">
        <v>1</v>
      </c>
      <c r="L295" s="4"/>
    </row>
    <row r="296" spans="1:12">
      <c r="A296" s="4" t="s">
        <v>588</v>
      </c>
      <c r="B296" s="4" t="s">
        <v>613</v>
      </c>
      <c r="C296" s="14" t="s">
        <v>614</v>
      </c>
      <c r="D296" s="13">
        <v>0</v>
      </c>
      <c r="E296" s="4">
        <v>13</v>
      </c>
      <c r="F296" s="4">
        <v>46</v>
      </c>
      <c r="G296" s="4" t="s">
        <v>162</v>
      </c>
      <c r="H296" s="4" t="s">
        <v>14</v>
      </c>
      <c r="I296" s="4">
        <v>2025</v>
      </c>
      <c r="J296" s="4">
        <v>1</v>
      </c>
      <c r="K296" s="4">
        <v>1</v>
      </c>
      <c r="L296" s="4"/>
    </row>
    <row r="297" spans="1:12">
      <c r="A297" s="4" t="s">
        <v>588</v>
      </c>
      <c r="B297" s="4" t="s">
        <v>615</v>
      </c>
      <c r="C297" s="14" t="s">
        <v>616</v>
      </c>
      <c r="D297" s="13">
        <v>0</v>
      </c>
      <c r="E297" s="4">
        <v>14</v>
      </c>
      <c r="F297" s="4">
        <v>46</v>
      </c>
      <c r="G297" s="4" t="s">
        <v>162</v>
      </c>
      <c r="H297" s="4" t="s">
        <v>14</v>
      </c>
      <c r="I297" s="4">
        <v>2025</v>
      </c>
      <c r="J297" s="4">
        <v>1</v>
      </c>
      <c r="K297" s="4">
        <v>1</v>
      </c>
      <c r="L297" s="4"/>
    </row>
    <row r="298" spans="1:12">
      <c r="A298" s="4" t="s">
        <v>588</v>
      </c>
      <c r="B298" s="4" t="s">
        <v>617</v>
      </c>
      <c r="C298" s="9" t="s">
        <v>618</v>
      </c>
      <c r="D298" s="13">
        <v>1</v>
      </c>
      <c r="E298" s="4">
        <v>15</v>
      </c>
      <c r="F298" s="4">
        <v>46</v>
      </c>
      <c r="G298" s="4" t="s">
        <v>162</v>
      </c>
      <c r="H298" s="4" t="s">
        <v>14</v>
      </c>
      <c r="I298" s="4">
        <v>2025</v>
      </c>
      <c r="J298" s="4">
        <v>1</v>
      </c>
      <c r="K298" s="4">
        <v>1</v>
      </c>
      <c r="L298" s="4"/>
    </row>
    <row r="299" spans="1:12">
      <c r="A299" s="4" t="s">
        <v>588</v>
      </c>
      <c r="B299" s="4" t="s">
        <v>619</v>
      </c>
      <c r="C299" s="9" t="s">
        <v>620</v>
      </c>
      <c r="D299" s="13">
        <v>0</v>
      </c>
      <c r="E299" s="4">
        <v>16</v>
      </c>
      <c r="F299" s="4">
        <v>46</v>
      </c>
      <c r="G299" s="4" t="s">
        <v>162</v>
      </c>
      <c r="H299" s="4" t="s">
        <v>14</v>
      </c>
      <c r="I299" s="4">
        <v>2025</v>
      </c>
      <c r="J299" s="4">
        <v>1</v>
      </c>
      <c r="K299" s="4">
        <v>1</v>
      </c>
      <c r="L299" s="4"/>
    </row>
    <row r="300" spans="1:12">
      <c r="A300" s="4" t="s">
        <v>588</v>
      </c>
      <c r="B300" s="4" t="s">
        <v>621</v>
      </c>
      <c r="C300" s="9" t="s">
        <v>622</v>
      </c>
      <c r="D300" s="13">
        <v>0</v>
      </c>
      <c r="E300" s="4">
        <v>17</v>
      </c>
      <c r="F300" s="4">
        <v>46</v>
      </c>
      <c r="G300" s="4" t="s">
        <v>162</v>
      </c>
      <c r="H300" s="4" t="s">
        <v>14</v>
      </c>
      <c r="I300" s="4">
        <v>2025</v>
      </c>
      <c r="J300" s="4">
        <v>1</v>
      </c>
      <c r="K300" s="4">
        <v>1</v>
      </c>
      <c r="L300" s="4"/>
    </row>
    <row r="301" spans="1:12">
      <c r="A301" s="4" t="s">
        <v>588</v>
      </c>
      <c r="B301" s="4" t="s">
        <v>623</v>
      </c>
      <c r="C301" s="9" t="s">
        <v>624</v>
      </c>
      <c r="D301" s="13">
        <v>0</v>
      </c>
      <c r="E301" s="4">
        <v>18</v>
      </c>
      <c r="F301" s="4">
        <v>46</v>
      </c>
      <c r="G301" s="4" t="s">
        <v>162</v>
      </c>
      <c r="H301" s="4" t="s">
        <v>14</v>
      </c>
      <c r="I301" s="4">
        <v>2025</v>
      </c>
      <c r="J301" s="4">
        <v>1</v>
      </c>
      <c r="K301" s="4">
        <v>1</v>
      </c>
      <c r="L301" s="4"/>
    </row>
    <row r="302" spans="1:12">
      <c r="A302" s="4" t="s">
        <v>588</v>
      </c>
      <c r="B302" s="4" t="s">
        <v>625</v>
      </c>
      <c r="C302" s="9" t="s">
        <v>626</v>
      </c>
      <c r="D302" s="13">
        <v>0</v>
      </c>
      <c r="E302" s="4">
        <v>19</v>
      </c>
      <c r="F302" s="4">
        <v>46</v>
      </c>
      <c r="G302" s="4" t="s">
        <v>162</v>
      </c>
      <c r="H302" s="4" t="s">
        <v>14</v>
      </c>
      <c r="I302" s="4">
        <v>2025</v>
      </c>
      <c r="J302" s="4">
        <v>1</v>
      </c>
      <c r="K302" s="4">
        <v>1</v>
      </c>
      <c r="L302" s="4"/>
    </row>
    <row r="303" spans="1:12">
      <c r="A303" s="4" t="s">
        <v>588</v>
      </c>
      <c r="B303" s="4" t="s">
        <v>627</v>
      </c>
      <c r="C303" s="9" t="s">
        <v>628</v>
      </c>
      <c r="D303" s="13">
        <v>0</v>
      </c>
      <c r="E303" s="4">
        <v>20</v>
      </c>
      <c r="F303" s="4">
        <v>46</v>
      </c>
      <c r="G303" s="4" t="s">
        <v>162</v>
      </c>
      <c r="H303" s="4" t="s">
        <v>14</v>
      </c>
      <c r="I303" s="4">
        <v>2025</v>
      </c>
      <c r="J303" s="4">
        <v>1</v>
      </c>
      <c r="K303" s="4">
        <v>1</v>
      </c>
      <c r="L303" s="4"/>
    </row>
    <row r="304" spans="1:12">
      <c r="A304" s="4" t="s">
        <v>588</v>
      </c>
      <c r="B304" s="4" t="s">
        <v>629</v>
      </c>
      <c r="C304" s="9" t="s">
        <v>630</v>
      </c>
      <c r="D304" s="13">
        <v>0</v>
      </c>
      <c r="E304" s="4">
        <v>21</v>
      </c>
      <c r="F304" s="4">
        <v>46</v>
      </c>
      <c r="G304" s="4" t="s">
        <v>162</v>
      </c>
      <c r="H304" s="4" t="s">
        <v>14</v>
      </c>
      <c r="I304" s="4">
        <v>2025</v>
      </c>
      <c r="J304" s="4">
        <v>1</v>
      </c>
      <c r="K304" s="4">
        <v>1</v>
      </c>
      <c r="L304" s="4"/>
    </row>
    <row r="305" spans="1:12">
      <c r="A305" s="4" t="s">
        <v>588</v>
      </c>
      <c r="B305" s="4" t="s">
        <v>631</v>
      </c>
      <c r="C305" s="9" t="s">
        <v>632</v>
      </c>
      <c r="D305" s="13">
        <v>0</v>
      </c>
      <c r="E305" s="4">
        <v>22</v>
      </c>
      <c r="F305" s="4">
        <v>46</v>
      </c>
      <c r="G305" s="4" t="s">
        <v>162</v>
      </c>
      <c r="H305" s="4" t="s">
        <v>14</v>
      </c>
      <c r="I305" s="4">
        <v>2025</v>
      </c>
      <c r="J305" s="4">
        <v>1</v>
      </c>
      <c r="K305" s="4">
        <v>1</v>
      </c>
      <c r="L305" s="4"/>
    </row>
    <row r="306" spans="1:12">
      <c r="A306" s="4" t="s">
        <v>588</v>
      </c>
      <c r="B306" s="4" t="s">
        <v>633</v>
      </c>
      <c r="C306" s="9" t="s">
        <v>634</v>
      </c>
      <c r="D306" s="13">
        <v>1</v>
      </c>
      <c r="E306" s="4">
        <v>23</v>
      </c>
      <c r="F306" s="4">
        <v>46</v>
      </c>
      <c r="G306" s="4" t="s">
        <v>162</v>
      </c>
      <c r="H306" s="4" t="s">
        <v>14</v>
      </c>
      <c r="I306" s="4">
        <v>2025</v>
      </c>
      <c r="J306" s="4">
        <v>1</v>
      </c>
      <c r="K306" s="4">
        <v>1</v>
      </c>
      <c r="L306" s="4"/>
    </row>
    <row r="307" spans="1:12">
      <c r="A307" s="4" t="s">
        <v>588</v>
      </c>
      <c r="B307" s="4" t="s">
        <v>635</v>
      </c>
      <c r="C307" s="9" t="s">
        <v>636</v>
      </c>
      <c r="D307" s="13">
        <v>0</v>
      </c>
      <c r="E307" s="4">
        <v>24</v>
      </c>
      <c r="F307" s="4">
        <v>46</v>
      </c>
      <c r="G307" s="4" t="s">
        <v>162</v>
      </c>
      <c r="H307" s="4" t="s">
        <v>14</v>
      </c>
      <c r="I307" s="4">
        <v>2025</v>
      </c>
      <c r="J307" s="4">
        <v>1</v>
      </c>
      <c r="K307" s="4">
        <v>1</v>
      </c>
      <c r="L307" s="4"/>
    </row>
    <row r="308" spans="1:12" ht="238">
      <c r="A308" s="4" t="s">
        <v>588</v>
      </c>
      <c r="B308" s="4" t="s">
        <v>637</v>
      </c>
      <c r="C308" s="16" t="s">
        <v>638</v>
      </c>
      <c r="D308" s="13">
        <v>0</v>
      </c>
      <c r="E308" s="4">
        <v>25</v>
      </c>
      <c r="F308" s="4">
        <v>46</v>
      </c>
      <c r="G308" s="4" t="s">
        <v>162</v>
      </c>
      <c r="H308" s="4" t="s">
        <v>14</v>
      </c>
      <c r="I308" s="4">
        <v>2025</v>
      </c>
      <c r="J308" s="4">
        <v>1</v>
      </c>
      <c r="K308" s="4">
        <v>1</v>
      </c>
      <c r="L308" s="4"/>
    </row>
    <row r="309" spans="1:12">
      <c r="A309" s="4" t="s">
        <v>588</v>
      </c>
      <c r="B309" s="4" t="s">
        <v>639</v>
      </c>
      <c r="C309" s="9" t="s">
        <v>640</v>
      </c>
      <c r="D309" s="13">
        <v>1</v>
      </c>
      <c r="E309" s="4">
        <v>26</v>
      </c>
      <c r="F309" s="4">
        <v>46</v>
      </c>
      <c r="G309" s="4" t="s">
        <v>162</v>
      </c>
      <c r="H309" s="4" t="s">
        <v>14</v>
      </c>
      <c r="I309" s="4">
        <v>2025</v>
      </c>
      <c r="J309" s="4">
        <v>1</v>
      </c>
      <c r="K309" s="4">
        <v>1</v>
      </c>
      <c r="L309" s="4"/>
    </row>
    <row r="310" spans="1:12">
      <c r="A310" s="4" t="s">
        <v>588</v>
      </c>
      <c r="B310" s="4" t="s">
        <v>641</v>
      </c>
      <c r="C310" s="9" t="s">
        <v>642</v>
      </c>
      <c r="D310" s="13">
        <v>0</v>
      </c>
      <c r="E310" s="4">
        <v>27</v>
      </c>
      <c r="F310" s="4">
        <v>46</v>
      </c>
      <c r="G310" s="4" t="s">
        <v>162</v>
      </c>
      <c r="H310" s="4" t="s">
        <v>14</v>
      </c>
      <c r="I310" s="4">
        <v>2025</v>
      </c>
      <c r="J310" s="4">
        <v>1</v>
      </c>
      <c r="K310" s="4">
        <v>1</v>
      </c>
      <c r="L310" s="4"/>
    </row>
    <row r="311" spans="1:12" ht="409.6">
      <c r="A311" s="4" t="s">
        <v>588</v>
      </c>
      <c r="B311" s="4" t="s">
        <v>643</v>
      </c>
      <c r="C311" s="16" t="s">
        <v>644</v>
      </c>
      <c r="D311" s="13">
        <v>0</v>
      </c>
      <c r="E311" s="4">
        <v>28</v>
      </c>
      <c r="F311" s="4">
        <v>46</v>
      </c>
      <c r="G311" s="4" t="s">
        <v>162</v>
      </c>
      <c r="H311" s="4" t="s">
        <v>14</v>
      </c>
      <c r="I311" s="4">
        <v>2025</v>
      </c>
      <c r="J311" s="4">
        <v>1</v>
      </c>
      <c r="K311" s="4">
        <v>1</v>
      </c>
      <c r="L311" s="4"/>
    </row>
    <row r="312" spans="1:12">
      <c r="A312" s="4" t="s">
        <v>588</v>
      </c>
      <c r="B312" s="4" t="s">
        <v>645</v>
      </c>
      <c r="C312" s="9" t="s">
        <v>646</v>
      </c>
      <c r="D312" s="13">
        <v>0</v>
      </c>
      <c r="E312" s="4">
        <v>29</v>
      </c>
      <c r="F312" s="4">
        <v>46</v>
      </c>
      <c r="G312" s="4" t="s">
        <v>162</v>
      </c>
      <c r="H312" s="4" t="s">
        <v>14</v>
      </c>
      <c r="I312" s="4">
        <v>2025</v>
      </c>
      <c r="J312" s="4">
        <v>1</v>
      </c>
      <c r="K312" s="4">
        <v>1</v>
      </c>
      <c r="L312" s="4"/>
    </row>
    <row r="313" spans="1:12">
      <c r="A313" s="4" t="s">
        <v>588</v>
      </c>
      <c r="B313" s="4" t="s">
        <v>647</v>
      </c>
      <c r="C313" s="9" t="s">
        <v>648</v>
      </c>
      <c r="D313" s="13">
        <v>0</v>
      </c>
      <c r="E313" s="4">
        <v>30</v>
      </c>
      <c r="F313" s="4">
        <v>46</v>
      </c>
      <c r="G313" s="4" t="s">
        <v>162</v>
      </c>
      <c r="H313" s="4" t="s">
        <v>14</v>
      </c>
      <c r="I313" s="4">
        <v>2025</v>
      </c>
      <c r="J313" s="4">
        <v>1</v>
      </c>
      <c r="K313" s="4">
        <v>1</v>
      </c>
      <c r="L313" s="4"/>
    </row>
    <row r="314" spans="1:12">
      <c r="A314" s="4" t="s">
        <v>588</v>
      </c>
      <c r="B314" s="4" t="s">
        <v>649</v>
      </c>
      <c r="C314" s="9" t="s">
        <v>650</v>
      </c>
      <c r="D314" s="13">
        <v>0</v>
      </c>
      <c r="E314" s="4">
        <v>31</v>
      </c>
      <c r="F314" s="4">
        <v>46</v>
      </c>
      <c r="G314" s="4" t="s">
        <v>162</v>
      </c>
      <c r="H314" s="4" t="s">
        <v>14</v>
      </c>
      <c r="I314" s="4">
        <v>2025</v>
      </c>
      <c r="J314" s="4">
        <v>1</v>
      </c>
      <c r="K314" s="4">
        <v>1</v>
      </c>
      <c r="L314" s="4"/>
    </row>
    <row r="315" spans="1:12">
      <c r="A315" s="4" t="s">
        <v>588</v>
      </c>
      <c r="B315" s="4" t="s">
        <v>651</v>
      </c>
      <c r="C315" s="9" t="s">
        <v>652</v>
      </c>
      <c r="D315" s="13">
        <v>0</v>
      </c>
      <c r="E315" s="4">
        <v>32</v>
      </c>
      <c r="F315" s="4">
        <v>46</v>
      </c>
      <c r="G315" s="4" t="s">
        <v>162</v>
      </c>
      <c r="H315" s="4" t="s">
        <v>14</v>
      </c>
      <c r="I315" s="4">
        <v>2025</v>
      </c>
      <c r="J315" s="4">
        <v>1</v>
      </c>
      <c r="K315" s="4">
        <v>1</v>
      </c>
      <c r="L315" s="4"/>
    </row>
    <row r="316" spans="1:12">
      <c r="A316" s="4" t="s">
        <v>588</v>
      </c>
      <c r="B316" s="4" t="s">
        <v>653</v>
      </c>
      <c r="C316" s="9" t="s">
        <v>654</v>
      </c>
      <c r="D316" s="13">
        <v>0</v>
      </c>
      <c r="E316" s="4">
        <v>33</v>
      </c>
      <c r="F316" s="4">
        <v>46</v>
      </c>
      <c r="G316" s="4" t="s">
        <v>162</v>
      </c>
      <c r="H316" s="4" t="s">
        <v>14</v>
      </c>
      <c r="I316" s="4">
        <v>2025</v>
      </c>
      <c r="J316" s="4">
        <v>1</v>
      </c>
      <c r="K316" s="4">
        <v>1</v>
      </c>
      <c r="L316" s="4"/>
    </row>
    <row r="317" spans="1:12">
      <c r="A317" s="4" t="s">
        <v>588</v>
      </c>
      <c r="B317" s="4" t="s">
        <v>655</v>
      </c>
      <c r="C317" s="9" t="s">
        <v>656</v>
      </c>
      <c r="D317" s="13">
        <v>0</v>
      </c>
      <c r="E317" s="4">
        <v>34</v>
      </c>
      <c r="F317" s="4">
        <v>46</v>
      </c>
      <c r="G317" s="4" t="s">
        <v>162</v>
      </c>
      <c r="H317" s="4" t="s">
        <v>14</v>
      </c>
      <c r="I317" s="4">
        <v>2025</v>
      </c>
      <c r="J317" s="4">
        <v>1</v>
      </c>
      <c r="K317" s="4">
        <v>1</v>
      </c>
      <c r="L317" s="4"/>
    </row>
    <row r="318" spans="1:12">
      <c r="A318" s="4" t="s">
        <v>588</v>
      </c>
      <c r="B318" s="4" t="s">
        <v>657</v>
      </c>
      <c r="C318" s="9" t="s">
        <v>658</v>
      </c>
      <c r="D318" s="13">
        <v>0</v>
      </c>
      <c r="E318" s="4">
        <v>35</v>
      </c>
      <c r="F318" s="4">
        <v>46</v>
      </c>
      <c r="G318" s="4" t="s">
        <v>162</v>
      </c>
      <c r="H318" s="4" t="s">
        <v>14</v>
      </c>
      <c r="I318" s="4">
        <v>2025</v>
      </c>
      <c r="J318" s="4">
        <v>1</v>
      </c>
      <c r="K318" s="4">
        <v>1</v>
      </c>
      <c r="L318" s="4"/>
    </row>
    <row r="319" spans="1:12">
      <c r="A319" s="4" t="s">
        <v>588</v>
      </c>
      <c r="B319" s="4" t="s">
        <v>659</v>
      </c>
      <c r="C319" s="9" t="s">
        <v>660</v>
      </c>
      <c r="D319" s="13">
        <v>0</v>
      </c>
      <c r="E319" s="4">
        <v>36</v>
      </c>
      <c r="F319" s="4">
        <v>46</v>
      </c>
      <c r="G319" s="4" t="s">
        <v>162</v>
      </c>
      <c r="H319" s="4" t="s">
        <v>14</v>
      </c>
      <c r="I319" s="4">
        <v>2025</v>
      </c>
      <c r="J319" s="4">
        <v>1</v>
      </c>
      <c r="K319" s="4">
        <v>1</v>
      </c>
      <c r="L319" s="4"/>
    </row>
    <row r="320" spans="1:12">
      <c r="A320" s="4" t="s">
        <v>588</v>
      </c>
      <c r="B320" s="4" t="s">
        <v>661</v>
      </c>
      <c r="C320" s="9" t="s">
        <v>662</v>
      </c>
      <c r="D320" s="13">
        <v>0</v>
      </c>
      <c r="E320" s="4">
        <v>37</v>
      </c>
      <c r="F320" s="4">
        <v>46</v>
      </c>
      <c r="G320" s="4" t="s">
        <v>162</v>
      </c>
      <c r="H320" s="4" t="s">
        <v>14</v>
      </c>
      <c r="I320" s="4">
        <v>2025</v>
      </c>
      <c r="J320" s="4">
        <v>1</v>
      </c>
      <c r="K320" s="4">
        <v>1</v>
      </c>
      <c r="L320" s="4"/>
    </row>
    <row r="321" spans="1:12">
      <c r="A321" s="4" t="s">
        <v>588</v>
      </c>
      <c r="B321" s="4" t="s">
        <v>663</v>
      </c>
      <c r="C321" s="9" t="s">
        <v>664</v>
      </c>
      <c r="D321" s="13">
        <v>0</v>
      </c>
      <c r="E321" s="4">
        <v>38</v>
      </c>
      <c r="F321" s="4">
        <v>46</v>
      </c>
      <c r="G321" s="4" t="s">
        <v>162</v>
      </c>
      <c r="H321" s="4" t="s">
        <v>14</v>
      </c>
      <c r="I321" s="4">
        <v>2025</v>
      </c>
      <c r="J321" s="4">
        <v>1</v>
      </c>
      <c r="K321" s="4">
        <v>1</v>
      </c>
      <c r="L321" s="4"/>
    </row>
    <row r="322" spans="1:12">
      <c r="A322" s="4" t="s">
        <v>588</v>
      </c>
      <c r="B322" s="4" t="s">
        <v>665</v>
      </c>
      <c r="C322" s="9" t="s">
        <v>666</v>
      </c>
      <c r="D322" s="13">
        <v>1</v>
      </c>
      <c r="E322" s="4">
        <v>39</v>
      </c>
      <c r="F322" s="4">
        <v>46</v>
      </c>
      <c r="G322" s="4" t="s">
        <v>162</v>
      </c>
      <c r="H322" s="4" t="s">
        <v>14</v>
      </c>
      <c r="I322" s="4">
        <v>2025</v>
      </c>
      <c r="J322" s="4">
        <v>1</v>
      </c>
      <c r="K322" s="4">
        <v>1</v>
      </c>
      <c r="L322" s="4"/>
    </row>
    <row r="323" spans="1:12">
      <c r="A323" s="4" t="s">
        <v>588</v>
      </c>
      <c r="B323" s="4" t="s">
        <v>667</v>
      </c>
      <c r="C323" s="9" t="s">
        <v>679</v>
      </c>
      <c r="D323" s="13">
        <v>0</v>
      </c>
      <c r="E323" s="4">
        <v>40</v>
      </c>
      <c r="F323" s="4">
        <v>46</v>
      </c>
      <c r="G323" s="4" t="s">
        <v>162</v>
      </c>
      <c r="H323" s="4" t="s">
        <v>14</v>
      </c>
      <c r="I323" s="4">
        <v>2025</v>
      </c>
      <c r="J323" s="4">
        <v>1</v>
      </c>
      <c r="K323" s="4">
        <v>1</v>
      </c>
      <c r="L323" s="4"/>
    </row>
    <row r="324" spans="1:12">
      <c r="A324" s="4" t="s">
        <v>588</v>
      </c>
      <c r="B324" s="4" t="s">
        <v>669</v>
      </c>
      <c r="C324" s="9" t="s">
        <v>681</v>
      </c>
      <c r="D324" s="13">
        <v>0</v>
      </c>
      <c r="E324" s="4">
        <v>41</v>
      </c>
      <c r="F324" s="4">
        <v>46</v>
      </c>
      <c r="G324" s="4" t="s">
        <v>162</v>
      </c>
      <c r="H324" s="4" t="s">
        <v>14</v>
      </c>
      <c r="I324" s="4">
        <v>2025</v>
      </c>
      <c r="J324" s="4">
        <v>1</v>
      </c>
      <c r="K324" s="4">
        <v>1</v>
      </c>
      <c r="L324" s="4"/>
    </row>
    <row r="325" spans="1:12">
      <c r="A325" s="4" t="s">
        <v>588</v>
      </c>
      <c r="B325" s="4" t="s">
        <v>671</v>
      </c>
      <c r="C325" s="9" t="s">
        <v>680</v>
      </c>
      <c r="D325" s="13">
        <v>0</v>
      </c>
      <c r="E325" s="4">
        <v>42</v>
      </c>
      <c r="F325" s="4">
        <v>46</v>
      </c>
      <c r="G325" s="4" t="s">
        <v>162</v>
      </c>
      <c r="H325" s="4" t="s">
        <v>14</v>
      </c>
      <c r="I325" s="4">
        <v>2025</v>
      </c>
      <c r="J325" s="4">
        <v>1</v>
      </c>
      <c r="K325" s="4">
        <v>1</v>
      </c>
      <c r="L325" s="4"/>
    </row>
    <row r="326" spans="1:12" ht="409.6">
      <c r="A326" s="4" t="s">
        <v>588</v>
      </c>
      <c r="B326" s="4" t="s">
        <v>673</v>
      </c>
      <c r="C326" s="16" t="s">
        <v>668</v>
      </c>
      <c r="D326" s="13">
        <v>0</v>
      </c>
      <c r="E326" s="4">
        <v>43</v>
      </c>
      <c r="F326" s="4">
        <v>46</v>
      </c>
      <c r="G326" s="4" t="s">
        <v>162</v>
      </c>
      <c r="H326" s="4" t="s">
        <v>14</v>
      </c>
      <c r="I326" s="4">
        <v>2025</v>
      </c>
      <c r="J326" s="4">
        <v>1</v>
      </c>
      <c r="K326" s="4">
        <v>1</v>
      </c>
      <c r="L326" s="4"/>
    </row>
    <row r="327" spans="1:12" ht="409.6">
      <c r="A327" s="4" t="s">
        <v>588</v>
      </c>
      <c r="B327" s="4" t="s">
        <v>676</v>
      </c>
      <c r="C327" s="16" t="s">
        <v>670</v>
      </c>
      <c r="D327" s="13">
        <v>0</v>
      </c>
      <c r="E327" s="4">
        <v>44</v>
      </c>
      <c r="F327" s="4">
        <v>46</v>
      </c>
      <c r="G327" s="4" t="s">
        <v>162</v>
      </c>
      <c r="H327" s="4" t="s">
        <v>14</v>
      </c>
      <c r="I327" s="4">
        <v>2025</v>
      </c>
      <c r="J327" s="4">
        <v>1</v>
      </c>
      <c r="K327" s="4">
        <v>1</v>
      </c>
      <c r="L327" s="4"/>
    </row>
    <row r="328" spans="1:12" ht="409.6">
      <c r="A328" s="4" t="s">
        <v>588</v>
      </c>
      <c r="B328" s="4" t="s">
        <v>677</v>
      </c>
      <c r="C328" s="16" t="s">
        <v>672</v>
      </c>
      <c r="D328" s="13">
        <v>0</v>
      </c>
      <c r="E328" s="4">
        <v>45</v>
      </c>
      <c r="F328" s="4">
        <v>46</v>
      </c>
      <c r="G328" s="4" t="s">
        <v>162</v>
      </c>
      <c r="H328" s="4" t="s">
        <v>14</v>
      </c>
      <c r="I328" s="4">
        <v>2025</v>
      </c>
      <c r="J328" s="4">
        <v>1</v>
      </c>
      <c r="K328" s="4">
        <v>1</v>
      </c>
      <c r="L328" s="4"/>
    </row>
    <row r="329" spans="1:12">
      <c r="A329" s="4" t="s">
        <v>588</v>
      </c>
      <c r="B329" s="4" t="s">
        <v>678</v>
      </c>
      <c r="C329" s="9" t="s">
        <v>674</v>
      </c>
      <c r="D329" s="13">
        <v>0</v>
      </c>
      <c r="E329" s="4">
        <v>46</v>
      </c>
      <c r="F329" s="4">
        <v>46</v>
      </c>
      <c r="G329" s="4" t="s">
        <v>162</v>
      </c>
      <c r="H329" s="4" t="s">
        <v>14</v>
      </c>
      <c r="I329" s="4">
        <v>2025</v>
      </c>
      <c r="J329" s="4">
        <v>1</v>
      </c>
      <c r="K329" s="4">
        <v>1</v>
      </c>
      <c r="L329" s="4"/>
    </row>
    <row r="330" spans="1:12">
      <c r="A330" s="4" t="s">
        <v>683</v>
      </c>
      <c r="B330" s="4" t="s">
        <v>684</v>
      </c>
      <c r="C330" s="9" t="s">
        <v>685</v>
      </c>
      <c r="D330" s="13">
        <v>0</v>
      </c>
      <c r="E330" s="4">
        <v>1</v>
      </c>
      <c r="F330" s="4">
        <v>6</v>
      </c>
      <c r="G330" s="4" t="s">
        <v>696</v>
      </c>
      <c r="H330" s="4" t="s">
        <v>14</v>
      </c>
      <c r="I330" s="4">
        <v>2019</v>
      </c>
      <c r="J330" s="4">
        <v>1</v>
      </c>
      <c r="K330" s="4">
        <v>1</v>
      </c>
    </row>
    <row r="331" spans="1:12">
      <c r="A331" s="4" t="s">
        <v>683</v>
      </c>
      <c r="B331" s="4" t="s">
        <v>686</v>
      </c>
      <c r="C331" s="9" t="s">
        <v>687</v>
      </c>
      <c r="D331" s="13">
        <v>0</v>
      </c>
      <c r="E331" s="4">
        <v>2</v>
      </c>
      <c r="F331" s="4">
        <v>6</v>
      </c>
      <c r="G331" s="4" t="s">
        <v>696</v>
      </c>
      <c r="H331" s="4" t="s">
        <v>14</v>
      </c>
      <c r="I331" s="4">
        <v>2019</v>
      </c>
      <c r="J331" s="4">
        <v>1</v>
      </c>
      <c r="K331" s="4">
        <v>1</v>
      </c>
    </row>
    <row r="332" spans="1:12">
      <c r="A332" s="4" t="s">
        <v>683</v>
      </c>
      <c r="B332" s="4" t="s">
        <v>688</v>
      </c>
      <c r="C332" s="17" t="s">
        <v>689</v>
      </c>
      <c r="D332" s="13">
        <v>0</v>
      </c>
      <c r="E332" s="4">
        <v>3</v>
      </c>
      <c r="F332" s="4">
        <v>6</v>
      </c>
      <c r="G332" s="4" t="s">
        <v>696</v>
      </c>
      <c r="H332" s="4" t="s">
        <v>14</v>
      </c>
      <c r="I332" s="4">
        <v>2019</v>
      </c>
      <c r="J332" s="4">
        <v>1</v>
      </c>
      <c r="K332" s="4">
        <v>1</v>
      </c>
    </row>
    <row r="333" spans="1:12">
      <c r="A333" s="4" t="s">
        <v>683</v>
      </c>
      <c r="B333" s="4" t="s">
        <v>690</v>
      </c>
      <c r="C333" s="9" t="s">
        <v>691</v>
      </c>
      <c r="D333" s="13">
        <v>0</v>
      </c>
      <c r="E333" s="4">
        <v>4</v>
      </c>
      <c r="F333" s="4">
        <v>6</v>
      </c>
      <c r="G333" s="4" t="s">
        <v>696</v>
      </c>
      <c r="H333" s="4" t="s">
        <v>14</v>
      </c>
      <c r="I333" s="4">
        <v>2019</v>
      </c>
      <c r="J333" s="4">
        <v>1</v>
      </c>
      <c r="K333" s="4">
        <v>1</v>
      </c>
    </row>
    <row r="334" spans="1:12">
      <c r="A334" s="4" t="s">
        <v>683</v>
      </c>
      <c r="B334" s="4" t="s">
        <v>692</v>
      </c>
      <c r="C334" s="9" t="s">
        <v>693</v>
      </c>
      <c r="D334" s="13">
        <v>0</v>
      </c>
      <c r="E334" s="4">
        <v>5</v>
      </c>
      <c r="F334" s="4">
        <v>6</v>
      </c>
      <c r="G334" s="4" t="s">
        <v>696</v>
      </c>
      <c r="H334" s="4" t="s">
        <v>14</v>
      </c>
      <c r="I334" s="4">
        <v>2019</v>
      </c>
      <c r="J334" s="4">
        <v>1</v>
      </c>
      <c r="K334" s="4">
        <v>1</v>
      </c>
    </row>
    <row r="335" spans="1:12">
      <c r="A335" s="4" t="s">
        <v>683</v>
      </c>
      <c r="B335" s="4" t="s">
        <v>694</v>
      </c>
      <c r="C335" s="9" t="s">
        <v>695</v>
      </c>
      <c r="D335" s="13">
        <v>0</v>
      </c>
      <c r="E335" s="4">
        <v>6</v>
      </c>
      <c r="F335" s="4">
        <v>6</v>
      </c>
      <c r="G335" s="4" t="s">
        <v>696</v>
      </c>
      <c r="H335" s="4" t="s">
        <v>14</v>
      </c>
      <c r="I335" s="4">
        <v>2019</v>
      </c>
      <c r="J335" s="4">
        <v>1</v>
      </c>
      <c r="K335" s="4">
        <v>1</v>
      </c>
    </row>
    <row r="336" spans="1:12">
      <c r="A336" s="4" t="s">
        <v>697</v>
      </c>
      <c r="B336" s="4" t="s">
        <v>698</v>
      </c>
      <c r="C336" s="9" t="s">
        <v>699</v>
      </c>
      <c r="D336" s="13">
        <v>0</v>
      </c>
      <c r="E336" s="4">
        <v>1</v>
      </c>
      <c r="F336" s="4">
        <v>17</v>
      </c>
      <c r="G336" s="4" t="s">
        <v>696</v>
      </c>
      <c r="H336" s="4" t="s">
        <v>14</v>
      </c>
      <c r="I336" s="4">
        <v>2025</v>
      </c>
      <c r="J336" s="4">
        <v>1</v>
      </c>
      <c r="K336" s="4">
        <v>1</v>
      </c>
    </row>
    <row r="337" spans="1:11">
      <c r="A337" s="4" t="s">
        <v>697</v>
      </c>
      <c r="B337" s="4" t="s">
        <v>700</v>
      </c>
      <c r="C337" s="9" t="s">
        <v>701</v>
      </c>
      <c r="D337" s="13">
        <v>0</v>
      </c>
      <c r="E337" s="4">
        <v>2</v>
      </c>
      <c r="F337" s="4">
        <v>17</v>
      </c>
      <c r="G337" s="4" t="s">
        <v>696</v>
      </c>
      <c r="H337" s="4" t="s">
        <v>14</v>
      </c>
      <c r="I337" s="4">
        <v>2025</v>
      </c>
      <c r="J337" s="4">
        <v>1</v>
      </c>
      <c r="K337" s="4">
        <v>1</v>
      </c>
    </row>
    <row r="338" spans="1:11">
      <c r="A338" s="4" t="s">
        <v>697</v>
      </c>
      <c r="B338" s="4" t="s">
        <v>702</v>
      </c>
      <c r="C338" s="9" t="s">
        <v>703</v>
      </c>
      <c r="D338" s="13">
        <v>0</v>
      </c>
      <c r="E338" s="4">
        <v>3</v>
      </c>
      <c r="F338" s="4">
        <v>17</v>
      </c>
      <c r="G338" s="4" t="s">
        <v>696</v>
      </c>
      <c r="H338" s="4" t="s">
        <v>14</v>
      </c>
      <c r="I338" s="4">
        <v>2025</v>
      </c>
      <c r="J338" s="4">
        <v>1</v>
      </c>
      <c r="K338" s="4">
        <v>1</v>
      </c>
    </row>
    <row r="339" spans="1:11">
      <c r="A339" s="4" t="s">
        <v>697</v>
      </c>
      <c r="B339" s="4" t="s">
        <v>704</v>
      </c>
      <c r="C339" s="9" t="s">
        <v>705</v>
      </c>
      <c r="D339" s="13">
        <v>1</v>
      </c>
      <c r="E339" s="4">
        <v>4</v>
      </c>
      <c r="F339" s="4">
        <v>17</v>
      </c>
      <c r="G339" s="4" t="s">
        <v>696</v>
      </c>
      <c r="H339" s="4" t="s">
        <v>14</v>
      </c>
      <c r="I339" s="4">
        <v>2025</v>
      </c>
      <c r="J339" s="4">
        <v>1</v>
      </c>
      <c r="K339" s="4">
        <v>1</v>
      </c>
    </row>
    <row r="340" spans="1:11" ht="409.6">
      <c r="A340" s="4" t="s">
        <v>697</v>
      </c>
      <c r="B340" s="4" t="s">
        <v>706</v>
      </c>
      <c r="C340" s="16" t="s">
        <v>707</v>
      </c>
      <c r="D340" s="13">
        <v>1</v>
      </c>
      <c r="E340" s="4">
        <v>5</v>
      </c>
      <c r="F340" s="4">
        <v>17</v>
      </c>
      <c r="G340" s="4" t="s">
        <v>696</v>
      </c>
      <c r="H340" s="4" t="s">
        <v>14</v>
      </c>
      <c r="I340" s="4">
        <v>2025</v>
      </c>
      <c r="J340" s="4">
        <v>1</v>
      </c>
      <c r="K340" s="4">
        <v>1</v>
      </c>
    </row>
    <row r="341" spans="1:11">
      <c r="A341" s="4" t="s">
        <v>697</v>
      </c>
      <c r="B341" s="4" t="s">
        <v>708</v>
      </c>
      <c r="C341" s="9" t="s">
        <v>709</v>
      </c>
      <c r="D341" s="13">
        <v>0</v>
      </c>
      <c r="E341" s="4">
        <v>6</v>
      </c>
      <c r="F341" s="4">
        <v>17</v>
      </c>
      <c r="G341" s="4" t="s">
        <v>696</v>
      </c>
      <c r="H341" s="4" t="s">
        <v>14</v>
      </c>
      <c r="I341" s="4">
        <v>2025</v>
      </c>
      <c r="J341" s="4">
        <v>1</v>
      </c>
      <c r="K341" s="4">
        <v>1</v>
      </c>
    </row>
    <row r="342" spans="1:11">
      <c r="A342" s="4" t="s">
        <v>697</v>
      </c>
      <c r="B342" s="4" t="s">
        <v>710</v>
      </c>
      <c r="C342" s="9" t="s">
        <v>711</v>
      </c>
      <c r="D342" s="13">
        <v>1</v>
      </c>
      <c r="E342" s="4">
        <v>7</v>
      </c>
      <c r="F342" s="4">
        <v>17</v>
      </c>
      <c r="G342" s="4" t="s">
        <v>696</v>
      </c>
      <c r="H342" s="4" t="s">
        <v>14</v>
      </c>
      <c r="I342" s="4">
        <v>2025</v>
      </c>
      <c r="J342" s="4">
        <v>1</v>
      </c>
      <c r="K342" s="4">
        <v>1</v>
      </c>
    </row>
    <row r="343" spans="1:11">
      <c r="A343" s="4" t="s">
        <v>697</v>
      </c>
      <c r="B343" s="4" t="s">
        <v>712</v>
      </c>
      <c r="C343" s="9" t="s">
        <v>713</v>
      </c>
      <c r="D343" s="13">
        <v>1</v>
      </c>
      <c r="E343" s="4">
        <v>8</v>
      </c>
      <c r="F343" s="4">
        <v>17</v>
      </c>
      <c r="G343" s="4" t="s">
        <v>696</v>
      </c>
      <c r="H343" s="4" t="s">
        <v>14</v>
      </c>
      <c r="I343" s="4">
        <v>2025</v>
      </c>
      <c r="J343" s="4">
        <v>1</v>
      </c>
      <c r="K343" s="4">
        <v>1</v>
      </c>
    </row>
    <row r="344" spans="1:11">
      <c r="A344" s="4" t="s">
        <v>697</v>
      </c>
      <c r="B344" s="4" t="s">
        <v>714</v>
      </c>
      <c r="C344" s="9" t="s">
        <v>715</v>
      </c>
      <c r="D344" s="13">
        <v>0</v>
      </c>
      <c r="E344" s="4">
        <v>9</v>
      </c>
      <c r="F344" s="4">
        <v>17</v>
      </c>
      <c r="G344" s="4" t="s">
        <v>696</v>
      </c>
      <c r="H344" s="4" t="s">
        <v>14</v>
      </c>
      <c r="I344" s="4">
        <v>2025</v>
      </c>
      <c r="J344" s="4">
        <v>1</v>
      </c>
      <c r="K344" s="4">
        <v>1</v>
      </c>
    </row>
    <row r="345" spans="1:11">
      <c r="A345" s="4" t="s">
        <v>697</v>
      </c>
      <c r="B345" s="4" t="s">
        <v>716</v>
      </c>
      <c r="C345" s="9" t="s">
        <v>717</v>
      </c>
      <c r="D345" s="13">
        <v>0</v>
      </c>
      <c r="E345" s="4">
        <v>10</v>
      </c>
      <c r="F345" s="4">
        <v>17</v>
      </c>
      <c r="G345" s="4" t="s">
        <v>696</v>
      </c>
      <c r="H345" s="4" t="s">
        <v>14</v>
      </c>
      <c r="I345" s="4">
        <v>2025</v>
      </c>
      <c r="J345" s="4">
        <v>1</v>
      </c>
      <c r="K345" s="4">
        <v>1</v>
      </c>
    </row>
    <row r="346" spans="1:11">
      <c r="A346" s="4" t="s">
        <v>697</v>
      </c>
      <c r="B346" s="4" t="s">
        <v>718</v>
      </c>
      <c r="C346" s="9" t="s">
        <v>719</v>
      </c>
      <c r="D346" s="13">
        <v>0</v>
      </c>
      <c r="E346" s="4">
        <v>11</v>
      </c>
      <c r="F346" s="4">
        <v>17</v>
      </c>
      <c r="G346" s="4" t="s">
        <v>696</v>
      </c>
      <c r="H346" s="4" t="s">
        <v>14</v>
      </c>
      <c r="I346" s="4">
        <v>2025</v>
      </c>
      <c r="J346" s="4">
        <v>1</v>
      </c>
      <c r="K346" s="4">
        <v>1</v>
      </c>
    </row>
    <row r="347" spans="1:11">
      <c r="A347" s="4" t="s">
        <v>697</v>
      </c>
      <c r="B347" s="4" t="s">
        <v>720</v>
      </c>
      <c r="C347" s="9" t="s">
        <v>721</v>
      </c>
      <c r="D347" s="13">
        <v>1</v>
      </c>
      <c r="E347" s="4">
        <v>12</v>
      </c>
      <c r="F347" s="4">
        <v>17</v>
      </c>
      <c r="G347" s="4" t="s">
        <v>696</v>
      </c>
      <c r="H347" s="4" t="s">
        <v>14</v>
      </c>
      <c r="I347" s="4">
        <v>2025</v>
      </c>
      <c r="J347" s="4">
        <v>1</v>
      </c>
      <c r="K347" s="4">
        <v>1</v>
      </c>
    </row>
    <row r="348" spans="1:11">
      <c r="A348" s="4" t="s">
        <v>697</v>
      </c>
      <c r="B348" s="4" t="s">
        <v>722</v>
      </c>
      <c r="C348" s="9" t="s">
        <v>723</v>
      </c>
      <c r="D348" s="13">
        <v>1</v>
      </c>
      <c r="E348" s="4">
        <v>13</v>
      </c>
      <c r="F348" s="4">
        <v>17</v>
      </c>
      <c r="G348" s="4" t="s">
        <v>696</v>
      </c>
      <c r="H348" s="4" t="s">
        <v>14</v>
      </c>
      <c r="I348" s="4">
        <v>2025</v>
      </c>
      <c r="J348" s="4">
        <v>1</v>
      </c>
      <c r="K348" s="4">
        <v>1</v>
      </c>
    </row>
    <row r="349" spans="1:11">
      <c r="A349" s="4" t="s">
        <v>697</v>
      </c>
      <c r="B349" s="4" t="s">
        <v>724</v>
      </c>
      <c r="C349" s="9" t="s">
        <v>725</v>
      </c>
      <c r="D349" s="13">
        <v>0</v>
      </c>
      <c r="E349" s="4">
        <v>14</v>
      </c>
      <c r="F349" s="4">
        <v>17</v>
      </c>
      <c r="G349" s="4" t="s">
        <v>696</v>
      </c>
      <c r="H349" s="4" t="s">
        <v>14</v>
      </c>
      <c r="I349" s="4">
        <v>2025</v>
      </c>
      <c r="J349" s="4">
        <v>1</v>
      </c>
      <c r="K349" s="4">
        <v>1</v>
      </c>
    </row>
    <row r="350" spans="1:11">
      <c r="A350" s="4" t="s">
        <v>697</v>
      </c>
      <c r="B350" s="4" t="s">
        <v>726</v>
      </c>
      <c r="C350" s="9" t="s">
        <v>727</v>
      </c>
      <c r="D350" s="13">
        <v>0</v>
      </c>
      <c r="E350" s="4">
        <v>15</v>
      </c>
      <c r="F350" s="4">
        <v>17</v>
      </c>
      <c r="G350" s="4" t="s">
        <v>696</v>
      </c>
      <c r="H350" s="4" t="s">
        <v>14</v>
      </c>
      <c r="I350" s="4">
        <v>2025</v>
      </c>
      <c r="J350" s="4">
        <v>1</v>
      </c>
      <c r="K350" s="4">
        <v>1</v>
      </c>
    </row>
    <row r="351" spans="1:11">
      <c r="A351" s="4" t="s">
        <v>697</v>
      </c>
      <c r="B351" s="4" t="s">
        <v>728</v>
      </c>
      <c r="C351" s="9" t="s">
        <v>729</v>
      </c>
      <c r="D351" s="13">
        <v>0</v>
      </c>
      <c r="E351" s="4">
        <v>16</v>
      </c>
      <c r="F351" s="4">
        <v>17</v>
      </c>
      <c r="G351" s="4" t="s">
        <v>696</v>
      </c>
      <c r="H351" s="4" t="s">
        <v>14</v>
      </c>
      <c r="I351" s="4">
        <v>2025</v>
      </c>
      <c r="J351" s="4">
        <v>1</v>
      </c>
      <c r="K351" s="4">
        <v>1</v>
      </c>
    </row>
    <row r="352" spans="1:11">
      <c r="A352" s="4" t="s">
        <v>697</v>
      </c>
      <c r="B352" s="4" t="s">
        <v>730</v>
      </c>
      <c r="C352" s="9" t="s">
        <v>731</v>
      </c>
      <c r="D352" s="13">
        <v>0</v>
      </c>
      <c r="E352" s="4">
        <v>17</v>
      </c>
      <c r="F352" s="4">
        <v>17</v>
      </c>
      <c r="G352" s="4" t="s">
        <v>696</v>
      </c>
      <c r="H352" s="4" t="s">
        <v>14</v>
      </c>
      <c r="I352" s="4">
        <v>2025</v>
      </c>
      <c r="J352" s="4">
        <v>1</v>
      </c>
      <c r="K352" s="4">
        <v>1</v>
      </c>
    </row>
    <row r="353" spans="1:11">
      <c r="A353" s="4" t="s">
        <v>682</v>
      </c>
      <c r="B353" s="4" t="s">
        <v>732</v>
      </c>
      <c r="C353" s="9" t="s">
        <v>733</v>
      </c>
      <c r="D353" s="13">
        <v>0</v>
      </c>
      <c r="E353" s="4">
        <v>1</v>
      </c>
      <c r="F353" s="4">
        <v>7</v>
      </c>
      <c r="G353" s="4" t="s">
        <v>746</v>
      </c>
      <c r="H353" s="4" t="s">
        <v>14</v>
      </c>
      <c r="I353" s="4">
        <v>2019</v>
      </c>
      <c r="J353" s="4">
        <v>1</v>
      </c>
      <c r="K353" s="4">
        <v>1</v>
      </c>
    </row>
    <row r="354" spans="1:11">
      <c r="A354" s="4" t="s">
        <v>682</v>
      </c>
      <c r="B354" s="4" t="s">
        <v>734</v>
      </c>
      <c r="C354" s="9" t="s">
        <v>735</v>
      </c>
      <c r="D354" s="13">
        <v>0</v>
      </c>
      <c r="E354" s="4">
        <v>2</v>
      </c>
      <c r="F354" s="4">
        <v>7</v>
      </c>
      <c r="G354" s="4" t="s">
        <v>746</v>
      </c>
      <c r="H354" s="4" t="s">
        <v>14</v>
      </c>
      <c r="I354" s="4">
        <v>2019</v>
      </c>
      <c r="J354" s="4">
        <v>1</v>
      </c>
      <c r="K354" s="4">
        <v>1</v>
      </c>
    </row>
    <row r="355" spans="1:11">
      <c r="A355" s="4" t="s">
        <v>682</v>
      </c>
      <c r="B355" s="4" t="s">
        <v>736</v>
      </c>
      <c r="C355" s="9" t="s">
        <v>737</v>
      </c>
      <c r="D355" s="13">
        <v>0</v>
      </c>
      <c r="E355" s="4">
        <v>3</v>
      </c>
      <c r="F355" s="4">
        <v>7</v>
      </c>
      <c r="G355" s="4" t="s">
        <v>746</v>
      </c>
      <c r="H355" s="4" t="s">
        <v>14</v>
      </c>
      <c r="I355" s="4">
        <v>2019</v>
      </c>
      <c r="J355" s="4">
        <v>1</v>
      </c>
      <c r="K355" s="4">
        <v>1</v>
      </c>
    </row>
    <row r="356" spans="1:11">
      <c r="A356" s="4" t="s">
        <v>682</v>
      </c>
      <c r="B356" s="4" t="s">
        <v>738</v>
      </c>
      <c r="C356" s="9" t="s">
        <v>739</v>
      </c>
      <c r="D356" s="13">
        <v>0</v>
      </c>
      <c r="E356" s="4">
        <v>4</v>
      </c>
      <c r="F356" s="4">
        <v>7</v>
      </c>
      <c r="G356" s="4" t="s">
        <v>746</v>
      </c>
      <c r="H356" s="4" t="s">
        <v>14</v>
      </c>
      <c r="I356" s="4">
        <v>2019</v>
      </c>
      <c r="J356" s="4">
        <v>1</v>
      </c>
      <c r="K356" s="4">
        <v>1</v>
      </c>
    </row>
    <row r="357" spans="1:11">
      <c r="A357" s="4" t="s">
        <v>682</v>
      </c>
      <c r="B357" s="4" t="s">
        <v>740</v>
      </c>
      <c r="C357" s="9" t="s">
        <v>741</v>
      </c>
      <c r="D357" s="13">
        <v>0</v>
      </c>
      <c r="E357" s="4">
        <v>5</v>
      </c>
      <c r="F357" s="4">
        <v>7</v>
      </c>
      <c r="G357" s="4" t="s">
        <v>746</v>
      </c>
      <c r="H357" s="4" t="s">
        <v>14</v>
      </c>
      <c r="I357" s="4">
        <v>2019</v>
      </c>
      <c r="J357" s="4">
        <v>1</v>
      </c>
      <c r="K357" s="4">
        <v>1</v>
      </c>
    </row>
    <row r="358" spans="1:11">
      <c r="A358" s="4" t="s">
        <v>682</v>
      </c>
      <c r="B358" s="4" t="s">
        <v>742</v>
      </c>
      <c r="C358" s="9" t="s">
        <v>743</v>
      </c>
      <c r="D358" s="13">
        <v>0</v>
      </c>
      <c r="E358" s="4">
        <v>6</v>
      </c>
      <c r="F358" s="4">
        <v>7</v>
      </c>
      <c r="G358" s="4" t="s">
        <v>746</v>
      </c>
      <c r="H358" s="4" t="s">
        <v>14</v>
      </c>
      <c r="I358" s="4">
        <v>2019</v>
      </c>
      <c r="J358" s="4">
        <v>1</v>
      </c>
      <c r="K358" s="4">
        <v>1</v>
      </c>
    </row>
    <row r="359" spans="1:11">
      <c r="A359" s="4" t="s">
        <v>682</v>
      </c>
      <c r="B359" s="4" t="s">
        <v>744</v>
      </c>
      <c r="C359" s="9" t="s">
        <v>745</v>
      </c>
      <c r="D359" s="13">
        <v>0</v>
      </c>
      <c r="E359" s="4">
        <v>7</v>
      </c>
      <c r="F359" s="4">
        <v>7</v>
      </c>
      <c r="G359" s="4" t="s">
        <v>746</v>
      </c>
      <c r="H359" s="4" t="s">
        <v>14</v>
      </c>
      <c r="I359" s="4">
        <v>2019</v>
      </c>
      <c r="J359" s="4">
        <v>1</v>
      </c>
      <c r="K359" s="4">
        <v>1</v>
      </c>
    </row>
    <row r="360" spans="1:11">
      <c r="A360" s="4" t="s">
        <v>747</v>
      </c>
      <c r="B360" s="4" t="s">
        <v>748</v>
      </c>
      <c r="C360" s="9" t="s">
        <v>749</v>
      </c>
      <c r="D360" s="13">
        <v>0</v>
      </c>
      <c r="E360" s="4">
        <v>1</v>
      </c>
      <c r="F360" s="4">
        <v>5</v>
      </c>
      <c r="G360" s="4" t="s">
        <v>746</v>
      </c>
      <c r="H360" s="4" t="s">
        <v>14</v>
      </c>
      <c r="I360" s="4">
        <v>2020</v>
      </c>
      <c r="J360" s="4">
        <v>1</v>
      </c>
      <c r="K360" s="4">
        <v>1</v>
      </c>
    </row>
    <row r="361" spans="1:11">
      <c r="A361" s="4" t="s">
        <v>747</v>
      </c>
      <c r="B361" s="4" t="s">
        <v>750</v>
      </c>
      <c r="C361" s="9" t="s">
        <v>751</v>
      </c>
      <c r="D361" s="13">
        <v>0</v>
      </c>
      <c r="E361" s="4">
        <v>2</v>
      </c>
      <c r="F361" s="4">
        <v>5</v>
      </c>
      <c r="G361" s="4" t="s">
        <v>746</v>
      </c>
      <c r="H361" s="4" t="s">
        <v>14</v>
      </c>
      <c r="I361" s="4">
        <v>2020</v>
      </c>
      <c r="J361" s="4">
        <v>1</v>
      </c>
      <c r="K361" s="4">
        <v>1</v>
      </c>
    </row>
    <row r="362" spans="1:11">
      <c r="A362" s="4" t="s">
        <v>747</v>
      </c>
      <c r="B362" s="4" t="s">
        <v>752</v>
      </c>
      <c r="C362" s="9" t="s">
        <v>753</v>
      </c>
      <c r="D362" s="13">
        <v>0</v>
      </c>
      <c r="E362" s="4">
        <v>3</v>
      </c>
      <c r="F362" s="4">
        <v>5</v>
      </c>
      <c r="G362" s="4" t="s">
        <v>746</v>
      </c>
      <c r="H362" s="4" t="s">
        <v>14</v>
      </c>
      <c r="I362" s="4">
        <v>2020</v>
      </c>
      <c r="J362" s="4">
        <v>1</v>
      </c>
      <c r="K362" s="4">
        <v>1</v>
      </c>
    </row>
    <row r="363" spans="1:11">
      <c r="A363" s="4" t="s">
        <v>747</v>
      </c>
      <c r="B363" s="4" t="s">
        <v>754</v>
      </c>
      <c r="C363" s="9" t="s">
        <v>755</v>
      </c>
      <c r="D363" s="13">
        <v>0</v>
      </c>
      <c r="E363" s="4">
        <v>4</v>
      </c>
      <c r="F363" s="4">
        <v>5</v>
      </c>
      <c r="G363" s="4" t="s">
        <v>746</v>
      </c>
      <c r="H363" s="4" t="s">
        <v>14</v>
      </c>
      <c r="I363" s="4">
        <v>2020</v>
      </c>
      <c r="J363" s="4">
        <v>1</v>
      </c>
      <c r="K363" s="4">
        <v>1</v>
      </c>
    </row>
    <row r="364" spans="1:11">
      <c r="A364" s="4" t="s">
        <v>747</v>
      </c>
      <c r="B364" s="4" t="s">
        <v>756</v>
      </c>
      <c r="C364" s="9" t="s">
        <v>757</v>
      </c>
      <c r="D364" s="13">
        <v>0</v>
      </c>
      <c r="E364" s="4">
        <v>5</v>
      </c>
      <c r="F364" s="4">
        <v>5</v>
      </c>
      <c r="G364" s="4" t="s">
        <v>746</v>
      </c>
      <c r="H364" s="4" t="s">
        <v>14</v>
      </c>
      <c r="I364" s="4">
        <v>2020</v>
      </c>
      <c r="J364" s="4">
        <v>1</v>
      </c>
      <c r="K364" s="4">
        <v>1</v>
      </c>
    </row>
    <row r="365" spans="1:11">
      <c r="A365" s="4" t="s">
        <v>758</v>
      </c>
      <c r="B365" s="4" t="s">
        <v>759</v>
      </c>
      <c r="C365" s="9" t="s">
        <v>760</v>
      </c>
      <c r="D365" s="13">
        <v>0</v>
      </c>
      <c r="E365" s="4">
        <v>1</v>
      </c>
      <c r="F365" s="4">
        <v>4</v>
      </c>
      <c r="G365" s="4" t="s">
        <v>746</v>
      </c>
      <c r="H365" s="4" t="s">
        <v>14</v>
      </c>
      <c r="I365" s="4">
        <v>2021</v>
      </c>
      <c r="J365" s="4">
        <v>1</v>
      </c>
      <c r="K365" s="4">
        <v>1</v>
      </c>
    </row>
    <row r="366" spans="1:11">
      <c r="A366" s="4" t="s">
        <v>758</v>
      </c>
      <c r="B366" s="4" t="s">
        <v>761</v>
      </c>
      <c r="C366" s="9" t="s">
        <v>762</v>
      </c>
      <c r="D366" s="13">
        <v>0</v>
      </c>
      <c r="E366" s="4">
        <v>2</v>
      </c>
      <c r="F366" s="4">
        <v>4</v>
      </c>
      <c r="G366" s="4" t="s">
        <v>746</v>
      </c>
      <c r="H366" s="4" t="s">
        <v>14</v>
      </c>
      <c r="I366" s="4">
        <v>2021</v>
      </c>
      <c r="J366" s="4">
        <v>1</v>
      </c>
      <c r="K366" s="4">
        <v>1</v>
      </c>
    </row>
    <row r="367" spans="1:11">
      <c r="A367" s="4" t="s">
        <v>758</v>
      </c>
      <c r="B367" s="4" t="s">
        <v>763</v>
      </c>
      <c r="C367" s="9" t="s">
        <v>764</v>
      </c>
      <c r="D367" s="13">
        <v>0</v>
      </c>
      <c r="E367" s="4">
        <v>3</v>
      </c>
      <c r="F367" s="4">
        <v>4</v>
      </c>
      <c r="G367" s="4" t="s">
        <v>746</v>
      </c>
      <c r="H367" s="4" t="s">
        <v>14</v>
      </c>
      <c r="I367" s="4">
        <v>2021</v>
      </c>
      <c r="J367" s="4">
        <v>1</v>
      </c>
      <c r="K367" s="4">
        <v>1</v>
      </c>
    </row>
    <row r="368" spans="1:11">
      <c r="A368" s="4" t="s">
        <v>758</v>
      </c>
      <c r="B368" s="4" t="s">
        <v>765</v>
      </c>
      <c r="C368" s="9" t="s">
        <v>766</v>
      </c>
      <c r="D368" s="13">
        <v>0</v>
      </c>
      <c r="E368" s="4">
        <v>4</v>
      </c>
      <c r="F368" s="4">
        <v>4</v>
      </c>
      <c r="G368" s="4" t="s">
        <v>746</v>
      </c>
      <c r="H368" s="4" t="s">
        <v>14</v>
      </c>
      <c r="I368" s="4">
        <v>2021</v>
      </c>
      <c r="J368" s="4">
        <v>1</v>
      </c>
      <c r="K368" s="4">
        <v>1</v>
      </c>
    </row>
    <row r="369" spans="1:11">
      <c r="A369" s="4" t="s">
        <v>767</v>
      </c>
      <c r="B369" s="4" t="s">
        <v>768</v>
      </c>
      <c r="C369" s="9" t="s">
        <v>769</v>
      </c>
      <c r="D369" s="13">
        <v>0</v>
      </c>
      <c r="E369" s="4">
        <v>1</v>
      </c>
      <c r="F369" s="4">
        <v>4</v>
      </c>
      <c r="G369" s="4" t="s">
        <v>746</v>
      </c>
      <c r="H369" s="4" t="s">
        <v>14</v>
      </c>
      <c r="I369" s="4">
        <v>2022</v>
      </c>
      <c r="J369" s="4">
        <v>1</v>
      </c>
      <c r="K369" s="4">
        <v>1</v>
      </c>
    </row>
    <row r="370" spans="1:11">
      <c r="A370" s="4" t="s">
        <v>767</v>
      </c>
      <c r="B370" s="4" t="s">
        <v>772</v>
      </c>
      <c r="C370" s="9" t="s">
        <v>770</v>
      </c>
      <c r="D370" s="13">
        <v>0</v>
      </c>
      <c r="E370" s="4">
        <v>2</v>
      </c>
      <c r="F370" s="4">
        <v>4</v>
      </c>
      <c r="G370" s="4" t="s">
        <v>746</v>
      </c>
      <c r="H370" s="4" t="s">
        <v>14</v>
      </c>
      <c r="I370" s="4">
        <v>2022</v>
      </c>
      <c r="J370" s="4">
        <v>1</v>
      </c>
      <c r="K370" s="4">
        <v>1</v>
      </c>
    </row>
    <row r="371" spans="1:11">
      <c r="A371" s="4" t="s">
        <v>767</v>
      </c>
      <c r="B371" s="4" t="s">
        <v>773</v>
      </c>
      <c r="C371" s="9" t="s">
        <v>771</v>
      </c>
      <c r="D371" s="13">
        <v>0</v>
      </c>
      <c r="E371" s="4">
        <v>3</v>
      </c>
      <c r="F371" s="4">
        <v>4</v>
      </c>
      <c r="G371" s="4" t="s">
        <v>746</v>
      </c>
      <c r="H371" s="4" t="s">
        <v>14</v>
      </c>
      <c r="I371" s="4">
        <v>2022</v>
      </c>
      <c r="J371" s="4">
        <v>1</v>
      </c>
      <c r="K371" s="4">
        <v>1</v>
      </c>
    </row>
    <row r="372" spans="1:11">
      <c r="A372" s="4" t="s">
        <v>767</v>
      </c>
      <c r="B372" s="4" t="s">
        <v>774</v>
      </c>
      <c r="C372" s="9" t="s">
        <v>766</v>
      </c>
      <c r="D372" s="13">
        <v>0</v>
      </c>
      <c r="E372" s="4">
        <v>4</v>
      </c>
      <c r="F372" s="4">
        <v>4</v>
      </c>
      <c r="G372" s="4" t="s">
        <v>746</v>
      </c>
      <c r="H372" s="4" t="s">
        <v>14</v>
      </c>
      <c r="I372" s="4">
        <v>2022</v>
      </c>
      <c r="J372" s="4">
        <v>1</v>
      </c>
      <c r="K372" s="4">
        <v>1</v>
      </c>
    </row>
    <row r="373" spans="1:11">
      <c r="A373" s="4" t="s">
        <v>776</v>
      </c>
      <c r="B373" s="4" t="s">
        <v>775</v>
      </c>
      <c r="C373" s="9" t="s">
        <v>777</v>
      </c>
      <c r="D373" s="13">
        <v>0</v>
      </c>
      <c r="E373" s="4">
        <v>1</v>
      </c>
      <c r="F373" s="4">
        <v>10</v>
      </c>
      <c r="G373" s="4" t="s">
        <v>746</v>
      </c>
      <c r="H373" s="4" t="s">
        <v>14</v>
      </c>
      <c r="I373" s="4">
        <v>2023</v>
      </c>
      <c r="J373" s="4">
        <v>1</v>
      </c>
      <c r="K373" s="4">
        <v>1</v>
      </c>
    </row>
    <row r="374" spans="1:11">
      <c r="A374" s="4" t="s">
        <v>776</v>
      </c>
      <c r="B374" s="4" t="s">
        <v>778</v>
      </c>
      <c r="C374" s="9" t="s">
        <v>779</v>
      </c>
      <c r="D374" s="13">
        <v>0</v>
      </c>
      <c r="E374" s="4">
        <v>2</v>
      </c>
      <c r="F374" s="4">
        <v>10</v>
      </c>
      <c r="G374" s="4" t="s">
        <v>746</v>
      </c>
      <c r="H374" s="4" t="s">
        <v>14</v>
      </c>
      <c r="I374" s="4">
        <v>2023</v>
      </c>
      <c r="J374" s="4">
        <v>1</v>
      </c>
      <c r="K374" s="4">
        <v>1</v>
      </c>
    </row>
    <row r="375" spans="1:11">
      <c r="A375" s="4" t="s">
        <v>776</v>
      </c>
      <c r="B375" s="4" t="s">
        <v>780</v>
      </c>
      <c r="C375" s="9" t="s">
        <v>781</v>
      </c>
      <c r="D375" s="13">
        <v>0</v>
      </c>
      <c r="E375" s="4">
        <v>3</v>
      </c>
      <c r="F375" s="4">
        <v>10</v>
      </c>
      <c r="G375" s="4" t="s">
        <v>746</v>
      </c>
      <c r="H375" s="4" t="s">
        <v>14</v>
      </c>
      <c r="I375" s="4">
        <v>2023</v>
      </c>
      <c r="J375" s="4">
        <v>1</v>
      </c>
      <c r="K375" s="4">
        <v>1</v>
      </c>
    </row>
    <row r="376" spans="1:11">
      <c r="A376" s="4" t="s">
        <v>776</v>
      </c>
      <c r="B376" s="4" t="s">
        <v>782</v>
      </c>
      <c r="C376" s="9" t="s">
        <v>783</v>
      </c>
      <c r="D376" s="13">
        <v>0</v>
      </c>
      <c r="E376" s="4">
        <v>4</v>
      </c>
      <c r="F376" s="4">
        <v>10</v>
      </c>
      <c r="G376" s="4" t="s">
        <v>746</v>
      </c>
      <c r="H376" s="4" t="s">
        <v>14</v>
      </c>
      <c r="I376" s="4">
        <v>2023</v>
      </c>
      <c r="J376" s="4">
        <v>1</v>
      </c>
      <c r="K376" s="4">
        <v>1</v>
      </c>
    </row>
    <row r="377" spans="1:11">
      <c r="A377" s="4" t="s">
        <v>776</v>
      </c>
      <c r="B377" s="4" t="s">
        <v>784</v>
      </c>
      <c r="C377" s="9" t="s">
        <v>785</v>
      </c>
      <c r="D377" s="13">
        <v>1</v>
      </c>
      <c r="E377" s="4">
        <v>5</v>
      </c>
      <c r="F377" s="4">
        <v>10</v>
      </c>
      <c r="G377" s="4" t="s">
        <v>746</v>
      </c>
      <c r="H377" s="4" t="s">
        <v>14</v>
      </c>
      <c r="I377" s="4">
        <v>2023</v>
      </c>
      <c r="J377" s="4">
        <v>1</v>
      </c>
      <c r="K377" s="4">
        <v>1</v>
      </c>
    </row>
    <row r="378" spans="1:11">
      <c r="A378" s="4" t="s">
        <v>776</v>
      </c>
      <c r="B378" s="4" t="s">
        <v>786</v>
      </c>
      <c r="C378" s="9" t="s">
        <v>787</v>
      </c>
      <c r="D378" s="13">
        <v>0</v>
      </c>
      <c r="E378" s="4">
        <v>6</v>
      </c>
      <c r="F378" s="4">
        <v>10</v>
      </c>
      <c r="G378" s="4" t="s">
        <v>746</v>
      </c>
      <c r="H378" s="4" t="s">
        <v>14</v>
      </c>
      <c r="I378" s="4">
        <v>2023</v>
      </c>
      <c r="J378" s="4">
        <v>1</v>
      </c>
      <c r="K378" s="4">
        <v>1</v>
      </c>
    </row>
    <row r="379" spans="1:11">
      <c r="A379" s="4" t="s">
        <v>776</v>
      </c>
      <c r="B379" s="4" t="s">
        <v>788</v>
      </c>
      <c r="C379" s="9" t="s">
        <v>789</v>
      </c>
      <c r="D379" s="13">
        <v>0</v>
      </c>
      <c r="E379" s="4">
        <v>7</v>
      </c>
      <c r="F379" s="4">
        <v>10</v>
      </c>
      <c r="G379" s="4" t="s">
        <v>746</v>
      </c>
      <c r="H379" s="4" t="s">
        <v>14</v>
      </c>
      <c r="I379" s="4">
        <v>2023</v>
      </c>
      <c r="J379" s="4">
        <v>1</v>
      </c>
      <c r="K379" s="4">
        <v>1</v>
      </c>
    </row>
    <row r="380" spans="1:11">
      <c r="A380" s="4" t="s">
        <v>776</v>
      </c>
      <c r="B380" s="4" t="s">
        <v>790</v>
      </c>
      <c r="C380" s="9" t="s">
        <v>791</v>
      </c>
      <c r="D380" s="13">
        <v>0</v>
      </c>
      <c r="E380" s="4">
        <v>8</v>
      </c>
      <c r="F380" s="4">
        <v>10</v>
      </c>
      <c r="G380" s="4" t="s">
        <v>746</v>
      </c>
      <c r="H380" s="4" t="s">
        <v>14</v>
      </c>
      <c r="I380" s="4">
        <v>2023</v>
      </c>
      <c r="J380" s="4">
        <v>1</v>
      </c>
      <c r="K380" s="4">
        <v>1</v>
      </c>
    </row>
    <row r="381" spans="1:11">
      <c r="A381" s="4" t="s">
        <v>776</v>
      </c>
      <c r="B381" s="4" t="s">
        <v>793</v>
      </c>
      <c r="C381" s="9" t="s">
        <v>792</v>
      </c>
      <c r="D381" s="13">
        <v>0</v>
      </c>
      <c r="E381" s="4">
        <v>9</v>
      </c>
      <c r="F381" s="4">
        <v>10</v>
      </c>
      <c r="G381" s="4" t="s">
        <v>746</v>
      </c>
      <c r="H381" s="4" t="s">
        <v>14</v>
      </c>
      <c r="I381" s="4">
        <v>2023</v>
      </c>
      <c r="J381" s="4">
        <v>1</v>
      </c>
      <c r="K381" s="4">
        <v>1</v>
      </c>
    </row>
    <row r="382" spans="1:11">
      <c r="A382" s="4" t="s">
        <v>776</v>
      </c>
      <c r="B382" s="4" t="s">
        <v>794</v>
      </c>
      <c r="C382" s="9" t="s">
        <v>795</v>
      </c>
      <c r="D382" s="13">
        <v>0</v>
      </c>
      <c r="E382" s="4">
        <v>10</v>
      </c>
      <c r="F382" s="4">
        <v>10</v>
      </c>
      <c r="G382" s="4" t="s">
        <v>746</v>
      </c>
      <c r="H382" s="4" t="s">
        <v>14</v>
      </c>
      <c r="I382" s="4">
        <v>2023</v>
      </c>
      <c r="J382" s="4">
        <v>1</v>
      </c>
      <c r="K382" s="4">
        <v>1</v>
      </c>
    </row>
    <row r="383" spans="1:11">
      <c r="A383" s="4" t="s">
        <v>796</v>
      </c>
      <c r="B383" s="4" t="s">
        <v>797</v>
      </c>
      <c r="C383" s="9" t="s">
        <v>798</v>
      </c>
      <c r="D383" s="13">
        <v>0</v>
      </c>
      <c r="E383" s="4">
        <v>1</v>
      </c>
      <c r="F383" s="4">
        <v>11</v>
      </c>
      <c r="G383" s="4" t="s">
        <v>746</v>
      </c>
      <c r="H383" s="4" t="s">
        <v>14</v>
      </c>
      <c r="I383" s="4">
        <v>2024</v>
      </c>
      <c r="J383" s="4">
        <v>1</v>
      </c>
      <c r="K383" s="4">
        <v>1</v>
      </c>
    </row>
    <row r="384" spans="1:11">
      <c r="A384" s="4" t="s">
        <v>796</v>
      </c>
      <c r="B384" s="4" t="s">
        <v>799</v>
      </c>
      <c r="C384" s="9" t="s">
        <v>800</v>
      </c>
      <c r="D384" s="13">
        <v>1</v>
      </c>
      <c r="E384" s="4">
        <v>2</v>
      </c>
      <c r="F384" s="4">
        <v>11</v>
      </c>
      <c r="G384" s="4" t="s">
        <v>746</v>
      </c>
      <c r="H384" s="4" t="s">
        <v>14</v>
      </c>
      <c r="I384" s="4">
        <v>2024</v>
      </c>
      <c r="J384" s="4">
        <v>1</v>
      </c>
      <c r="K384" s="4">
        <v>1</v>
      </c>
    </row>
    <row r="385" spans="1:11">
      <c r="A385" s="4" t="s">
        <v>796</v>
      </c>
      <c r="B385" s="4" t="s">
        <v>801</v>
      </c>
      <c r="C385" s="9" t="s">
        <v>802</v>
      </c>
      <c r="D385" s="13">
        <v>1</v>
      </c>
      <c r="E385" s="4">
        <v>3</v>
      </c>
      <c r="F385" s="4">
        <v>11</v>
      </c>
      <c r="G385" s="4" t="s">
        <v>746</v>
      </c>
      <c r="H385" s="4" t="s">
        <v>14</v>
      </c>
      <c r="I385" s="4">
        <v>2024</v>
      </c>
      <c r="J385" s="4">
        <v>1</v>
      </c>
      <c r="K385" s="4">
        <v>1</v>
      </c>
    </row>
    <row r="386" spans="1:11">
      <c r="A386" s="4" t="s">
        <v>796</v>
      </c>
      <c r="B386" s="4" t="s">
        <v>803</v>
      </c>
      <c r="C386" s="9" t="s">
        <v>804</v>
      </c>
      <c r="D386" s="13">
        <v>1</v>
      </c>
      <c r="E386" s="4">
        <v>4</v>
      </c>
      <c r="F386" s="4">
        <v>11</v>
      </c>
      <c r="G386" s="4" t="s">
        <v>746</v>
      </c>
      <c r="H386" s="4" t="s">
        <v>14</v>
      </c>
      <c r="I386" s="4">
        <v>2024</v>
      </c>
      <c r="J386" s="4">
        <v>1</v>
      </c>
      <c r="K386" s="4">
        <v>1</v>
      </c>
    </row>
    <row r="387" spans="1:11">
      <c r="A387" s="4" t="s">
        <v>796</v>
      </c>
      <c r="B387" s="4" t="s">
        <v>805</v>
      </c>
      <c r="C387" s="9" t="s">
        <v>806</v>
      </c>
      <c r="D387" s="13">
        <v>0</v>
      </c>
      <c r="E387" s="4">
        <v>5</v>
      </c>
      <c r="F387" s="4">
        <v>11</v>
      </c>
      <c r="G387" s="4" t="s">
        <v>746</v>
      </c>
      <c r="H387" s="4" t="s">
        <v>14</v>
      </c>
      <c r="I387" s="4">
        <v>2024</v>
      </c>
      <c r="J387" s="4">
        <v>1</v>
      </c>
      <c r="K387" s="4">
        <v>1</v>
      </c>
    </row>
    <row r="388" spans="1:11">
      <c r="A388" s="4" t="s">
        <v>796</v>
      </c>
      <c r="B388" s="4" t="s">
        <v>807</v>
      </c>
      <c r="C388" s="9" t="s">
        <v>808</v>
      </c>
      <c r="D388" s="13">
        <v>1</v>
      </c>
      <c r="E388" s="4">
        <v>6</v>
      </c>
      <c r="F388" s="4">
        <v>11</v>
      </c>
      <c r="G388" s="4" t="s">
        <v>746</v>
      </c>
      <c r="H388" s="4" t="s">
        <v>14</v>
      </c>
      <c r="I388" s="4">
        <v>2024</v>
      </c>
      <c r="J388" s="4">
        <v>1</v>
      </c>
      <c r="K388" s="4">
        <v>1</v>
      </c>
    </row>
    <row r="389" spans="1:11">
      <c r="A389" s="4" t="s">
        <v>796</v>
      </c>
      <c r="B389" s="4" t="s">
        <v>809</v>
      </c>
      <c r="C389" s="9" t="s">
        <v>810</v>
      </c>
      <c r="D389" s="13">
        <v>1</v>
      </c>
      <c r="E389" s="4">
        <v>7</v>
      </c>
      <c r="F389" s="4">
        <v>11</v>
      </c>
      <c r="G389" s="4" t="s">
        <v>746</v>
      </c>
      <c r="H389" s="4" t="s">
        <v>14</v>
      </c>
      <c r="I389" s="4">
        <v>2024</v>
      </c>
      <c r="J389" s="4">
        <v>1</v>
      </c>
      <c r="K389" s="4">
        <v>1</v>
      </c>
    </row>
    <row r="390" spans="1:11">
      <c r="A390" s="4" t="s">
        <v>796</v>
      </c>
      <c r="B390" s="4" t="s">
        <v>811</v>
      </c>
      <c r="C390" s="9" t="s">
        <v>812</v>
      </c>
      <c r="D390" s="13">
        <v>0</v>
      </c>
      <c r="E390" s="4">
        <v>8</v>
      </c>
      <c r="F390" s="4">
        <v>11</v>
      </c>
      <c r="G390" s="4" t="s">
        <v>746</v>
      </c>
      <c r="H390" s="4" t="s">
        <v>14</v>
      </c>
      <c r="I390" s="4">
        <v>2024</v>
      </c>
      <c r="J390" s="4">
        <v>1</v>
      </c>
      <c r="K390" s="4">
        <v>1</v>
      </c>
    </row>
    <row r="391" spans="1:11">
      <c r="A391" s="4" t="s">
        <v>796</v>
      </c>
      <c r="B391" s="4" t="s">
        <v>813</v>
      </c>
      <c r="C391" s="9" t="s">
        <v>814</v>
      </c>
      <c r="D391" s="13">
        <v>1</v>
      </c>
      <c r="E391" s="4">
        <v>9</v>
      </c>
      <c r="F391" s="4">
        <v>11</v>
      </c>
      <c r="G391" s="4" t="s">
        <v>746</v>
      </c>
      <c r="H391" s="4" t="s">
        <v>14</v>
      </c>
      <c r="I391" s="4">
        <v>2024</v>
      </c>
      <c r="J391" s="4">
        <v>1</v>
      </c>
      <c r="K391" s="4">
        <v>1</v>
      </c>
    </row>
    <row r="392" spans="1:11">
      <c r="A392" s="4" t="s">
        <v>796</v>
      </c>
      <c r="B392" s="4" t="s">
        <v>815</v>
      </c>
      <c r="C392" s="9" t="s">
        <v>816</v>
      </c>
      <c r="D392" s="13">
        <v>1</v>
      </c>
      <c r="E392" s="4">
        <v>10</v>
      </c>
      <c r="F392" s="4">
        <v>11</v>
      </c>
      <c r="G392" s="4" t="s">
        <v>746</v>
      </c>
      <c r="H392" s="4" t="s">
        <v>14</v>
      </c>
      <c r="I392" s="4">
        <v>2024</v>
      </c>
      <c r="J392" s="4">
        <v>1</v>
      </c>
      <c r="K392" s="4">
        <v>1</v>
      </c>
    </row>
    <row r="393" spans="1:11">
      <c r="A393" s="4" t="s">
        <v>796</v>
      </c>
      <c r="B393" s="4" t="s">
        <v>817</v>
      </c>
      <c r="C393" s="9" t="s">
        <v>818</v>
      </c>
      <c r="D393" s="13">
        <v>1</v>
      </c>
      <c r="E393" s="4">
        <v>11</v>
      </c>
      <c r="F393" s="4">
        <v>11</v>
      </c>
      <c r="G393" s="4" t="s">
        <v>746</v>
      </c>
      <c r="H393" s="4" t="s">
        <v>14</v>
      </c>
      <c r="I393" s="4">
        <v>2024</v>
      </c>
      <c r="J393" s="4">
        <v>1</v>
      </c>
      <c r="K393" s="4">
        <v>1</v>
      </c>
    </row>
    <row r="394" spans="1:11">
      <c r="A394" s="4" t="s">
        <v>820</v>
      </c>
      <c r="B394" s="4" t="s">
        <v>819</v>
      </c>
      <c r="C394" s="9" t="s">
        <v>821</v>
      </c>
      <c r="D394" s="13">
        <v>1</v>
      </c>
      <c r="E394" s="4">
        <v>1</v>
      </c>
      <c r="F394" s="4">
        <v>9</v>
      </c>
      <c r="G394" s="4" t="s">
        <v>746</v>
      </c>
      <c r="H394" s="4" t="s">
        <v>14</v>
      </c>
      <c r="I394" s="4">
        <v>2025</v>
      </c>
      <c r="J394" s="4">
        <v>1</v>
      </c>
      <c r="K394" s="4">
        <v>1</v>
      </c>
    </row>
    <row r="395" spans="1:11">
      <c r="A395" s="4" t="s">
        <v>820</v>
      </c>
      <c r="B395" s="4" t="s">
        <v>823</v>
      </c>
      <c r="C395" s="9" t="s">
        <v>822</v>
      </c>
      <c r="D395" s="13">
        <v>1</v>
      </c>
      <c r="E395" s="4">
        <v>2</v>
      </c>
      <c r="F395" s="4">
        <v>9</v>
      </c>
      <c r="G395" s="4" t="s">
        <v>746</v>
      </c>
      <c r="H395" s="4" t="s">
        <v>14</v>
      </c>
      <c r="I395" s="4">
        <v>2025</v>
      </c>
      <c r="J395" s="4">
        <v>1</v>
      </c>
      <c r="K395" s="4">
        <v>1</v>
      </c>
    </row>
    <row r="396" spans="1:11">
      <c r="A396" s="4" t="s">
        <v>820</v>
      </c>
      <c r="B396" s="4" t="s">
        <v>824</v>
      </c>
      <c r="C396" s="9" t="s">
        <v>825</v>
      </c>
      <c r="D396" s="13">
        <v>0</v>
      </c>
      <c r="E396" s="4">
        <v>3</v>
      </c>
      <c r="F396" s="4">
        <v>9</v>
      </c>
      <c r="G396" s="4" t="s">
        <v>746</v>
      </c>
      <c r="H396" s="4" t="s">
        <v>14</v>
      </c>
      <c r="I396" s="4">
        <v>2025</v>
      </c>
      <c r="J396" s="4">
        <v>1</v>
      </c>
      <c r="K396" s="4">
        <v>1</v>
      </c>
    </row>
    <row r="397" spans="1:11">
      <c r="A397" s="4" t="s">
        <v>820</v>
      </c>
      <c r="B397" s="4" t="s">
        <v>826</v>
      </c>
      <c r="C397" s="9" t="s">
        <v>827</v>
      </c>
      <c r="D397" s="13">
        <v>1</v>
      </c>
      <c r="E397" s="4">
        <v>4</v>
      </c>
      <c r="F397" s="4">
        <v>9</v>
      </c>
      <c r="G397" s="4" t="s">
        <v>746</v>
      </c>
      <c r="H397" s="4" t="s">
        <v>14</v>
      </c>
      <c r="I397" s="4">
        <v>2025</v>
      </c>
      <c r="J397" s="4">
        <v>1</v>
      </c>
      <c r="K397" s="4">
        <v>1</v>
      </c>
    </row>
    <row r="398" spans="1:11">
      <c r="A398" s="4" t="s">
        <v>820</v>
      </c>
      <c r="B398" s="4" t="s">
        <v>828</v>
      </c>
      <c r="C398" s="9" t="s">
        <v>829</v>
      </c>
      <c r="D398" s="13">
        <v>0</v>
      </c>
      <c r="E398" s="4">
        <v>5</v>
      </c>
      <c r="F398" s="4">
        <v>9</v>
      </c>
      <c r="G398" s="4" t="s">
        <v>746</v>
      </c>
      <c r="H398" s="4" t="s">
        <v>14</v>
      </c>
      <c r="I398" s="4">
        <v>2025</v>
      </c>
      <c r="J398" s="4">
        <v>1</v>
      </c>
      <c r="K398" s="4">
        <v>1</v>
      </c>
    </row>
    <row r="399" spans="1:11">
      <c r="A399" s="4" t="s">
        <v>820</v>
      </c>
      <c r="B399" s="4" t="s">
        <v>830</v>
      </c>
      <c r="C399" s="9" t="s">
        <v>831</v>
      </c>
      <c r="D399" s="13">
        <v>1</v>
      </c>
      <c r="E399" s="4">
        <v>6</v>
      </c>
      <c r="F399" s="4">
        <v>9</v>
      </c>
      <c r="G399" s="4" t="s">
        <v>746</v>
      </c>
      <c r="H399" s="4" t="s">
        <v>14</v>
      </c>
      <c r="I399" s="4">
        <v>2025</v>
      </c>
      <c r="J399" s="4">
        <v>1</v>
      </c>
      <c r="K399" s="4">
        <v>1</v>
      </c>
    </row>
    <row r="400" spans="1:11">
      <c r="A400" s="4" t="s">
        <v>820</v>
      </c>
      <c r="B400" s="4" t="s">
        <v>832</v>
      </c>
      <c r="C400" s="9" t="s">
        <v>833</v>
      </c>
      <c r="D400" s="13">
        <v>0</v>
      </c>
      <c r="E400" s="4">
        <v>7</v>
      </c>
      <c r="F400" s="4">
        <v>9</v>
      </c>
      <c r="G400" s="4" t="s">
        <v>746</v>
      </c>
      <c r="H400" s="4" t="s">
        <v>14</v>
      </c>
      <c r="I400" s="4">
        <v>2025</v>
      </c>
      <c r="J400" s="4">
        <v>1</v>
      </c>
      <c r="K400" s="4">
        <v>1</v>
      </c>
    </row>
    <row r="401" spans="1:11">
      <c r="A401" s="4" t="s">
        <v>820</v>
      </c>
      <c r="B401" s="4" t="s">
        <v>834</v>
      </c>
      <c r="C401" s="9" t="s">
        <v>835</v>
      </c>
      <c r="D401" s="13">
        <v>0</v>
      </c>
      <c r="E401" s="4">
        <v>8</v>
      </c>
      <c r="F401" s="4">
        <v>9</v>
      </c>
      <c r="G401" s="4" t="s">
        <v>746</v>
      </c>
      <c r="H401" s="4" t="s">
        <v>14</v>
      </c>
      <c r="I401" s="4">
        <v>2025</v>
      </c>
      <c r="J401" s="4">
        <v>1</v>
      </c>
      <c r="K401" s="4">
        <v>1</v>
      </c>
    </row>
    <row r="402" spans="1:11">
      <c r="A402" s="4" t="s">
        <v>820</v>
      </c>
      <c r="B402" s="4" t="s">
        <v>836</v>
      </c>
      <c r="C402" s="9" t="s">
        <v>837</v>
      </c>
      <c r="D402" s="13">
        <v>1</v>
      </c>
      <c r="E402" s="4">
        <v>9</v>
      </c>
      <c r="F402" s="4">
        <v>9</v>
      </c>
      <c r="G402" s="4" t="s">
        <v>746</v>
      </c>
      <c r="H402" s="4" t="s">
        <v>14</v>
      </c>
      <c r="I402" s="4">
        <v>2025</v>
      </c>
      <c r="J402" s="4">
        <v>1</v>
      </c>
      <c r="K402" s="4">
        <v>1</v>
      </c>
    </row>
    <row r="403" spans="1:11">
      <c r="A403" s="4" t="s">
        <v>840</v>
      </c>
      <c r="B403" s="4" t="s">
        <v>841</v>
      </c>
      <c r="C403" s="9" t="s">
        <v>842</v>
      </c>
      <c r="D403" s="13">
        <v>1</v>
      </c>
    </row>
    <row r="404" spans="1:11">
      <c r="A404" s="4" t="s">
        <v>840</v>
      </c>
      <c r="B404" s="4" t="s">
        <v>843</v>
      </c>
      <c r="C404" s="9" t="s">
        <v>844</v>
      </c>
      <c r="D404" s="13">
        <v>0</v>
      </c>
    </row>
    <row r="405" spans="1:11">
      <c r="A405" s="4" t="s">
        <v>840</v>
      </c>
      <c r="B405" s="4" t="s">
        <v>845</v>
      </c>
      <c r="C405" s="9" t="s">
        <v>846</v>
      </c>
      <c r="D405" s="13">
        <v>0</v>
      </c>
    </row>
    <row r="406" spans="1:11">
      <c r="A406" s="4" t="s">
        <v>840</v>
      </c>
      <c r="B406" s="4" t="s">
        <v>847</v>
      </c>
      <c r="C406" s="9" t="s">
        <v>848</v>
      </c>
      <c r="D406" s="13">
        <v>0</v>
      </c>
    </row>
    <row r="407" spans="1:11">
      <c r="A407" s="4" t="s">
        <v>840</v>
      </c>
      <c r="B407" s="4" t="s">
        <v>849</v>
      </c>
      <c r="C407" s="9" t="s">
        <v>850</v>
      </c>
      <c r="D407" s="13">
        <v>0</v>
      </c>
    </row>
    <row r="408" spans="1:11">
      <c r="A408" s="4" t="s">
        <v>840</v>
      </c>
      <c r="B408" s="4" t="s">
        <v>851</v>
      </c>
      <c r="C408" s="9" t="s">
        <v>852</v>
      </c>
      <c r="D408" s="13">
        <v>0</v>
      </c>
    </row>
    <row r="409" spans="1:11">
      <c r="A409" s="4" t="s">
        <v>840</v>
      </c>
      <c r="B409" s="4" t="s">
        <v>853</v>
      </c>
      <c r="C409" s="9" t="s">
        <v>854</v>
      </c>
      <c r="D409" s="13">
        <v>0</v>
      </c>
    </row>
    <row r="410" spans="1:11">
      <c r="A410" s="4" t="s">
        <v>840</v>
      </c>
      <c r="B410" s="4" t="s">
        <v>855</v>
      </c>
      <c r="C410" s="9" t="s">
        <v>856</v>
      </c>
      <c r="D410" s="13">
        <v>0</v>
      </c>
    </row>
    <row r="411" spans="1:11">
      <c r="A411" s="4" t="s">
        <v>840</v>
      </c>
      <c r="B411" s="4" t="s">
        <v>857</v>
      </c>
      <c r="C411" s="9" t="s">
        <v>858</v>
      </c>
    </row>
    <row r="412" spans="1:11">
      <c r="A412" s="4" t="s">
        <v>840</v>
      </c>
    </row>
    <row r="413" spans="1:11">
      <c r="A413" s="4" t="s">
        <v>840</v>
      </c>
    </row>
    <row r="414" spans="1:11">
      <c r="A414" s="4" t="s">
        <v>840</v>
      </c>
    </row>
    <row r="415" spans="1:11">
      <c r="A415" s="4" t="s">
        <v>840</v>
      </c>
    </row>
    <row r="416" spans="1:11">
      <c r="A416" s="4" t="s">
        <v>840</v>
      </c>
    </row>
    <row r="417" spans="1:11">
      <c r="A417" s="4" t="s">
        <v>840</v>
      </c>
    </row>
    <row r="418" spans="1:11">
      <c r="A418" s="4" t="s">
        <v>840</v>
      </c>
    </row>
    <row r="419" spans="1:11">
      <c r="A419" s="4" t="s">
        <v>840</v>
      </c>
    </row>
    <row r="420" spans="1:11">
      <c r="A420" s="4" t="s">
        <v>859</v>
      </c>
      <c r="B420" t="s">
        <v>860</v>
      </c>
      <c r="C420" s="9" t="s">
        <v>861</v>
      </c>
      <c r="D420" s="13">
        <v>1</v>
      </c>
      <c r="E420">
        <v>1</v>
      </c>
      <c r="F420">
        <v>12</v>
      </c>
      <c r="G420" t="s">
        <v>884</v>
      </c>
      <c r="H420" t="s">
        <v>14</v>
      </c>
      <c r="I420">
        <v>2025</v>
      </c>
      <c r="J420">
        <v>1</v>
      </c>
      <c r="K420">
        <v>1</v>
      </c>
    </row>
    <row r="421" spans="1:11">
      <c r="A421" s="4" t="s">
        <v>859</v>
      </c>
      <c r="B421" t="s">
        <v>862</v>
      </c>
      <c r="C421" s="9" t="s">
        <v>863</v>
      </c>
      <c r="D421" s="13">
        <v>0</v>
      </c>
      <c r="E421">
        <v>2</v>
      </c>
      <c r="F421">
        <v>12</v>
      </c>
      <c r="G421" t="s">
        <v>884</v>
      </c>
      <c r="H421" t="s">
        <v>14</v>
      </c>
      <c r="I421">
        <v>2025</v>
      </c>
      <c r="J421">
        <v>1</v>
      </c>
      <c r="K421">
        <v>1</v>
      </c>
    </row>
    <row r="422" spans="1:11">
      <c r="A422" s="4" t="s">
        <v>859</v>
      </c>
      <c r="B422" t="s">
        <v>864</v>
      </c>
      <c r="C422" s="9" t="s">
        <v>865</v>
      </c>
      <c r="D422" s="13">
        <v>0</v>
      </c>
      <c r="E422">
        <v>3</v>
      </c>
      <c r="F422">
        <v>12</v>
      </c>
      <c r="G422" t="s">
        <v>884</v>
      </c>
      <c r="H422" t="s">
        <v>14</v>
      </c>
      <c r="I422">
        <v>2025</v>
      </c>
      <c r="J422">
        <v>1</v>
      </c>
      <c r="K422">
        <v>1</v>
      </c>
    </row>
    <row r="423" spans="1:11">
      <c r="A423" s="4" t="s">
        <v>859</v>
      </c>
      <c r="B423" t="s">
        <v>867</v>
      </c>
      <c r="C423" s="9" t="s">
        <v>866</v>
      </c>
      <c r="D423" s="13">
        <v>1</v>
      </c>
      <c r="E423">
        <v>4</v>
      </c>
      <c r="F423">
        <v>12</v>
      </c>
      <c r="G423" t="s">
        <v>884</v>
      </c>
      <c r="H423" t="s">
        <v>14</v>
      </c>
      <c r="I423">
        <v>2025</v>
      </c>
      <c r="J423">
        <v>1</v>
      </c>
      <c r="K423">
        <v>1</v>
      </c>
    </row>
    <row r="424" spans="1:11">
      <c r="A424" s="4" t="s">
        <v>859</v>
      </c>
      <c r="B424" t="s">
        <v>868</v>
      </c>
      <c r="C424" s="9" t="s">
        <v>869</v>
      </c>
      <c r="D424" s="13">
        <v>1</v>
      </c>
      <c r="E424">
        <v>5</v>
      </c>
      <c r="F424">
        <v>12</v>
      </c>
      <c r="G424" t="s">
        <v>884</v>
      </c>
      <c r="H424" t="s">
        <v>14</v>
      </c>
      <c r="I424">
        <v>2025</v>
      </c>
      <c r="J424">
        <v>1</v>
      </c>
      <c r="K424">
        <v>1</v>
      </c>
    </row>
    <row r="425" spans="1:11">
      <c r="A425" s="4" t="s">
        <v>859</v>
      </c>
      <c r="B425" t="s">
        <v>870</v>
      </c>
      <c r="C425" s="9" t="s">
        <v>871</v>
      </c>
      <c r="D425" s="13">
        <v>0</v>
      </c>
      <c r="E425">
        <v>6</v>
      </c>
      <c r="F425">
        <v>12</v>
      </c>
      <c r="G425" t="s">
        <v>884</v>
      </c>
      <c r="H425" t="s">
        <v>14</v>
      </c>
      <c r="I425">
        <v>2025</v>
      </c>
      <c r="J425">
        <v>1</v>
      </c>
      <c r="K425">
        <v>1</v>
      </c>
    </row>
    <row r="426" spans="1:11">
      <c r="A426" s="4" t="s">
        <v>859</v>
      </c>
      <c r="B426" t="s">
        <v>872</v>
      </c>
      <c r="C426" s="19" t="s">
        <v>873</v>
      </c>
      <c r="D426" s="13">
        <v>0</v>
      </c>
      <c r="E426">
        <v>7</v>
      </c>
      <c r="F426">
        <v>12</v>
      </c>
      <c r="G426" t="s">
        <v>884</v>
      </c>
      <c r="H426" t="s">
        <v>14</v>
      </c>
      <c r="I426">
        <v>2025</v>
      </c>
      <c r="J426">
        <v>1</v>
      </c>
      <c r="K426">
        <v>1</v>
      </c>
    </row>
    <row r="427" spans="1:11">
      <c r="A427" s="4" t="s">
        <v>859</v>
      </c>
      <c r="B427" t="s">
        <v>874</v>
      </c>
      <c r="C427" s="9" t="s">
        <v>875</v>
      </c>
      <c r="D427" s="13">
        <v>0</v>
      </c>
      <c r="E427">
        <v>8</v>
      </c>
      <c r="F427">
        <v>12</v>
      </c>
      <c r="G427" t="s">
        <v>884</v>
      </c>
      <c r="H427" t="s">
        <v>14</v>
      </c>
      <c r="I427">
        <v>2025</v>
      </c>
      <c r="J427">
        <v>1</v>
      </c>
      <c r="K427">
        <v>1</v>
      </c>
    </row>
    <row r="428" spans="1:11">
      <c r="A428" s="4" t="s">
        <v>859</v>
      </c>
      <c r="B428" t="s">
        <v>876</v>
      </c>
      <c r="C428" s="9" t="s">
        <v>877</v>
      </c>
      <c r="D428" s="13">
        <v>0</v>
      </c>
      <c r="E428">
        <v>9</v>
      </c>
      <c r="F428">
        <v>12</v>
      </c>
      <c r="G428" t="s">
        <v>884</v>
      </c>
      <c r="H428" t="s">
        <v>14</v>
      </c>
      <c r="I428">
        <v>2025</v>
      </c>
      <c r="J428">
        <v>1</v>
      </c>
      <c r="K428">
        <v>1</v>
      </c>
    </row>
    <row r="429" spans="1:11">
      <c r="A429" s="4" t="s">
        <v>859</v>
      </c>
      <c r="B429" t="s">
        <v>878</v>
      </c>
      <c r="C429" s="9" t="s">
        <v>879</v>
      </c>
      <c r="D429" s="13">
        <v>1</v>
      </c>
      <c r="E429">
        <v>10</v>
      </c>
      <c r="F429">
        <v>12</v>
      </c>
      <c r="G429" t="s">
        <v>884</v>
      </c>
      <c r="H429" t="s">
        <v>14</v>
      </c>
      <c r="I429">
        <v>2025</v>
      </c>
      <c r="J429">
        <v>1</v>
      </c>
      <c r="K429">
        <v>1</v>
      </c>
    </row>
    <row r="430" spans="1:11">
      <c r="A430" s="4" t="s">
        <v>859</v>
      </c>
      <c r="B430" t="s">
        <v>880</v>
      </c>
      <c r="C430" s="9" t="s">
        <v>881</v>
      </c>
      <c r="D430" s="13">
        <v>0</v>
      </c>
      <c r="E430">
        <v>11</v>
      </c>
      <c r="F430">
        <v>12</v>
      </c>
      <c r="G430" t="s">
        <v>884</v>
      </c>
      <c r="H430" t="s">
        <v>14</v>
      </c>
      <c r="I430">
        <v>2025</v>
      </c>
      <c r="J430">
        <v>1</v>
      </c>
      <c r="K430">
        <v>1</v>
      </c>
    </row>
    <row r="431" spans="1:11">
      <c r="A431" s="4" t="s">
        <v>859</v>
      </c>
      <c r="B431" t="s">
        <v>882</v>
      </c>
      <c r="C431" s="9" t="s">
        <v>883</v>
      </c>
      <c r="D431" s="13">
        <v>0</v>
      </c>
      <c r="E431">
        <v>12</v>
      </c>
      <c r="F431">
        <v>12</v>
      </c>
      <c r="G431" t="s">
        <v>884</v>
      </c>
      <c r="H431" t="s">
        <v>14</v>
      </c>
      <c r="I431">
        <v>2025</v>
      </c>
      <c r="J431">
        <v>1</v>
      </c>
      <c r="K431">
        <v>1</v>
      </c>
    </row>
    <row r="432" spans="1:11">
      <c r="A432" s="4" t="s">
        <v>885</v>
      </c>
      <c r="B432" t="s">
        <v>886</v>
      </c>
      <c r="C432" s="9" t="s">
        <v>887</v>
      </c>
      <c r="D432" s="13">
        <v>1</v>
      </c>
      <c r="E432">
        <v>1</v>
      </c>
      <c r="F432">
        <v>10</v>
      </c>
      <c r="G432" t="s">
        <v>884</v>
      </c>
      <c r="H432" t="s">
        <v>14</v>
      </c>
      <c r="I432">
        <v>2024</v>
      </c>
      <c r="J432">
        <v>1</v>
      </c>
      <c r="K432">
        <v>1</v>
      </c>
    </row>
    <row r="433" spans="1:14">
      <c r="B433" t="s">
        <v>888</v>
      </c>
      <c r="C433" s="9" t="s">
        <v>889</v>
      </c>
      <c r="D433" s="13">
        <v>0</v>
      </c>
      <c r="E433">
        <v>2</v>
      </c>
      <c r="F433">
        <v>10</v>
      </c>
      <c r="G433" t="s">
        <v>884</v>
      </c>
      <c r="H433" t="s">
        <v>14</v>
      </c>
      <c r="I433">
        <v>2024</v>
      </c>
      <c r="J433">
        <v>1</v>
      </c>
      <c r="K433">
        <v>1</v>
      </c>
    </row>
    <row r="434" spans="1:14">
      <c r="B434" t="s">
        <v>890</v>
      </c>
      <c r="C434" s="9" t="s">
        <v>891</v>
      </c>
      <c r="D434" s="13">
        <v>1</v>
      </c>
      <c r="E434">
        <v>3</v>
      </c>
      <c r="F434">
        <v>10</v>
      </c>
      <c r="G434" t="s">
        <v>884</v>
      </c>
      <c r="H434" t="s">
        <v>14</v>
      </c>
      <c r="I434">
        <v>2024</v>
      </c>
      <c r="J434">
        <v>1</v>
      </c>
      <c r="K434">
        <v>1</v>
      </c>
    </row>
    <row r="435" spans="1:14">
      <c r="B435" t="s">
        <v>893</v>
      </c>
      <c r="C435" s="9" t="s">
        <v>892</v>
      </c>
      <c r="D435" s="13">
        <v>1</v>
      </c>
      <c r="E435">
        <v>4</v>
      </c>
      <c r="F435">
        <v>10</v>
      </c>
      <c r="G435" t="s">
        <v>884</v>
      </c>
      <c r="H435" t="s">
        <v>14</v>
      </c>
      <c r="I435">
        <v>2024</v>
      </c>
      <c r="J435">
        <v>1</v>
      </c>
      <c r="K435">
        <v>1</v>
      </c>
    </row>
    <row r="436" spans="1:14">
      <c r="B436" t="s">
        <v>894</v>
      </c>
      <c r="C436" s="9" t="s">
        <v>895</v>
      </c>
      <c r="D436" s="13">
        <v>1</v>
      </c>
      <c r="E436">
        <v>5</v>
      </c>
      <c r="F436">
        <v>10</v>
      </c>
      <c r="G436" t="s">
        <v>884</v>
      </c>
      <c r="H436" t="s">
        <v>14</v>
      </c>
      <c r="I436">
        <v>2024</v>
      </c>
      <c r="J436">
        <v>1</v>
      </c>
      <c r="K436">
        <v>1</v>
      </c>
    </row>
    <row r="437" spans="1:14">
      <c r="B437" t="s">
        <v>896</v>
      </c>
      <c r="C437" s="9" t="s">
        <v>897</v>
      </c>
      <c r="D437" s="13">
        <v>0</v>
      </c>
      <c r="E437">
        <v>6</v>
      </c>
      <c r="F437">
        <v>10</v>
      </c>
      <c r="G437" t="s">
        <v>884</v>
      </c>
      <c r="H437" t="s">
        <v>14</v>
      </c>
      <c r="I437">
        <v>2024</v>
      </c>
      <c r="J437">
        <v>1</v>
      </c>
      <c r="K437">
        <v>1</v>
      </c>
    </row>
    <row r="438" spans="1:14">
      <c r="B438" t="s">
        <v>898</v>
      </c>
      <c r="C438" s="9" t="s">
        <v>899</v>
      </c>
      <c r="D438" s="13">
        <v>0</v>
      </c>
      <c r="E438">
        <v>7</v>
      </c>
      <c r="F438">
        <v>10</v>
      </c>
      <c r="G438" t="s">
        <v>884</v>
      </c>
      <c r="H438" t="s">
        <v>14</v>
      </c>
      <c r="I438">
        <v>2024</v>
      </c>
      <c r="J438">
        <v>1</v>
      </c>
      <c r="K438">
        <v>1</v>
      </c>
      <c r="L438" s="20"/>
      <c r="M438" s="20"/>
      <c r="N438" s="20"/>
    </row>
    <row r="439" spans="1:14">
      <c r="B439" t="s">
        <v>900</v>
      </c>
      <c r="C439" s="9" t="s">
        <v>901</v>
      </c>
      <c r="D439" s="13">
        <v>1</v>
      </c>
      <c r="E439">
        <v>8</v>
      </c>
      <c r="F439">
        <v>10</v>
      </c>
      <c r="G439" t="s">
        <v>884</v>
      </c>
      <c r="H439" t="s">
        <v>14</v>
      </c>
      <c r="I439">
        <v>2024</v>
      </c>
      <c r="J439">
        <v>1</v>
      </c>
      <c r="K439">
        <v>1</v>
      </c>
    </row>
    <row r="440" spans="1:14">
      <c r="B440" t="s">
        <v>902</v>
      </c>
      <c r="C440" s="9" t="s">
        <v>903</v>
      </c>
      <c r="D440" s="13">
        <v>0</v>
      </c>
      <c r="E440">
        <v>9</v>
      </c>
      <c r="F440">
        <v>10</v>
      </c>
      <c r="G440" t="s">
        <v>884</v>
      </c>
      <c r="H440" t="s">
        <v>14</v>
      </c>
      <c r="I440">
        <v>2024</v>
      </c>
      <c r="J440">
        <v>1</v>
      </c>
      <c r="K440">
        <v>1</v>
      </c>
    </row>
    <row r="441" spans="1:14">
      <c r="B441" t="s">
        <v>904</v>
      </c>
      <c r="C441" s="9" t="s">
        <v>905</v>
      </c>
      <c r="D441" s="13">
        <v>1</v>
      </c>
      <c r="E441">
        <v>10</v>
      </c>
      <c r="F441">
        <v>10</v>
      </c>
      <c r="G441" t="s">
        <v>884</v>
      </c>
      <c r="H441" t="s">
        <v>14</v>
      </c>
      <c r="I441">
        <v>2024</v>
      </c>
      <c r="J441">
        <v>1</v>
      </c>
      <c r="K441">
        <v>1</v>
      </c>
    </row>
    <row r="442" spans="1:14">
      <c r="A442" t="s">
        <v>906</v>
      </c>
      <c r="B442" t="s">
        <v>907</v>
      </c>
      <c r="C442" s="9" t="s">
        <v>908</v>
      </c>
      <c r="D442" s="13">
        <v>1</v>
      </c>
      <c r="E442">
        <v>1</v>
      </c>
      <c r="F442">
        <v>10</v>
      </c>
      <c r="G442" t="s">
        <v>884</v>
      </c>
      <c r="H442" t="s">
        <v>14</v>
      </c>
      <c r="I442">
        <v>2023</v>
      </c>
      <c r="J442">
        <v>1</v>
      </c>
      <c r="K442">
        <v>1</v>
      </c>
    </row>
    <row r="443" spans="1:14">
      <c r="B443" t="s">
        <v>909</v>
      </c>
      <c r="C443" s="9" t="s">
        <v>910</v>
      </c>
      <c r="D443" s="13">
        <v>0</v>
      </c>
      <c r="E443">
        <v>2</v>
      </c>
      <c r="F443">
        <v>10</v>
      </c>
      <c r="G443" t="s">
        <v>884</v>
      </c>
      <c r="H443" t="s">
        <v>14</v>
      </c>
      <c r="I443">
        <v>2023</v>
      </c>
      <c r="J443">
        <v>1</v>
      </c>
      <c r="K443">
        <v>1</v>
      </c>
    </row>
    <row r="444" spans="1:14">
      <c r="B444" t="s">
        <v>911</v>
      </c>
      <c r="C444" s="9" t="s">
        <v>912</v>
      </c>
      <c r="D444" s="13">
        <v>0</v>
      </c>
      <c r="E444">
        <v>3</v>
      </c>
      <c r="F444">
        <v>10</v>
      </c>
      <c r="G444" t="s">
        <v>884</v>
      </c>
      <c r="H444" t="s">
        <v>14</v>
      </c>
      <c r="I444">
        <v>2023</v>
      </c>
      <c r="J444">
        <v>1</v>
      </c>
      <c r="K444">
        <v>1</v>
      </c>
    </row>
    <row r="445" spans="1:14">
      <c r="B445" t="s">
        <v>913</v>
      </c>
      <c r="C445" s="9" t="s">
        <v>914</v>
      </c>
      <c r="D445" s="13">
        <v>0</v>
      </c>
      <c r="E445">
        <v>4</v>
      </c>
      <c r="F445">
        <v>10</v>
      </c>
      <c r="G445" t="s">
        <v>884</v>
      </c>
      <c r="H445" t="s">
        <v>14</v>
      </c>
      <c r="I445">
        <v>2023</v>
      </c>
      <c r="J445">
        <v>1</v>
      </c>
      <c r="K445">
        <v>1</v>
      </c>
    </row>
    <row r="446" spans="1:14">
      <c r="B446" t="s">
        <v>915</v>
      </c>
      <c r="C446" s="9" t="s">
        <v>916</v>
      </c>
      <c r="D446" s="13">
        <v>1</v>
      </c>
      <c r="E446">
        <v>5</v>
      </c>
      <c r="F446">
        <v>10</v>
      </c>
      <c r="G446" t="s">
        <v>884</v>
      </c>
      <c r="H446" t="s">
        <v>14</v>
      </c>
      <c r="I446">
        <v>2023</v>
      </c>
      <c r="J446">
        <v>1</v>
      </c>
      <c r="K446">
        <v>1</v>
      </c>
    </row>
    <row r="447" spans="1:14">
      <c r="B447" t="s">
        <v>917</v>
      </c>
      <c r="C447" s="9" t="s">
        <v>918</v>
      </c>
      <c r="D447" s="13">
        <v>0</v>
      </c>
      <c r="E447">
        <v>6</v>
      </c>
      <c r="F447">
        <v>10</v>
      </c>
      <c r="G447" t="s">
        <v>884</v>
      </c>
      <c r="H447" t="s">
        <v>14</v>
      </c>
      <c r="I447">
        <v>2023</v>
      </c>
      <c r="J447">
        <v>1</v>
      </c>
      <c r="K447">
        <v>1</v>
      </c>
    </row>
    <row r="448" spans="1:14">
      <c r="B448" t="s">
        <v>919</v>
      </c>
      <c r="C448" s="9" t="s">
        <v>920</v>
      </c>
      <c r="D448" s="13">
        <v>0</v>
      </c>
      <c r="E448">
        <v>7</v>
      </c>
      <c r="F448">
        <v>10</v>
      </c>
      <c r="G448" t="s">
        <v>884</v>
      </c>
      <c r="H448" t="s">
        <v>14</v>
      </c>
      <c r="I448">
        <v>2023</v>
      </c>
      <c r="J448">
        <v>1</v>
      </c>
      <c r="K448">
        <v>1</v>
      </c>
    </row>
    <row r="449" spans="2:11">
      <c r="B449" t="s">
        <v>921</v>
      </c>
      <c r="C449" s="9" t="s">
        <v>922</v>
      </c>
      <c r="D449" s="13">
        <v>1</v>
      </c>
      <c r="E449">
        <v>8</v>
      </c>
      <c r="F449">
        <v>10</v>
      </c>
      <c r="G449" t="s">
        <v>884</v>
      </c>
      <c r="H449" t="s">
        <v>14</v>
      </c>
      <c r="I449">
        <v>2023</v>
      </c>
      <c r="J449">
        <v>1</v>
      </c>
      <c r="K449">
        <v>1</v>
      </c>
    </row>
    <row r="450" spans="2:11">
      <c r="B450" t="s">
        <v>923</v>
      </c>
      <c r="C450" s="9" t="s">
        <v>924</v>
      </c>
      <c r="D450" s="13">
        <v>0</v>
      </c>
      <c r="E450">
        <v>9</v>
      </c>
      <c r="F450">
        <v>10</v>
      </c>
      <c r="G450" t="s">
        <v>884</v>
      </c>
      <c r="H450" t="s">
        <v>14</v>
      </c>
      <c r="I450">
        <v>2023</v>
      </c>
      <c r="J450">
        <v>1</v>
      </c>
      <c r="K450">
        <v>1</v>
      </c>
    </row>
    <row r="451" spans="2:11">
      <c r="B451" t="s">
        <v>925</v>
      </c>
      <c r="C451" s="9" t="s">
        <v>926</v>
      </c>
      <c r="D451" s="13">
        <v>1</v>
      </c>
      <c r="E451">
        <v>10</v>
      </c>
      <c r="F451">
        <v>10</v>
      </c>
      <c r="G451" t="s">
        <v>884</v>
      </c>
      <c r="H451" t="s">
        <v>14</v>
      </c>
      <c r="I451">
        <v>2023</v>
      </c>
      <c r="J451">
        <v>1</v>
      </c>
      <c r="K451">
        <v>1</v>
      </c>
    </row>
  </sheetData>
  <phoneticPr fontId="12"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D8"/>
  <sheetViews>
    <sheetView zoomScale="120" zoomScaleNormal="120" workbookViewId="0">
      <selection activeCell="D18" sqref="D18"/>
    </sheetView>
  </sheetViews>
  <sheetFormatPr baseColWidth="10" defaultRowHeight="16"/>
  <cols>
    <col min="2" max="2" width="0" hidden="1" customWidth="1"/>
  </cols>
  <sheetData>
    <row r="1" spans="1:4">
      <c r="A1" s="1" t="s">
        <v>428</v>
      </c>
    </row>
    <row r="2" spans="1:4">
      <c r="A2" s="15" t="s">
        <v>675</v>
      </c>
    </row>
    <row r="3" spans="1:4">
      <c r="A3" s="1" t="s">
        <v>429</v>
      </c>
      <c r="B3" s="1" t="s">
        <v>430</v>
      </c>
      <c r="C3" s="1" t="s">
        <v>431</v>
      </c>
      <c r="D3" s="1" t="s">
        <v>432</v>
      </c>
    </row>
    <row r="4" spans="1:4">
      <c r="A4">
        <v>82</v>
      </c>
      <c r="B4">
        <v>0</v>
      </c>
      <c r="C4">
        <v>120</v>
      </c>
      <c r="D4">
        <v>202</v>
      </c>
    </row>
    <row r="6" spans="1:4">
      <c r="A6" s="15" t="s">
        <v>839</v>
      </c>
    </row>
    <row r="7" spans="1:4">
      <c r="A7" s="1" t="s">
        <v>429</v>
      </c>
      <c r="B7" s="1" t="s">
        <v>430</v>
      </c>
      <c r="C7" s="1" t="s">
        <v>431</v>
      </c>
      <c r="D7" s="1" t="s">
        <v>432</v>
      </c>
    </row>
    <row r="8" spans="1:4">
      <c r="A8">
        <f>COUNTIF(Sheet1!D:D,"0")</f>
        <v>348</v>
      </c>
      <c r="B8">
        <f>COUNTIF(Sheet1!D:D," ")</f>
        <v>0</v>
      </c>
      <c r="C8">
        <f>COUNTIF(Sheet1!D:D,"1")</f>
        <v>93</v>
      </c>
      <c r="D8">
        <f>SUM(A8:C8)</f>
        <v>441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2026-04-10T02:52:06Z</dcterms:modified>
</cp:coreProperties>
</file>