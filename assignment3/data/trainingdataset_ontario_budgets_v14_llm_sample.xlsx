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202300"/>
  <mc:AlternateContent xmlns:mc="http://schemas.openxmlformats.org/markup-compatibility/2006">
    <mc:Choice Requires="x15">
      <x15ac:absPath xmlns:x15ac="http://schemas.microsoft.com/office/spreadsheetml/2010/11/ac" url="/Users/saramurphy/Documents/GitHub/text-analysis-public-university-llm/assignment3/data/"/>
    </mc:Choice>
  </mc:AlternateContent>
  <xr:revisionPtr revIDLastSave="0" documentId="13_ncr:1_{210458C8-5524-5848-87EE-8311F71CE8F6}" xr6:coauthVersionLast="47" xr6:coauthVersionMax="47" xr10:uidLastSave="{00000000-0000-0000-0000-000000000000}"/>
  <bookViews>
    <workbookView xWindow="20000" yWindow="4300" windowWidth="17900" windowHeight="15980" xr2:uid="{FB597964-1960-7349-B80F-395C3D8D9DDC}"/>
  </bookViews>
  <sheets>
    <sheet name="Sheet1" sheetId="1" r:id="rId1"/>
    <sheet name="Sheet2"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3" l="1"/>
  <c r="F23" i="3"/>
  <c r="F22" i="3"/>
  <c r="C19" i="3"/>
  <c r="C17" i="3"/>
  <c r="C15" i="3"/>
  <c r="C12" i="3"/>
  <c r="A12" i="3"/>
  <c r="C8" i="3"/>
  <c r="B8" i="3"/>
  <c r="A8" i="3"/>
  <c r="D8" i="3" l="1"/>
</calcChain>
</file>

<file path=xl/sharedStrings.xml><?xml version="1.0" encoding="utf-8"?>
<sst xmlns="http://schemas.openxmlformats.org/spreadsheetml/2006/main" count="1908" uniqueCount="695">
  <si>
    <t>document</t>
  </si>
  <si>
    <t>ID</t>
  </si>
  <si>
    <t>text</t>
  </si>
  <si>
    <t>university</t>
  </si>
  <si>
    <t>year</t>
  </si>
  <si>
    <t>order</t>
  </si>
  <si>
    <t>total para</t>
  </si>
  <si>
    <t>queens_2019</t>
  </si>
  <si>
    <t>queens_2018</t>
  </si>
  <si>
    <t>queens_2017</t>
  </si>
  <si>
    <t>queens_2017_1</t>
  </si>
  <si>
    <t>Queen's University</t>
  </si>
  <si>
    <t>province</t>
  </si>
  <si>
    <t>ON</t>
  </si>
  <si>
    <t>treatment group</t>
  </si>
  <si>
    <t>treatment period</t>
  </si>
  <si>
    <t>Almost 94%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</si>
  <si>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has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</si>
  <si>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In 2015-16, a funding model review was undertaken by the Ministry of Advanced Education and Skills Development (MAESD). The review consultation paper, released in April 2015, stated that the $3.5 billion invested by the provincial government would “remain stable”, which is to say it was not projected to increase in the foreseeable future. In 2016-17, MAESD began the implementation of the recommendations from the report that proposed a framework under which future grant funding should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</si>
  <si>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are discussions with each university within the Strategic Mandate Agreement (SMA) process to negotiate what, if any growth funding will be available for both flow-through growth on previous expansion and new programs that in good faith were submitted and approved and will begin within the period covered by this SMA period (2017-18 through to 2019-20). </t>
  </si>
  <si>
    <t>For the purposes of this budget the assumption was made that the negotiations with the Ministry on the funding of both flow through growth and new growth that was included in the budget would be successful and therefore the revenues related to the growth over and above the 2016-17 actual enrolment level has been included but is a possible risk to the budget. The monetary risk to the budget in 2017-18 is $1.5M. </t>
  </si>
  <si>
    <t>For the three-year planning period to 2019-20,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pressing. The pension solvency issue is also being addressed to ensure long term financial sustainability. </t>
  </si>
  <si>
    <t>The government announced a four-year tuition framework in March 2013. This limited tuition fee growth to an institutional average of 3%. This tuition framework was due to expire after 2016-17. In December 2016, MAESD announced a extension of the same tuition framework for an additional two years. For the purposes of this budget the same tuition framework was assumed for the 2019-20 year as no better information is available. </t>
  </si>
  <si>
    <t>In addition, all institutions were requested to move to approving tuition fees two years ahead to facilitate the implementation of net-tuition billing. As a result, in March 2017, the Board of Trustees approved two years of tuition increases for 2017-18 and 2018-19. We were required to maintain a reduced rate of increase across all programs to accommodate the institution-wide cap. We are unable to charge 5% in the professional programs and remain within the institutional cap. In moving to a two year fee setting structure MAESD adjusted the tuition compliance requirements and provided Universities with the ability of submitting the tuition compliance once for both years if the fee increases across all eligible programs were identical for both years.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</si>
  <si>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over the next several years. </t>
  </si>
  <si>
    <t>queens_2017_2</t>
  </si>
  <si>
    <t>queens_2017_3</t>
  </si>
  <si>
    <t>queens_2017_4</t>
  </si>
  <si>
    <t>queens_2017_5</t>
  </si>
  <si>
    <t>queens_2017_6</t>
  </si>
  <si>
    <t>queens_2017_7</t>
  </si>
  <si>
    <t>queens_2017_8</t>
  </si>
  <si>
    <t>queens_2017_9</t>
  </si>
  <si>
    <t>queens_2018_1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</si>
  <si>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</si>
  <si>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</si>
  <si>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During 2017-18, the Ministry of Advanced Education and Skills Development (MAESD) began the implementation of a new funding model that includeds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</si>
  <si>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 </t>
  </si>
  <si>
    <t>The Ministry has allocated one-time only funding for 2017-18 relating to the flow through growth. For the purposes of this budget the assumption was made that this one-time funding would be included in the base funding for 2018-19 onward. No growth beyond the 2017-18 enrolment level has been assumed in government grant. The inclusion of the one-time only 2017-18 funding is a possible risk to the budget. The monetary risk to the budget in 2018-19 is $1.9M. For the SMA 2 period all funding within the differentiation bin is being allocated based on enrolment. The intent of the Ministry is that these funds will be distributed based on outcomes based metrics for SMA 3 which will start in 2020-21 assuming there is no change in policy.</t>
  </si>
  <si>
    <t>For the three-year planning period to 2020-21,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 </t>
  </si>
  <si>
    <t>The Ministry has not yet announced what the tuition framework will be over the second and third year of this budget planning time frame. However, the budget continues to assume the same tuition framework will continue which limits tuition fee growth to an institutional average of 3%. Unviersities continue to await an announcement on the future of the new tuition framework. </t>
  </si>
  <si>
    <t>Previously, all institutions were requested to move to approving tuition fees two years ahead to facilitate the implementation of net-tuition billing. As a result, we had intended on bringing fees for 2019-20 to March board. However, due to the delay in the announcement of the next tuition framework we have post-poned the approval of the fees for 2019-20 until the Ministry announces what the new tuition framework will be for 2019-20.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</si>
  <si>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t>
  </si>
  <si>
    <t>queens_2018_2</t>
  </si>
  <si>
    <t>queens_2018_3</t>
  </si>
  <si>
    <t>queens_2018_4</t>
  </si>
  <si>
    <t>queens_2018_5</t>
  </si>
  <si>
    <t>queens_2018_6</t>
  </si>
  <si>
    <t>queens_2018_7</t>
  </si>
  <si>
    <t>queens_2018_8</t>
  </si>
  <si>
    <t>queens_2018_9</t>
  </si>
  <si>
    <t>queens_2019_1</t>
  </si>
  <si>
    <t>queens_2020</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</si>
  <si>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</si>
  <si>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t>
  </si>
  <si>
    <t>During 2017-18, the Ministry of Training, Colleges and Universities (MTCU)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</si>
  <si>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As part of the implementation of the new grant funding formula for universities, the Ministry
committed to at a minimum maintain the 2016-17 funding level for all universities for the duration of
the second round of SMA which concludes in 2019-20. The Ministry has re-introduced the enrolment
corridor funding methodology which would ensure grant revenue remains constant if enrolment
remains within +/- 3%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t>
  </si>
  <si>
    <t>For the three-year planning period to 2021-22,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</si>
  <si>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third year of this budget planning
time frame. Consequently, this budget assumes a continuation of the 2020-21 tuition framework of a
0% increase for funding-eligible programs. Universities continue to await an announcement on the
future of the new tuition framework.</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</si>
  <si>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t>
  </si>
  <si>
    <t>queens_2019_2</t>
  </si>
  <si>
    <t>queens_2019_3</t>
  </si>
  <si>
    <t>queens_2019_4</t>
  </si>
  <si>
    <t>queens_2019_5</t>
  </si>
  <si>
    <t>queens_2019_6</t>
  </si>
  <si>
    <t>queens_2019_7</t>
  </si>
  <si>
    <t>queens_2020_1</t>
  </si>
  <si>
    <t>Subsequent to the March board meeting, the finalization and approval of the 2020-21 budget was
altered as the University found itself grappling with the impacts of the COVID-19 crisis. The total effects
of this pandemic were not yet fully understood, and the exact end state of the emergency measures
were very much unknown. Nevertheless, the emergency measures in place and on-going physical
distancing requirements were expected to impact University operations.</t>
  </si>
  <si>
    <t>Given the fluidity of the situation and the uncertainty of the impact on operations at the time, the
Board was asked to approve the 2020-21 budget developed in detail prior to COVID-19. The Principal
and Vice-Chancellor and the Provost and Vice-principal (Academic) presented the alternate enrolment
scenarios to the Board at the May meeting, along with the potential budget implications.
Subsequently, the University continued to monitor the situation and once better information was
available over the summer and into September 2020 on enrolments and other budget impacts, an
update was provided to the Board at the September 25th, 2020 meeting of the Capital Assets and
Finance committee.</t>
  </si>
  <si>
    <t>The committee was presented with information demonstrating that, overall, operating revenue was
not expected to be significantly different than what was projected in the previously approved budget;
therefore, no changes were recommended for the 2020-21 budget. Any variances to the budget are to
be reported in the regular financial updates to the Board in the December 2020, March 2021, and May
2021 meetings.</t>
  </si>
  <si>
    <t>As a result, the remainder of this document is prepared to document the 2020-21 budget approved by
the Board describing the process and other aspects related to areas such as, student financial
assistance, compensation, investment, capital, pension, research, trust and endowment, and ancillary
operations all planned in a pre-COVID context.</t>
  </si>
  <si>
    <t>Almost 96% of revenue in the Operating budget is mostly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</si>
  <si>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</si>
  <si>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</si>
  <si>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For the three-year planning period to 2022-23,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</si>
  <si>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second year of this budget planning
time frame. Consequently, this budget assumes a continuation of the 2020-21 tuition framework of a
0% increase for funding-eligible programs. Universities continue to await an announcement on the
future of the new tuition framework.</t>
  </si>
  <si>
    <t>queens_2020_2</t>
  </si>
  <si>
    <t>queens_2020_3</t>
  </si>
  <si>
    <t>queens_2020_4</t>
  </si>
  <si>
    <t>queens_2020_5</t>
  </si>
  <si>
    <t>queens_2020_6</t>
  </si>
  <si>
    <t>queens_2020_7</t>
  </si>
  <si>
    <t>queens_2020_8</t>
  </si>
  <si>
    <t>queens_2020_9</t>
  </si>
  <si>
    <t>queens_2021</t>
  </si>
  <si>
    <t>queens_2021_1</t>
  </si>
  <si>
    <t>Almost 97% of revenue in the Operating budget is mainly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</si>
  <si>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envelope which is linked to enrolment, a performance/outcomesbased
envelope which has outcomes based metrics linked to it, and a special purposes envelope which
contains targeted grants for initiatives such as disability supports, French language, clinical programs
etc.</t>
  </si>
  <si>
    <t>Provincial grant revenue, although presenting with some certainty over the next few years, is still
financially limiting for the University as the maximum grant to be received will be maintained at the
2019-20 level until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 The amount of funding at-risk in
the performance-based envelope will increase from 25% of sector-wide grant revenue in 2020-21 to
60% by 2024-25 by shifting funding from the enrolment envelope into the performance-based
envelope. Although this at-risk funding was intended to begin in 2020-21, the ministry announced the decoupling of funding from the performance against metrics for at least the first two years of the
SMA3 period (2020-21 &amp; 2021-22).</t>
  </si>
  <si>
    <t>For the three-year planning period to 2023-24,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</si>
  <si>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On April 30, 2021, the Ministry announced the tuition framework for 2021-22. The framework
continues the previously announced framework with a tuition freeze at the 2020-21 levels for
domestic funding-eligible programs, except the framework permits increasing tuition for domestic outof-
province students by up to three percent. Due to the timing of the announcement, the budget
presented here does not reflect the impact of any such increases the university may subsequently elect
to introduce. For 2021-22, the budget appropriately assumes a 0% increase for domestic fundingeligible
programs. Tuition fees will be adjusted based on any changes to the tuition framework beyond
2021-22.</t>
  </si>
  <si>
    <t>queens_2021_2</t>
  </si>
  <si>
    <t>queens_2021_3</t>
  </si>
  <si>
    <t>queens_2021_4</t>
  </si>
  <si>
    <t>queens_2021_5</t>
  </si>
  <si>
    <t>queens_2021_6</t>
  </si>
  <si>
    <t>queens_2022</t>
  </si>
  <si>
    <t>queens_2022_1</t>
  </si>
  <si>
    <t>Provincial grant revenue is financially limiting for the University because the maximum grant will be
maintained at the 2019-20 level until, at a minimum,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Applying the enrolment corridor
for each institution allows the government to cap how many domestic students it will fund through the
operating grant portion. The university is expected to adhere to the enrolment corridor based on a
rolling average. Any sustained growth above the mid-point does not result in additional provincial
grant funding for those students but does result in additional tuition revenue. Recently, Queen’s has
planned for careful growth above the mid-point in select, high-demand areas.</t>
  </si>
  <si>
    <t>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t>
  </si>
  <si>
    <t>The province provided a number of announcements late in fiscal 2021-22 which are outlined in the
Government Grant section of this report. These announcements defer the at-risk funding linked to
SMA3, provide additional funding for undergraduate and postgraduate medical spaces, and confirm
the tuition framework for 2022-23.</t>
  </si>
  <si>
    <t>For the three-year planning period to 2024-25,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</si>
  <si>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March 23, 2022, the provincial government announced the tuition framework applicable for only percent. As a result, the University will apply a five percent increase to tuition fees for domestic out-ofprovince
incoming direct-entry undergraduate students only. Due to the system and administrative
changes required to identify the out-of-province students, the budget presented here does not reflect
the impact of any such increases.
2022-23 which continues to restrict flexibility for the University by freezing tuition fees for domestic
funding-eligible programs at 2019-20 levels for Ontario students. However, the province will provide
institutions the ability to increase tuition fees for domestic out-of-province students by up to five</t>
  </si>
  <si>
    <t>queens_2022_2</t>
  </si>
  <si>
    <t>queens_2022_3</t>
  </si>
  <si>
    <t>queens_2022_4</t>
  </si>
  <si>
    <t>queens_2022_5</t>
  </si>
  <si>
    <t>queens_2022_6</t>
  </si>
  <si>
    <t>queens_2022_7</t>
  </si>
  <si>
    <t>queens_2023</t>
  </si>
  <si>
    <t>queens_2023_1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</si>
  <si>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</si>
  <si>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</si>
  <si>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Subsequent to the budget being approved by the Board of Trustees, the University imposed a hiring
freeze in May 2023 for full-time operating budget positions. This temporary measure will have an
immediate impact by reducing the University’s projected 2023-24 deficit and providing a starting point
to explore other cost containment options. The University is committed to achieving a balanced budget
by 2025-26.</t>
  </si>
  <si>
    <t>Provincial grant revenue is financially limiting for the University because the maximum grant will be
maintained at the 2019-20 level until, at a minimum, 2024-25.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</si>
  <si>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SMA3, the performance-based envelope is linked to ten metrics with differing weights for
each metric set by each individual institution. The funding in the performance-based envelope is at-risk
unless the targets, set through a calculated methodology based on past average experience in each
metric, are continually met.</t>
  </si>
  <si>
    <t>The province made a number of announcements late in fiscal year 2022-23, applicable to future years,
which are outlined in the Government Grant section of this report. These announcements confirm
activation of performance-based funding linked to SMA3 to start in 2023-24 at a system-wide
proportion of ten per cent for Year 4 (2023-24). However, additional funding has been announced
linked to growth in the undergraduate and postgraduate medical spaces and nursing spaces which is
expected to be provided outside of the corridor and performance-based funding envelopes.</t>
  </si>
  <si>
    <t>For the three-year planning period to 2025-26, the University is committed to balanced budgets, with continued support for key functions in the Shared Services, all balanced by ensuring that sufficient
incremental revenue remains in the Faculties to support the academic and research missions of the
University. The need to diversify revenue remains important.
flexibility in the form of a contingency fund, continued investment in infrastructure renewal, and</t>
  </si>
  <si>
    <t>On March 2, 2023, the provincial government announced the tuition framework applicable for only
2023-24 which continues to restrict flexibility for the University by freezing tuition fees for domestic
funding-eligible programs at 2019-20 levels for Ontario students. However, the province will provide
institutions with the ability to increase tuition fees for domestic out-of-province students by up to five
per cent. As a result, the University will apply a five per cent increase to tuition fees for year-one and
year-two domestic out-of-province direct-entry undergraduate students only. In addition, the tuition
framework provided for the ability to increase tuition fees by up to 7.5% for up to three programs
whose tuition fees were on average anomalous to comparator programs in the province. As the tuition
anomaly provision was announced late in the process, the budget presented here does not reflect the
impact of the additional revenue that will materialize from the tuition anomaly provision.</t>
  </si>
  <si>
    <t>queens_2023_2</t>
  </si>
  <si>
    <t>queens_2023_3</t>
  </si>
  <si>
    <t>queens_2023_4</t>
  </si>
  <si>
    <t>queens_2023_5</t>
  </si>
  <si>
    <t>queens_2023_6</t>
  </si>
  <si>
    <t>queens_2023_7</t>
  </si>
  <si>
    <t>queens_2023_8</t>
  </si>
  <si>
    <t>queens_2024</t>
  </si>
  <si>
    <t>queens_2024_1</t>
  </si>
  <si>
    <t>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</si>
  <si>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has limited funding increases for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</si>
  <si>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</si>
  <si>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After a period of decoupling funding from the performance metrics, the ministry re-introduced the
funding linked to SMA3 metrics for 2023-24 and 2024-25, but at lower rates than were originally
contemplated; this now places 10 per cent of funding at-risk for 2023-24 and 25 per cent at-risk for
2024-25 (confirmed by the ministry on February 27, 2024). The university continues to be in a good
position to perform well on most of the metrics, however the budget does allow for some revenue
reduction to accommodate for potential revenue loss experienced through the annual evaluation.
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 for 2024-
25.</t>
  </si>
  <si>
    <t>For the three-year planning period, the university is committed to prudent stewardship of funds, with incremental revenue remains in the Faculties to support the academic and research missions of the
university. The need to diversify revenue remains important.
flexibility in the form of a contingency fund, continued investment in infrastructure renewal, and
continued support for key functions in the shared services, all balanced by ensuring that sufficient</t>
  </si>
  <si>
    <t>On February 27, 2024, the provincial government announced the tuition framework applicable for the
next three years, which continues to restrict flexibility for the university by freezing tuition fees for
domestic funding-eligible programs at 2019-20 levels for Ontario students for at least three more
years. However, the province will provide institutions with the ability to increase tuition fees for
domestic out-of-province students by up to five per cent. As a result, the university will apply a five per
cent increase to tuition fees for year-one, year-two and year-three domestic out-of-province directentry
undergraduate students only.
Additionally, the tuition framework continues to provide for the ability to increase tuition fees by up to
7.5 per cent for three programs whose tuition fees are on average anomalous to comparator programs
in the province.</t>
  </si>
  <si>
    <t>Over the summer and fall in 2023, all units (both shared services and faculties/schools) planned their
budgets and reductions required to meet the financial scenario of having their allocations cut. The
funding that was cut from their allocations was held in a Deficit Mitigation Fund to help determine
what areas were most critically in need and unable to mitigate the cuts in budget. As a result of this
planning exercise, shared services demonstrated plans to achieve structural balance by 2025-26,
however, the faculties/schools are unlikely to achieve structural balance by 2025-26 mostly due to the
significant impact of lost revenue and cost escalation in the Faculty of Arts &amp; Science (FAS). As a result,
the entire deficit mitigation fund will be allocated to FAS, along with a portion of the university fund,
by way of unallocated funds set aside for future commitment and a reduction in the transfers to capital
that were initially earmarked for future capital needs linked with the priorities set through the Capital
Investment Priorities.</t>
  </si>
  <si>
    <t>queens_2024_2</t>
  </si>
  <si>
    <t>queens_2024_3</t>
  </si>
  <si>
    <t>queens_2024_4</t>
  </si>
  <si>
    <t>queens_2024_5</t>
  </si>
  <si>
    <t>queens_2024_6</t>
  </si>
  <si>
    <t>queens_2024_7</t>
  </si>
  <si>
    <t>queens_2024_8</t>
  </si>
  <si>
    <t>queens_2025</t>
  </si>
  <si>
    <t>queens_2025_1</t>
  </si>
  <si>
    <t>Approximately 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</si>
  <si>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be reduced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</si>
  <si>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SMA4 the performance-based envelope will be linked to eight metrics with differing weights
for each metric set by each individual institution. A portion of the funding in the performance-based
envelope is at risk unless the targets, set through a calculated methodology based on past average
experience in each metric, are continually met.</t>
  </si>
  <si>
    <t>The ministry will continue with approximately 25% of the government grant funding linked to SMA4
metrics, with the expectation that the percentage will increase by 5% per year. The university
continues to be in a good position to perform well on most of the metrics, however the budget does
allow for some revenue reduction to accommodate for potential revenue loss experienced through the
annual evaluation.</t>
  </si>
  <si>
    <t>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t>
  </si>
  <si>
    <t>For the three-year planning period, the university is committed to prudent stewardship of funds,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</si>
  <si>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February 27, 2024, the provincial government announced the tuition framework applicable for the 2026-27. However, the province did allow institutions to increase tuition fees for domestic out-ofprovince
students by up to five per cent. As a result, the university will apply a 5% increase to tuition
fees throughout the planning cycle for out-of-province direct-entry undergraduate students only.
Additionally, the tuition framework continues to provide for the ability to increase tuition fees by up to
7.5% for three programs whose tuition fees are on average anomalous to comparator programs in the
province. The three programs reach their maximum approved tuition value during the three-year
budget horizon.
next three years, which continues to restrict flexibility for the university by freezing tuition fees for
domestic funding-eligible programs at 2019-20 levels for Ontario students for at least until the end of</t>
  </si>
  <si>
    <t>Over the summer, units planned their budgets and reductions required to meet the financial scenario
of having their allocations frozen or cut. The funding that was cut from their allocations was held in a
Deficit Mitigation Fund. As a result of this planning exercise, shared services demonstrated plans to
achieve structural balance by 2025-26, along with most of the faculties/schools, except for the Faculty
of Arts and Science which was unable to achieve structural balance mostly due to the continued impact
of lost revenue and cost escalation. As a result, the entire Deficit Mitigation Fund allocated to FAS,
along with a portion of the Transition Fund (University Fund).</t>
  </si>
  <si>
    <t>queens_2025_2</t>
  </si>
  <si>
    <t>queens_2025_3</t>
  </si>
  <si>
    <t>queens_2025_4</t>
  </si>
  <si>
    <t>queens_2025_5</t>
  </si>
  <si>
    <t>queens_2025_6</t>
  </si>
  <si>
    <t>queens_2025_7</t>
  </si>
  <si>
    <t>queens_2025_8</t>
  </si>
  <si>
    <t>uoft_2017</t>
  </si>
  <si>
    <t>uoft_2017_1</t>
  </si>
  <si>
    <t>University of Toronto</t>
  </si>
  <si>
    <t>Canada, and the world, is facing considerable political, immigration and trade uncertainty with the new US administration, the UK’s withdrawal from the European Union, and rising European populism. Much remains to be seen in terms of the impact on Canadian universities.</t>
  </si>
  <si>
    <t>The 2016 year experienced an improvement in the global economy with the US economy expected to grow over the next two years. The Bank of Canada Monetary Policy report released in January 2017 sees ongoing constraints on the growth in economic activity in Canada through 2017, with modest growth in real GDP, export growth limited by the recent appreciation of the Canadian dollar relative to the US dollar, and CPI inflation expected to be around 2%. While Ontario’s economy has continued to grow in the uncertain global environment, the Province continues to run a deficit budget, projected at $4.2 billion in their 2016 fall economic outlook, imposing pressure on all provincially funded sectors.</t>
  </si>
  <si>
    <t>The Province of Ontario is undergoing a shift in its approach to funding universities and colleges. 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being operationalized through the introduction of a Strategic Mandate Agreement for each institution, which “outlines the role the University currently performs in Ontario’s postsecondary education system and how it will build on its current strengths to achieve its vision and help drive system-wide objectives and government priorities.” Future funding is expected to be increasingly directed towards achievement of excellence metrics, rather than enrolment numbers.</t>
  </si>
  <si>
    <t>The Province of Ontario is entering a period of significant decline in the 18-20 year-old population, primarily in the northern part of the province where the government has expressed concern about the sustainability of universities. In the Greater Toronto Area, projections for this age group call for a slight decline to 2021 and growth of over 20% to 2035. As a result of these demographics, undergraduate growth across the province will be more closely managed, likely through negotiated undergraduate targets; this is a noteworthy departure from the relatively unrestricted approach to undergraduate growth in the last decade.</t>
  </si>
  <si>
    <t>In 2014 the University of Toronto negotiated its first Strategic Mandate Agreement (SMA1) with the Ministry of Advanced Education and Skills Development (MAESD). SMA1 recognized the University’s strength across a broad array of programs and included an allocation of graduate expansion spaces and conversion of undergraduate teacher education spaces to additional graduate teacher education spaces. SMA1 continued to rely on enrolment growth as the key driver (&gt; 90% at UofT) for provincial grant allocations. SMA1 will conclude on April 30, 2017; discussions have begun with MAESD on SMA2, which will cover the 3-year period 2017-18 to 2019-20.</t>
  </si>
  <si>
    <t>The Province is also engaging with universities and colleges in a funding-formula review designed to support the new differentiation framework. While the current funding model for universities is primarily enrolment driven, the new funding formula is designed to focus on accomplishing three key objectives:
1. Improving student outcomes;
2. Driving differentiation by linking funding to SMAs; and
3. Providing stability to institutions through a formula which provides predictable funding and supports enrolment planning during a period of projected demographic change and enrolment decline.</t>
  </si>
  <si>
    <t>The government has suggested that the new formula will likely include three envelopes:
1. The core operating grant, linked to enrolment
2. The differentiation envelope, linked to SMA metrics
3. Special purpose grants</t>
  </si>
  <si>
    <t>Transition to the new funding formula in 2017-18 is designed to ensure that no university will see changes to core funding levels as a result of the transition. Beyond that, changes will be gradual and subject to negotiation between each university and MAESD via Strategic Mandate Agreements.</t>
  </si>
  <si>
    <t>For the 2016-17 academic year, across an undergraduate population of 61,000 undergraduate students (FTEs), actual results came within 152 FTE of plan, a variance of 0.2%, spread across all three campuses. Our plans call for UTM to increase undergraduate enrolment by about 500 FTE over the next three years and then hold steady for a period after that; UTSC plans growth of about 1,000 undergraduate students over the next five years; the St. George campus is projecting a decline of about 500 FTE in undergraduate enrolment over five years, all as specified in the University’s Towards 2030 plan. The growth will be accompanied by considerable capital investment and faculty hiring at the three campuses.</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</si>
  <si>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1.0% relative to January 2016, slightly less than the provincial total of 1.5%. Total University of Toronto applications for all choices increased 3.0%, compared to a system total increase of 2.7%. In the non-Ontario high school category, application numbers do not become fully meaningful until later in the spring. System upgrades at OUAC (the provincial application processing centre) this year have also resulted in processing delays for these applications, which make year-over-year comparisons difficult at this point in time. However, initial indications suggest strong growth in this pool for the University of Toronto.</t>
  </si>
  <si>
    <t>The University met its master’s enrolment target in 2016-17 and there is demand for another 1,000 provincially-funded spaces over the next five years. Doctoral enrolment (for provincially funded spaces) has held constant this year relative to last, however divisions plan for growth about 500 more domestic student spaces. Many divisions continue to push for advocacy with the province for increasing the number of funded international PhD spaces, currently only at thirty eight.</t>
  </si>
  <si>
    <t>A full discussion of tuition fees is contained in the annual Tuition Fee Report 2017-18, and a full discussion of student assistance in the annual Student Aid Report 2015-16, both which accompany this report when presented to the Business Board of Governing Council. It should be noted that the 2015-16 year is the most recent year for which the University and the province have complete information on student assistance. Key highlights of the reports are noted below.</t>
  </si>
  <si>
    <t>Tuition fees at the University of Toronto are determined in accordance with the University’s Tuition Fee Policy, the Statement of Commitment Regarding International Students and the Provincial Government’s Tuition Framework which ran for a four-year period to 2016-17 and was recently extended to 2018-19. The long range budget projections assume the provincial Tuition Framework will remain unchanged over the final three years of the planning period.</t>
  </si>
  <si>
    <t>The University of Toronto is independently committed to student aid and is guided by the 1998 Governing Council policy on accessibility, which predates the government’s framework, and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</si>
  <si>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and 23% of full time domestic 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the portion of total tuition paid by OSAP-eligible students, on average in 2014-15 (the year the university last completed the study) was 51% of the posted rate. There has been a 2.1% increase of students with OSAP debt graduating from direct-entry programs since 2010-11; however, the average OSAP debt of these students decreased over the same period by 3%. The combination of these University and provincial student financial aid programs enhances access to the University’s excellent education opportunities for a wide array of students.</t>
  </si>
  <si>
    <t>The 2016 Ontario budget announced a fundamental restructuring of the provincial financial aid system, to begin in 2017-18. These changes are discussed later in this report.</t>
  </si>
  <si>
    <t>Funding from the federal government is provided to universities primarily to support research and is not generally part of the University’s operating budget. However, it interacts with the University’s operating budget in three important areas: Canada Research Chairs, the institutional cost of research, and graduate student support.</t>
  </si>
  <si>
    <t>In the 2014 federal budget, the government positioned postsecondary research within their Science, Technology and Innovation strategy. The federal budget announced the creation of the Canada First Research Excellence Fund (CFREF), a $1.5 billion fund over ten years. The objective of the fund is to “help Canada’s postsecondary institutions excel globally in research areas that create long-term economic advantages for Canada.” In July 2015 the University of Toronto was awarded the largest research grant in our history under the CFREF program. The $114 million grant is spread over seven years, whereby the University and its partners, which include the Hospital for Sick Children, the University Health Network, and Mount Sinai Hospital to deliver a new program, called Medicine by Design. The initiative and the funding build on years of support for U of T’s regenerative medicine researchers from federal granting councils, the Canada Foundation for Innovation and support from the Canada Research Chairs and Canada Excellence Research Chairs programs. The University did not receive funding in the second round of CFREF awards.</t>
  </si>
  <si>
    <t>The Canada Research Chairs program introduced in 2000-01 provides salary and research support for outstanding university researchers on a competitive basis. Research chairs are awarded to each university based on its share of research funding by the federal granting councils. The University experienced a decline in the number of CRC chairs several years ago but the trend is reversing as we increase our share in tri-council funding competitions. Since the CRC program was introduced, inflation has reduced the effective value of Chair funding by over 25%. An appropriate adjustment to government funding is long overdue.</t>
  </si>
  <si>
    <t>As a long-standing subject of government advocacy, universities have been requesting that the federal government recognize the full cost of research in its research funding policy, with a 40% rate as a minimum target for the indirect costs. The government began to provide institutional costs of research funding in 2003-04 through what is now called the Research Support Fund (RSF), with an effective rate for the University of Toronto now at 17.3%. This is currently contributing just over $20 million to the University’s operating budget, and continues to be considerably short of the actual institutional cost of research, estimated at over 50% at the University of Toronto. A doubling of the federal RSF rate would bring us to $40 million, putting us somewhat closer to our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</si>
  <si>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The support for graduate students has not kept pace with the rapid growth in graduate enrolment.</t>
  </si>
  <si>
    <t>uoft_2017_2</t>
  </si>
  <si>
    <t>uoft_2017_3</t>
  </si>
  <si>
    <t>uoft_2017_4</t>
  </si>
  <si>
    <t>uoft_2017_5</t>
  </si>
  <si>
    <t>uoft_2017_6</t>
  </si>
  <si>
    <t>uoft_2017_7</t>
  </si>
  <si>
    <t>uoft_2017_8</t>
  </si>
  <si>
    <t>uoft_2017_9</t>
  </si>
  <si>
    <t>uoft_2017_10</t>
  </si>
  <si>
    <t>uoft_2017_11</t>
  </si>
  <si>
    <t>uoft_2017_12</t>
  </si>
  <si>
    <t>uoft_2017_13</t>
  </si>
  <si>
    <t>uoft_2017_14</t>
  </si>
  <si>
    <t>uoft_2017_15</t>
  </si>
  <si>
    <t>uoft_2017_16</t>
  </si>
  <si>
    <t>uoft_2017_17</t>
  </si>
  <si>
    <t>uoft_2017_18</t>
  </si>
  <si>
    <t>uoft_2017_19</t>
  </si>
  <si>
    <t>uoft_2017_20</t>
  </si>
  <si>
    <t>uoft_2017_21</t>
  </si>
  <si>
    <t>uoft_2018</t>
  </si>
  <si>
    <t>uoft_2018_1</t>
  </si>
  <si>
    <t>The Canadian economy grew strongly in 2017. Global economic growth continues to strengthen, and the US economy remains robust. Still, Canada remains subject to considerable political, immigration and trade uncertainty, including uncertainty regarding the outcome of ongoing NAFTA renegotiations. Much remains to be seen in terms of the impact on Canadian universities.</t>
  </si>
  <si>
    <r>
      <t>The Bank of Canada Monetary Policy report released in January 2018</t>
    </r>
    <r>
      <rPr>
        <sz val="7"/>
        <color theme="1"/>
        <rFont val="Calibri"/>
        <family val="2"/>
      </rPr>
      <t xml:space="preserve">3 </t>
    </r>
    <r>
      <rPr>
        <sz val="11"/>
        <color theme="1"/>
        <rFont val="Calibri"/>
        <family val="2"/>
      </rPr>
      <t>projects ongoing growth in economic activity in Canada, with modest growth in real GDP of 2.2% in 2018 and 1.6% in 2019. Inflation is expected to remain close to 2% over the planning period. </t>
    </r>
  </si>
  <si>
    <t>Ontario’s economy has continued to grow in the uncertain global environment. The Public Accounts of Ontario indicate that the actual 2016-17 deficit was $1.0 billion, down from $10.3 billion in 2014-15. According to the 2017 fall economic outlook
4, the Province continues to focus on balancing the budget, and maintaining that balance through 2019–20. Spending restraint continues to impose pressure on all provincially-funded sectors.</t>
  </si>
  <si>
    <t>The Province of Ontario is entering a period of decline in the 18-20 year-old population, primarily in the northern part of the province where the government has expressed concern about the sustainability of universities. In the Greater Toronto Area, projections call for a slight decline in this age group to 2021, followed by a period of growth of approximately 20% to 2036. As a result of these demographics, undergraduate growth across the province will be more closely managed through negotiated enrolment targets; this is a noteworthy departure from the relatively unrestricted approach to undergraduate growth in the last decade.</t>
  </si>
  <si>
    <t>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operationalized through a Strategic Mandate Agreement for each institution, which “outlines the role the University currently performs in Ontario’s postsecondary education system and how it will build on its current strengths to achieve its vision and help to drive system-wide objectives and government priorities.” Future funding is expected to be increasingly directed towards achievement of excellence metrics, rather than enrolment numbers. This is a welcome change for the University of Toronto and reflects the University’s long-term advocacy for differentiation.</t>
  </si>
  <si>
    <t>Effective 2017-18, the Province has implemented a new funding formula to support this differentiation policy framework. The new formula is designed to focus on accomplishing three key objectives: 1) improving student outcomes; 2) driving differentiation by linking funding to SMAs; and 3) providing stable, predictable funding while supporting enrolment planning during this period of projected demographic change and enrolment decline.</t>
  </si>
  <si>
    <t>Transition to the new funding formula in 2017-18 is designed to ensure that no university will see changes to core funding levels as a result of the transition. In future years, changes will be gradual and subject to negotiation between each university and MAESD via Strategic Mandate Agreements.</t>
  </si>
  <si>
    <t>In October 2017, the University signed a new Strategic Mandate Agreement (SMA2) with the Province for the period 2017-2020. This is the second multi-year agreement developed under the differentiation policy framework for post-secondary education, and re-confirms the university’s leadership role in research and innovation in Ontario.</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</si>
  <si>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t>
  </si>
  <si>
    <t>The agreement begins the transition to the new funding framework, including stable funding for enrolment within a negotiated enrolment corridor. Funding for enrolment will remain stable provided the University maintains a five-year average enrolment within ±3% of its negotiated target.</t>
  </si>
  <si>
    <t>In addition, the University will receive differentiation funding tied to performance in priority areas such as student experience; innovation, economic development and community engagement; research excellence and impact; access and equity; and innovative teaching. The differentiation envelope will be revenue-neutral throughout the period of SMA2 (2017-2020) while the Province consults with the sector to refine metrics and targets, which will be tied to funding for SMA3 (2020-2023).</t>
  </si>
  <si>
    <t>Fall 2017 undergraduate enrolment results came within just 1 FTE of plan, a variance of 0.002% across all three campuses. This reflects the net impact of a positive variance of 815 (+6.1%) in international enrolment, offset by a negative variance of 814 (-1.7%) in domestic enrolment versus the 2017-18 budget plan. Domestic enrolment growth targets for 2017-18 were set before the outcome of SMA2 negotiations was known.</t>
  </si>
  <si>
    <t>Plans call for undergraduate enrolment growth of 600 FTE (domestic and international students) over the next five years at each of UTM and UTSC; the St. George campus is projecting a decline of about 1,700 FTE over the same period, all as specified in the University’s Towards 2030 plan. Domestic enrolment will be held roughly constant until 2019-20 at UTM and UTSC, and reduced at the St. George campus, as specified in SMA2. Plans call for International enrolment growth of 1,142 FTE at all three campuses over the planning period.</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</si>
  <si>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2.7% relative to January 2017, compared to an average increase of 1.6% for the other research-intensive Ontario universities (McMaster, Ottawa, Queen’s, Waterloo, Western), and an average decline of 1.8% for all other universities combined. Total University of Toronto applications for all choices increased 4.4%, compared to a system total increase of 5.4%. In the non-Ontario high school category, application numbers do not become fully meaningful until later in the spring.</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</si>
  <si>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 </t>
  </si>
  <si>
    <t>Tuition fees at the University of Toronto are determined in accordance with the University’s Tuition Fee Policy, the Statement of Commitment Regarding International Students, and the provincial government’s Tuition Fee Framework 2013-14 to 2016-17, which has been extended to 2018-19 to support a major reform in OSAP. The long range budget projections assume the current Tuition Fee Framework will remain unchanged in 2019-20 and beyond.</t>
  </si>
  <si>
    <t>The University of Toronto is independently committed to student aid, and is guided by the 1998 Governing Council Policy on Accessibility, which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</si>
  <si>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OSAP-eligible students in 2016-17 paid, on average, just 47% of the posted tuition rate.</t>
  </si>
  <si>
    <t>The proportion of students graduating from direct-entry programs with OSAP debt remains relatively stable, at 49.2% of graduates in 2016-17 versus 49.4% of graduates in 2011-12. The average amount of OSAP debt at graduation has increased by 1.4% in real terms over the same period. The combination of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</si>
  <si>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</si>
  <si>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November of 2017, the federal Minister of Science announced a series of changes to the Canada Research Chairs program, including a revised distribution of Chairs across the three federal research granting councils. This change resulted in an increased allocation of Chairs to the University of Toronto and its affiliated hospital partners. The University of Toronto CRC Equity, Diversity, and Inclusion Action Plan will guide our efforts in ensuring the representation of individuals from the federally designated groups — persons with disabilities, Indigenous peoples, visible minorities and women — among our Canada Research Chairholders.</t>
  </si>
  <si>
    <t>The Naylor report recommends a 40% rate as a target for funding of indirect costs. Increases to the Research Support Fund announced in federal budgets 2015 and 2016 have increased the rate slightly to 18.9%, but this remains considerably short of the actual institutional cost of research, estimated at over 50% at the University of Toronto. A doubling of the federal RSF rate would bring us to $45 million, putting us somewhat closer to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</si>
  <si>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</si>
  <si>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uoft_2018_2</t>
  </si>
  <si>
    <t>uoft_2018_3</t>
  </si>
  <si>
    <t>uoft_2018_4</t>
  </si>
  <si>
    <t>uoft_2018_5</t>
  </si>
  <si>
    <t>uoft_2018_6</t>
  </si>
  <si>
    <t>uoft_2018_7</t>
  </si>
  <si>
    <t>uoft_2018_8</t>
  </si>
  <si>
    <t>uoft_2018_9</t>
  </si>
  <si>
    <t>uoft_2018_10</t>
  </si>
  <si>
    <t>uoft_2018_11</t>
  </si>
  <si>
    <t>uoft_2018_12</t>
  </si>
  <si>
    <t>uoft_2018_13</t>
  </si>
  <si>
    <t>uoft_2018_14</t>
  </si>
  <si>
    <t>uoft_2018_15</t>
  </si>
  <si>
    <t>uoft_2018_16</t>
  </si>
  <si>
    <t>uoft_2018_17</t>
  </si>
  <si>
    <t>uoft_2018_18</t>
  </si>
  <si>
    <t>uoft_2018_19</t>
  </si>
  <si>
    <t>uoft_2018_20</t>
  </si>
  <si>
    <t>uoft_2018_21</t>
  </si>
  <si>
    <t>uoft_2018_22</t>
  </si>
  <si>
    <t>uoft_2018_23</t>
  </si>
  <si>
    <t>uoft_2018_24</t>
  </si>
  <si>
    <t>uoft_2018_25</t>
  </si>
  <si>
    <t>uoft_2019</t>
  </si>
  <si>
    <t>uoft_2019_1</t>
  </si>
  <si>
    <t>A new Progressive Conservative government was sworn in at
Queen’s Park in June 2018. The new government immediately
established an Independent Financial Commission of Inquiry
to evaluate the previous government’s accounting practices and
update the Province’s baseline fiscal outlook. The Commission
reported a deficit of $15 billion for 2018–19, up from the
$6.7 billion planned deficit in the Provincial Budget 2018.</t>
  </si>
  <si>
    <t>The new government also engaged EY Canada to conduct a
line-by-line audit of provincial spending, spanning 15 years of
expenditures in both the public service and transfer payments
to broader public sector organizations. The review concluded
that expenditures had grown by 3.0% annually in real terms,
and that the pace of growth exceeded the rate of population
growth in the province.</t>
  </si>
  <si>
    <t>The government is committed to returning the Province to
balanced budgets on a modest, reasonable and pragmatic
timetable. The University anticipates that this spending restraint
will impose significant pressure on all provincially-funded sectors.</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</si>
  <si>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unregulated, and will therefore be
unaffected. The announcement represents a reduction of
approximately $65 million in budgeted revenue over 2018–19.</t>
  </si>
  <si>
    <t>At the same time, the Minister of Training, Colleges and
Universities announced a new framework for ancillary fees.
Changes to the ancillary fee framework will allow students to
opt-out of the fees that fund some services and activities, while
protecting fees that fund mandatory core services and facilities
such as athletics, recreation, and health and counselling
services. At the time of writing this report, details have not
been provided regarding which specific fees will fall into each
of these categories.</t>
  </si>
  <si>
    <t>Fiscal year 2019–20 is the third and final year of the University’s (SMA2)4. The SMA2 sets out a multi-year enrolment plan,
including funding for 631 new master’s and 198 new doctoral
student spaces by Fall 2019. In response to Ontario’s changing
demographics, the University and the Province agreed to reduce
domestic undergraduate enrolment by 1,800 domestic students
at the St. George Campus, and to hold constant the level of
domestic undergraduate enrolment at the University of Toronto
Scarborough and University of Toronto Mississauga over the
period of the agreement. Enrolment funding will remain stable
through 2019–20 provided the University maintains a five-year
average enrolment within ±3% of its negotiated target.
current Strategic Mandate Agreement with the Province</t>
  </si>
  <si>
    <t>The SMA2 also allocated 10% of operating grant revenue
($65 million in 2018–19)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Although funding in
the differentiation envelope is revenue-neutral throughout the
period of SMA2, it is anticipated that a greater portion of future
funding will be directed towards achievement of accountability
metrics, rather than enrolment numbers. The University is
engaged in consultation with the Province on the design of
metrics and funding mechanisms that will be included in the
third Strategic Mandate Agreement (SMA3) beginning in 2020.</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</si>
  <si>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</si>
  <si>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April 2017, a panel led by UofT President Emeritus David research. The University incurs roughly $0.55 in operating
costs related to each $1.00 in direct research expenditures,
and recovers a portion of these costs from restricted research
funds based on the indirect cost rate specified in each grant.
Naylor issued the final report of Canada’s Fundamental Science
Review (the Naylor Report). The Naylor report recommended
a 40% rate as a target for funding of the indirect costs of</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</si>
  <si>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</si>
  <si>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</si>
  <si>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is facing increasing financial pressure, with a 2017, the President and Provost established an advisory group
to consider how the University might broaden its funding 2017, the President and Provost established an advisory group
to consider how the University might broaden its funding
sources to provide it with a strong financial basis going forward.
sources to provide it with a strong financial basis going forward.
declining portion of operating revenues coming from provincial
operating grants and constrained tuition and enrolment
frameworks. Our commitment to being an internationally
significant research university requires us to think creatively
about how we might fund our mission and aspirations. In fall</t>
  </si>
  <si>
    <t>The advisory group will articulate a set of principles to guide
recommendations regarding alternative funding sources and,
after consultation and review of a broad range of options, will
recommend a limited set of strategies that the University might
pursue. Work of the advisory group is ongoing, and a report
is expected by the end of the 2018–19 academic year.</t>
  </si>
  <si>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</si>
  <si>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uoft_2019_2</t>
  </si>
  <si>
    <t>uoft_2019_3</t>
  </si>
  <si>
    <t>uoft_2019_4</t>
  </si>
  <si>
    <t>uoft_2019_5</t>
  </si>
  <si>
    <t>uoft_2019_6</t>
  </si>
  <si>
    <t>uoft_2019_7</t>
  </si>
  <si>
    <t>uoft_2019_8</t>
  </si>
  <si>
    <t>uoft_2019_9</t>
  </si>
  <si>
    <t>uoft_2019_10</t>
  </si>
  <si>
    <t>uoft_2019_11</t>
  </si>
  <si>
    <t>uoft_2019_12</t>
  </si>
  <si>
    <t>uoft_2019_13</t>
  </si>
  <si>
    <t>uoft_2019_14</t>
  </si>
  <si>
    <t>uoft_2019_15</t>
  </si>
  <si>
    <t>uoft_2019_16</t>
  </si>
  <si>
    <t>uoft_2020</t>
  </si>
  <si>
    <t>uoft_2020_1</t>
  </si>
  <si>
    <t>pres_external</t>
  </si>
  <si>
    <t>pres_exp</t>
  </si>
  <si>
    <t>prov_external</t>
  </si>
  <si>
    <t>prov_exp</t>
  </si>
  <si>
    <t>The government remains committed to returning the Province to balanced budgets by 2023, in a way that allows for critical infrastructure investments and ensures public services continue to be supported. The University anticipates that spending restraint will impose significant pressure on all provincially-funded sectors. </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</si>
  <si>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unaffected. The announcement represents a reduction of $113 million in projected domestic fee revenue for 2020-21 relative to the previous long range budget guidelines that assumed the former tuition framework would remain in place.</t>
  </si>
  <si>
    <t>At the same time, the Minister of Colleges and Universities announced a new framework for ancillary fees. Changes to the ancillary fee framework allowed students to opt-out of incidental fees that fund some services and activities, while protecting fees that fund mandatory core services and facilities such as athletics, recreation, and health and counselling services. This new provision, called the “Student Choice Initiative” was implemented in Fall 2019. In November 2019, Ontario’s Divisional Court struck down this new provision in the ancillary fee framework, finding it inconsistent with universities’ autonomous governance. At the time of writing this report, an appeal of this decision is pending. At this time, incidental fees are being assessed for Winter 2020 for all students. For students who opted-out prior to the system suspension on November 25, the University is awaiting the court’s decision.</t>
  </si>
  <si>
    <r>
      <t>The second Strategic Mandate Agreement</t>
    </r>
    <r>
      <rPr>
        <sz val="5"/>
        <color rgb="FF211D1E"/>
        <rFont val="Helvetica"/>
        <family val="2"/>
      </rPr>
      <t>5</t>
    </r>
    <r>
      <rPr>
        <sz val="9"/>
        <color rgb="FF211D1E"/>
        <rFont val="Helvetica"/>
        <family val="2"/>
      </rPr>
      <t>, covering the period 2017-2020, introduced the concept of performance based funding within the existing Provincial operating grant envelope. The agreement notionally re-directed 10% of operating grant revenue ($65 million for the University of Toronto)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Funding in the differentiation envelope was not at risk for the period of SMA2.</t>
    </r>
  </si>
  <si>
    <t>Fiscal year 2020-21 will be the first year of the University’s third Strategic Mandate Agreement with the Province (SMA3). In the 2019 Ontario Budget, the Government announced that an increased percentage of funding for colleges and universities will be tied to performance outcomes. Under SMA3, performance based funding will gradually rise from 25 per cent of total Provincial operating grants (5.6% of total revenue) in 2020-21 to 60 per cent of operating grants (11.7% of total revenue) by 2024-25. Funding will be conditional on achieving performance targets on a series of metrics.</t>
  </si>
  <si>
    <t>The number of performance indicators will be phased in, from six in 2020-21 to 10 in 2024-25. Targets will be established by the Ministry based on previous performance, taking into consideration the variability of performance in recent years. Performance metrics include six measures of graduate skills and job outcomes, and four measures of economic and community impact. They include:
•
Graduate Employment Rate in a Related Field
•
Enrolment in Areas of Institutional Strength/Focus
•
Graduation Rate
•
Experiential Learning
•
Graduate Employment Earnings
•
Skills and Competencies
•
Community/Local Impact
•
Economic Impact
•
Research Funding and Capacity: Federal Tri-Agency Funding Secured
•
Innovation: Research Revenue from Private Sector Sources</t>
  </si>
  <si>
    <t>While the Government will determine the indicators and the targets, institutions can decide the distribution of total funding among the metrics, and will be measured against their own past performance, not against other institutions. Specific targets will be finalized by the end of March 2020. </t>
  </si>
  <si>
    <t>The SMA3 will also set out a multi-year enrolment plan. In response to Ontario’s changing demographics, the University and the Province have agreed to hold constant the level of funding for domestic undergraduate enrolment at the University of Toronto over the period of the agreement. Enrolment funding will remain stable through 2024-25 provided the University maintains a five-year average enrolment within ±3% of its enrolment target.</t>
  </si>
  <si>
    <t>In April 2017, a panel led by UofT President Emeritus David Naylor issued the final report of Canada’s Fundamental Science Review (the Naylor Report). The Naylor Report recommended a 40% rate as a target for funding of the indirect costs of research. The University incurs roughly $0.55 in operating costs related to each $1.00 in direct research expenditures, and recovers a portion of these costs from restricted research funds based on the indirect cost rate specified in each grant.</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</si>
  <si>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 </t>
  </si>
  <si>
    <t>The University is facing increasing financial pressure, with a declining portion of operating revenues coming from provincial operating grants and constrained tuition and enrolment frameworks. The University’s commitment to being an internationally significant research university requires creative solutions to fund its mission and aspirations. In Fall 2017, the President and Provost established an advisory group to consider how the University might broaden its funding sources to provide it with a strong financial basis going forward. </t>
  </si>
  <si>
    <r>
      <t>In the spring of 2019, the advisory group issued its final report</t>
    </r>
    <r>
      <rPr>
        <sz val="5"/>
        <color rgb="FF211D1E"/>
        <rFont val="Helvetica"/>
        <family val="2"/>
      </rPr>
      <t>6</t>
    </r>
    <r>
      <rPr>
        <sz val="9"/>
        <color rgb="FF211D1E"/>
        <rFont val="Helvetica"/>
        <family val="2"/>
      </rPr>
      <t>. The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t>
    </r>
  </si>
  <si>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</si>
  <si>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uoft_2020_2</t>
  </si>
  <si>
    <t>uoft_2020_3</t>
  </si>
  <si>
    <t>uoft_2020_4</t>
  </si>
  <si>
    <t>uoft_2020_5</t>
  </si>
  <si>
    <t>uoft_2020_6</t>
  </si>
  <si>
    <t>uoft_2020_7</t>
  </si>
  <si>
    <t>uoft_2020_8</t>
  </si>
  <si>
    <t>uoft_2020_9</t>
  </si>
  <si>
    <t>uoft_2020_10</t>
  </si>
  <si>
    <t>uoft_2020_11</t>
  </si>
  <si>
    <t>uoft_2020_12</t>
  </si>
  <si>
    <t>uoft_2020_13</t>
  </si>
  <si>
    <t>uoft_2020_14</t>
  </si>
  <si>
    <t>uoft_2020_15</t>
  </si>
  <si>
    <t>uoft_2020_16</t>
  </si>
  <si>
    <t>uoft_2020_17</t>
  </si>
  <si>
    <t>pres_new</t>
  </si>
  <si>
    <t>prov_new</t>
  </si>
  <si>
    <t>uoft_2021</t>
  </si>
  <si>
    <t>uoft_2021_1</t>
  </si>
  <si>
    <t>Last year’s budget was developed prior to the outbreak of COVID-19, and was based on assumptions of normal levels of enrolment and on-campus activity. Despite the significant uncertainty created by the COVID-19 pandemic, the University was able to successfully deliver the vast majority of academic programs in 2020-21 in alternative formats, adapting to fast-changing public health regulations as necessary. The incoming undergraduate class for Fall 2020 was 0.2% larger than that of Fall 2019, including the largest incoming cohort of international undergraduate students in the University’s history. Many students from around the globe began their studies remotely, with the intention of attending classes on campus when in-person teaching resumes. While the overall enrolment results were positive, there was some variability in enrolment at the level of individual programs, with modest enrolment reductions in professional undergraduate and graduate programs in particular.</t>
  </si>
  <si>
    <t>As the University worked to address the challenges of COVID-19, there were significant cost increases in many areas, including repatriating students who were overseas during the initial outbreak in Spring 2020, emergency financial support for students dealing with loss of employment opportunities and unexpected expenses caused by the pandemic, quarantine costs for international students entering Canada, changes to instructional design and IT systems to enable online course delivery, and environmental health and safety costs to support the safe re-opening of research labs and workplaces. Many of these were one-time expenditures, partially offset by savings in planned travel costs and lower occupancy costs due to reduced on-campus activity. Some expenses, such as support for new IT platforms and innovative teaching methods, will continue to be needed in future years and have been incorporated into the long range plan.</t>
  </si>
  <si>
    <t>Levels of on-campus activity were significantly reduced, and campus services such as residences, food, and parking were particularly hard hit. Service ancillaries implemented significant cost-saving strategies, but the magnitude of revenue reductions made it impossible to avoid financial losses in many cases. Under normal circumstances, service ancillaries are expected to operate without subsidy from the University’s operating budget and rely solely on revenue from the services they provide. These campus services are crucial to ensuring that students, faculty, and staff are able to participate in University life on all three campuses, and the University may need to support some ancillaries as they develop a path to recovery over the coming years.</t>
  </si>
  <si>
    <t>Given the extent and extraordinary circumstances of the ancillary losses in 2020-21, the University is proposing to allocate up to $50 million of deficit spending room to ancillary operations. Deficit spending will be allowed only where it is necessary to do so, after considering cost containment strategies, levels of reserves, and funding for critical infrastructure projects. Units with sufficient reserves will continue without need for deficit spending, so it is possible that the full amount will not be required. This approach is intended to ensure that the level of the ancillary budget deficit will be only as high as absolutely necessary.</t>
  </si>
  <si>
    <t>Ancillary units will be expected to eliminate any deficits over a five-year period. The University will work with each unit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after consultation with the academic divisions whose faculty, staff, and students benefit from these services.</t>
  </si>
  <si>
    <t>The Ontario post-secondary education system operates under a differentiation policy framework². The framework is operationalized through a series of institutional Strategic Mandate Agreements, which specify the role of each university in the system and how each will build on institutional strengths to drive system-wide objectives and government priorities.</t>
  </si>
  <si>
    <t>The University’s third Strategic Mandate Agreement with the Province (SMA3)3 came into effect on April 1, 2020 and covers the period 2020-2025. With the implementation of SMA3, a significant portion of existing operating grant revenue will be re-directed to a differentiation envelope tied to performance metrics. Performance-based funding will gradually increase from 25 per cent of total Provincial operating grants (5.9% of total revenue) in 2020-21 to 60 per cent of operating grants (11.9% of total revenue) by 2024-25.</t>
  </si>
  <si>
    <t>Over the course of 2019, the Council of Ontario Universities worked with the Ministry of Colleges and Universities to introduce mechanisms to the SMA3 performance-based funding formula that increase predictability and minimize volatility for institutions. For funding purposes, each university is measured against its own past performance, not against other institutions. Targets are established formulaically, taking into consideration past performance and the variability of results in recent years. Each target includes a range of allowable performance outcomes, with partial funding provided if performance falls below the allowable performance range.</t>
  </si>
  <si>
    <t>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</si>
  <si>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t>
  </si>
  <si>
    <t>According to the Ontario Budget released in November 20204, the Government is not planning any material new investments in the post-secondary education sector over the next three years, including no inflationary increases to the University’s operating grant. Areas of priority investment for the Government include: development, delivery, and expansion of Ontario’s micro-credentials strategy; supporting the ongoing cost of the Ontario Student Assistance Program (OSAP); and continued investment in deferred maintenance.</t>
  </si>
  <si>
    <t>On October 6, 2020, the Ontario government announced an investment of $19 million to fund mental health supports for postsecondary students in 2020-21, an increase of $3 million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</si>
  <si>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beginning in 2019-20, and a freeze at that level for 2020-21. Tuition paid by international students was unaffected. The compounding effect of this two-year framework has a long-lasting impact, and now represents a reduction of $113 million in domestic tuition fee revenue for 2021-22 relative to the previous long
range budget guidelines that assumed the former tuition
framework of 3% annual average fee increases would remain
in place. At this time, no domestic fee framework has been
announced for the 2021-22 fiscal year. The University
has conservatively assumed an extension of the existing
framework, including a freeze for the 2021-22 budget year.
This one-year extension of the domestic tuition fee freeze
would further reduce tuition fee revenue by $26 million
in 2021-22 relative to the University’s previous long range
budget plan.</t>
  </si>
  <si>
    <t>The student fee framework announced in 2019 also allowed
students to opt-out of incidental fees that fund some services
and activities, while protecting fees that fund mandatory
core services and facilities such as athletics, recreation, and
health and counselling services. This new provision in the
fee framework, called the “Student Choice Initiative” was
implemented in Fall 2019. In November 2019, Ontario’s
Divisional Court struck down this new provision, finding it
inconsistent with universities’ autonomous governance. At
this time, a Government appeal of this decision is pending.
In the interim, implementation of ancillary fee opt-outs have
been suspended.</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</si>
  <si>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</si>
  <si>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outstanding university researchers on a competitive basis.
Research chairs are awarded to each university based on
its share of research funding by the three federal granting
councils: the Canadian Institutes of Health Research
(CIHR), the Natural Sciences and Engineering Research
Council Canada (NSERC), and the Social Sciences and
Humanities Research Council of Canada (SSHRC). The
University of Toronto has the country’s largest allocation of
CRCs, with over 300 Chairs spread across three campuses
and nine fully affiliated hospitals. These Chairs make
an important contribution to the University’s operating
budget and have a significant impact on the University’s
ability to recruit and retain outstanding scholars. Since the
CRC program was introduced, inflation has reduced the
effective value of Chair funding by over 40%. An appropriate
adjustment to the value of these awards is long overdue.
in 2000-01 contributes to salary and research support for</t>
  </si>
  <si>
    <t>As with most federal research funding programs, the CRC
program places significant emphasis on equity, diversity and
inclusion (EDI). The CRC Equity, Diversity and Inclusion
Action Plan5 guides the University’s efforts in ensuring the
representation of individuals from the federally designated
groups — persons with disabilities, Indigenous peoples,
visible minorities, and women — among Canada Research
Chair holders.</t>
  </si>
  <si>
    <t>Most research sponsored by NSERC, SSHRC and CIHR
funding programs generates indirect cost funding from
the federal Research Support Fund (RSF) and the
recently introduced Incremental Project Grant (IPG). The
University of Toronto’s effective rate of federal indirect costs
recovered from these programs was approximately 21% in
2019-20.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</si>
  <si>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</si>
  <si>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</si>
  <si>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 range budget assumptions.</t>
  </si>
  <si>
    <t>uoft_2021_2</t>
  </si>
  <si>
    <t>uoft_2021_3</t>
  </si>
  <si>
    <t>uoft_2021_4</t>
  </si>
  <si>
    <t>uoft_2021_5</t>
  </si>
  <si>
    <t>uoft_2021_6</t>
  </si>
  <si>
    <t>uoft_2021_7</t>
  </si>
  <si>
    <t>uoft_2021_8</t>
  </si>
  <si>
    <t>uoft_2021_9</t>
  </si>
  <si>
    <t>uoft_2021_10</t>
  </si>
  <si>
    <t>uoft_2021_11</t>
  </si>
  <si>
    <t>uoft_2021_12</t>
  </si>
  <si>
    <t>uoft_2021_13</t>
  </si>
  <si>
    <t>uoft_2021_14</t>
  </si>
  <si>
    <t>uoft_2021_15</t>
  </si>
  <si>
    <t>uoft_2021_16</t>
  </si>
  <si>
    <t>uoft_2021_17</t>
  </si>
  <si>
    <t>uoft_2021_18</t>
  </si>
  <si>
    <t>uoft_2021_19</t>
  </si>
  <si>
    <t>uoft_2021_20</t>
  </si>
  <si>
    <t>uoft_2021_21</t>
  </si>
  <si>
    <t>uoft_2021_22</t>
  </si>
  <si>
    <t>uoft_2022</t>
  </si>
  <si>
    <t>uoft_2022_1</t>
  </si>
  <si>
    <t>The ongoing COVID-19 pandemic continues to evolve as new variants emerge, requiring flexibility in planning for operations. With the rollout of vaccines and associated relaxing of public health measures, the University moved to deliver approximately 50% of courses in person in the Fall 2021 session with plans to increase this for the start of the Winter 2022 session. However, in response to the fast spread of the Omicron variant in December, these plans were adjusted and the increase in on-campus activity was delayed until later in the session. Experience gained throughout the pandemic has allowed the University to quickly pivot as necessary to changing public health measures while ensuring continuity of academic programs for our students.</t>
  </si>
  <si>
    <t>The University continues to plan for a gradual increase in campus activities over the planning period. We have led the way in requiring vaccinations with over 99% of students, faculty and staff fully vaccinated as of February 2022 – a critical element to facilitate greater on-campus activity.</t>
  </si>
  <si>
    <t>Demand for the University’s programs continues to be very strong with larger domestic and international undergraduate applicant pools for Fall 2021, leading to a 10.8% increase in intake compared to last year. However, this increase was largely offset by lower retention rates for domestic continuing students across many of the direct entry divisions, resulting in a small overall increase of 0.2% in undergraduate enrolment vs Fall 2020. Divisions are investigating the reasons behind the decrease in retention rates to determine if this is a temporary pandemic-related shift or if there are longer term issues to be addressed. Graduate enrolment increased by 4% vs. last year with demand for professional masters and doctoral programs particularly strong.
Summer enrolment activity</t>
  </si>
  <si>
    <t>Summer enrolment activity continues to be significantly higher than pre-pandemic levels, although down slightly from the peak in 2020 in the early stages of the pandemic. Students have shown increasing interest in taking courses across all three terms which allows for a broader set of offerings through the summer session, reduced pressure on courses through the Fall/Winter, and more activity on campuses over the summer.</t>
  </si>
  <si>
    <t>Ancillary operations provide important services that contribute to the quality of the student experience. In order to support their continued operations, the University’s 2021-22 budget plan included up to $50 million of deficit spending room for ancillary operations such as residences, food, and parking services to provide flexibility for multi-year plans to recover from the financial impacts of the pandemic. Deficit spending will be allowed only where it is necessary to do so, after considering cost containment strategies, levels of reserves, and funding for critical infrastructure projects. Ancillary units will be expected to eliminate any deficits over a five-year period.</t>
  </si>
  <si>
    <t>Under this plan, ancillary operations established deficit budgets for 2021-22 as they anticipated continued reduced occupancy in residences and in on-campus activities. Campus residences have rebounded more quickly than anticipated with high occupancy rates at most facilities in Fall 2021, although the impact of emerging variants continues to pose some risk to short-term occupancy plans. Food and parking services are also ahead of plan but to a lesser extent given the continued reduction in on-campus activity this year.</t>
  </si>
  <si>
    <t>The University is working with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</si>
  <si>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third Strategic Mandate Agreement with the Province (SMA3)3 came into effect on April 1, 2020 and covers the period 2020-2025. With the implementation of SMA3, a significant portion of existing operating grant revenue is being re-directed to a differentiation envelope tied to performance metrics. Performance-based funding will gradually increase from 25 per cent of total Provincial operating grants (6% of total revenue) in 2020-21 to 60 per cent of operating grants (12% of total revenue) by 2024-25.</t>
  </si>
  <si>
    <t>In the context of the COVID-19 pandemic, the government has confirmed that no performance-based funding will be at risk until at least the third year of the agreement which, because of the slip year nature of funding impacts, would be the University’s 2023-24 fiscal year. The Ministry will engage in an annual review of performance outcomes and will evaluate potential COVID-19 impacts on targets for future years.</t>
  </si>
  <si>
    <t>According to the Ontario Budget released in March 20214 and follow up November 2021 Fall Economic Statement5 the Government is not planning any inflationary increases to the University’s operating grant over the next three years. One-time funding has been set aside to support colleges and universities under significant financial pressure from the pandemic, although the University is unlikely to qualify for support given our financial position.</t>
  </si>
  <si>
    <t>Areas of priority investment for the Government include expansion of Nursing enrolment, which may lead to a small amount of enrolment growth funding for the University; supporting the ongoing cost of the Ontario Student Assistance Program (OSAP), including extension of eligibility to some micro-credential programs; and continued investment in addressing deferred maintenance.</t>
  </si>
  <si>
    <t>In the Fall Economic Statement, the Government announced an investment of $27.9 million in funding for mental health supports for postsecondary students in 2021-22, representing an $8.7 million increase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</si>
  <si>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for 2019-20,
and a freeze at that level for 2020-21. The freeze was
subsequently extended for one year to 2021-22 on April 30,
2021. Tuition paid by international students was unaffected.
The compounding effect of this three-year framework has
a long-lasting impact, and now represents a reduction
of $139 million in domestic tuition fee revenue for 2022-
23 relative to the previous long-range budget guidelines
that assumed continuation of the previous framework of 3%
annual average fee increases.</t>
  </si>
  <si>
    <t>At this time, no domestic fee framework has been announced
for the 2022-23 fiscal year. The University has conservatively
assumed an extension of the existing framework, including a
freeze for the 2022-23 budget year. This one-year extension
of the domestic tuition fee freeze would further reduce
tuition fee revenue by $28 million in 2022-23 relative to the
University’s previous long range budget plans from prior to
the 2019-20 Framework.</t>
  </si>
  <si>
    <t>In 2021-22, the Government introduced a new policy as defined under the OSAP definitions, could be increased
by up to 3% while fees for Ontario residents would
remain frozen. Given the lateness of the announcement
of the fee framework, coming at the start of the Summer
2021 session, the University opted to not implement
differentiated fees for 2021-22. However, if this policy
continues, the University will proceed with establishing
differentiated fees for non-Ontario resident domestic
students, with a 3% increase to fees for all undergraduate
programs in 2022-23.
allowing for differentiated fees for Out of Province domestic
students. Fees for non-Ontario resident domestic students,</t>
  </si>
  <si>
    <t>The student fee framework announced in 2019 included
a new provision called the “Student Choice Initiative” that
allowed students to opt-out of incidental fees that fund
some student services and activities, while protecting fees
that fund mandatory core services and facilities such as
athletics, recreation, and health and counselling services.
However, in November 2019, Ontario’s Divisional Court
struck down this new provision, finding it inconsistent with
universities’ autonomous governance. In August 2021,
Ontario’s Court of Appeal dismissed the Government’s
bid to overturn the decision to strike down the provision.
As a result, the University will continue to suspend
implementation of this policy.</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</si>
  <si>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</si>
  <si>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nine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t>
  </si>
  <si>
    <t>As with most federal research funding programs, the CRC
program places significant emphasis on equity, diversity and
inclusion (EDI) and has established representation targets
that must be achieved by 2029, with interim targets along
the way. The University’s CRC Equity, Diversity and Inclusion
Action Plan6 guides the University’s efforts in ensuring the
representation of individuals from the federally designated
groups — persons with disabilities, Indigenous peoples,
visible minorities, and women — among Canada Research
Chair holders. The Division of the Vice-President Research
and Innovation closely monitors progress toward the required
targets and works with academic divisions and hospitals to
ensure that the targets are met.</t>
  </si>
  <si>
    <t>Most research sponsored by NSERC, SSHRC and CIHR
funding programs generates indirect cost funding from the
federal Research Support Fund (RSF) and the Incremental
Project Grant (IPG). The University of Toronto’s effective rate
of federal indirect costs recovered from these programs was
approximately 20% in 2020-21,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</si>
  <si>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t>
  </si>
  <si>
    <t>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</si>
  <si>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</si>
  <si>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long-range budget assumptions.</t>
  </si>
  <si>
    <t>uoft_2022_2</t>
  </si>
  <si>
    <t>uoft_2022_3</t>
  </si>
  <si>
    <t>uoft_2022_4</t>
  </si>
  <si>
    <t>uoft_2022_5</t>
  </si>
  <si>
    <t>uoft_2022_6</t>
  </si>
  <si>
    <t>uoft_2022_7</t>
  </si>
  <si>
    <t>uoft_2022_8</t>
  </si>
  <si>
    <t>uoft_2022_9</t>
  </si>
  <si>
    <t>uoft_2022_10</t>
  </si>
  <si>
    <t>uoft_2022_11</t>
  </si>
  <si>
    <t>uoft_2022_12</t>
  </si>
  <si>
    <t>uoft_2022_13</t>
  </si>
  <si>
    <t>uoft_2022_14</t>
  </si>
  <si>
    <t>uoft_2022_15</t>
  </si>
  <si>
    <t>uoft_2022_16</t>
  </si>
  <si>
    <t>uoft_2022_17</t>
  </si>
  <si>
    <t>uoft_2022_18</t>
  </si>
  <si>
    <t>uoft_2022_19</t>
  </si>
  <si>
    <t>uoft_2022_20</t>
  </si>
  <si>
    <t>uoft_2022_21</t>
  </si>
  <si>
    <t>uoft_2022_22</t>
  </si>
  <si>
    <t>uoft_2022_23</t>
  </si>
  <si>
    <t>uoft_2022_24</t>
  </si>
  <si>
    <t>uoft_2022_25</t>
  </si>
  <si>
    <t>uoft_2022_26</t>
  </si>
  <si>
    <t>uoft_2022_27</t>
  </si>
  <si>
    <t>uoft_2022_28</t>
  </si>
  <si>
    <t>uoft_2022_29</t>
  </si>
  <si>
    <t>queens_2020_10</t>
  </si>
  <si>
    <t>The Ministry remains committed to maintaining the 2016-17 funding level for all universities and will
roll-in the graduate growth over 2016-17 actually achieved as at the end of 2019-20. The 2020-21
budget assumes full funding of graduate grant based on achieving the projected growth targets. The
Ministry will continue with the enrolment corridor funding methodology which would ensure the grant
revenue in the enrolment envelope remains constant if enrolment remains within +/- 3% of the
enrolment mid-point to be set based on the actual enrolment for 2019-20 (current set at the 2016-17
level). The performance-based envelope will be linked to ten metrics with differing weights for each
metric to be set by each individual institution. The funding in the performance-based envelope will be
at risk assuming the targets set through a calculated methodology based on past average experience in
each metric is continually met. The amount of funding at-risk in the performance-based envelope will
increase from 25% of total grant revenue in 2020-21 to 60% by 2024-25 by shifting funding from the
enrolment envelope into the performance-based envelope. Although this at-risk funding was intended
to begin in 2020-21, the ministry has decided to decouple the linkage of performance on the metrics to
funding for two years in 2022-23.</t>
  </si>
  <si>
    <t>TOTALS</t>
  </si>
  <si>
    <t>LOW</t>
  </si>
  <si>
    <t>MEDIUM</t>
  </si>
  <si>
    <t>HIGH</t>
  </si>
  <si>
    <t>TOTAL</t>
  </si>
  <si>
    <t>uoft_2023</t>
  </si>
  <si>
    <t>uoft_2023_1</t>
  </si>
  <si>
    <t>The University has successfully navigated through the challenges of the COVID-19 global pandemic and this year we had our biggest back to school ever, welcoming over 90,000 students to our three campuses, many for the first time in their academic careers. Throughout the pandemic, our faculty, librarians, and staff worked tirelessly to ensure operational continuity while maintaining excellence in our academic and research programs and our students demonstrated outstanding resiliency as have adapted to changes required to meet public health measures. Demand for our programs remained strong throughout and our scholars had an outsized impact on pandemic-related research and through contributions to health care and public health planning.</t>
  </si>
  <si>
    <t>uoft_2023_2</t>
  </si>
  <si>
    <t>While our ancillary operations were impacted by the reduced activity on our campuses, they are rebounding faster than anticipated. Residences are back to full occupancy this year and other services such as food and transportation are making steady progress as on-campus activity increases. These units are now able to turn their focus away from crisis management and back towards planning for the future.</t>
  </si>
  <si>
    <t>uoft_2023_3</t>
  </si>
  <si>
    <t>As is often the case with historic events like this, the pandemic has led to innovations that will benefit all as we move forward. In March 2022, the Provost established the new University Resilience Project Team (RPT) to build upon the work and insights gained over the last two years, capitalize on the innovations developed during the pandemic, and build strategies for long-term institutional resilience. Over the course of this year, the team has consulted with a wide array of stakeholders from all divisions across our three campuses and have developed recommendations across themes of Navigation, Engagement, and Future Proofing.</t>
  </si>
  <si>
    <t>uoft_2023_4</t>
  </si>
  <si>
    <t>The University expects to continue as an in-person institution, although, we recognize that there are benefits and demand for a selection of online courses going forward. To leverage the lessons learned during the pandemic, the University has implemented an “Online by Design” initiative to support faculty in developing courses designed from the ground up for an online learning environment.</t>
  </si>
  <si>
    <t>uoft_2023_5</t>
  </si>
  <si>
    <t>We continue to implement changes to increase our capacity to meet student mental health needs. Our much improved continuum of mental health supports to both domestic and international students has led to a three-fold increase in mental health service interactions since 2019-20, trending towards 41,000 interactions across in-person and internet-based service models this year. Additionally, in collaboration with CAMH, the University has launched an acute care navigation pathway to serve complex and high need students. In the first four months of this service, U of T and CAMH collaborated to identify and serve over 100 students seen in the Emergency Department and Inpatient Units. Through this innovative partnership, we have achieved important learnings and are well positioned to further develop this service in 2023-24. Progress across mental health is well aligned with the recommendations of the Presidential and Provostial Task Force of 2019.
Demand for the University’s programs continues to be</t>
  </si>
  <si>
    <t>uoft_2023_6</t>
  </si>
  <si>
    <t>Demand for the University’s programs continues to be very strong with deep domestic and international undergraduate applicant pools for Fall 2022. After the exceptionally high intake in 2021, the University had planned on a slightly smaller direct entry undergraduate intake for 2022. Actual full-time intake came in about 3.8% lower than planned (or 620 students on a 16,449 target), although still about 3.8% higher than in 2020. This year, the Federal Government faced significant challenges in processing student permit applications given a large increase in volumes across the country. Over the summer, the University worked closely with Immigration, Refugees &amp; Citizenship Canada (IRCC) to reduce the impact on our students as much as possible. Ultimately, approximately 150 of our incoming students were forced to defer their admission to the winter or next fall which, anecdotally, appears to be significantly better than experienced at some other universities and colleges who have signaled deferral rates of 30% and even higher. The University will continue to work with Universities Canada and IRCC on opportunities to improve the student permit process for next year.</t>
  </si>
  <si>
    <t>uoft_2023_7</t>
  </si>
  <si>
    <t>Overall, undergraduate enrolment was about (1.2%) below target this year – although, still 364 FTEs above last year – primarily because of the lower than planned intake.</t>
  </si>
  <si>
    <t>uoft_2023_8</t>
  </si>
  <si>
    <t>Many divisions experienced some softening in graduate intakes this year with overall graduate enrolment coming in (2.8%) below plan, although still within our funded enrolment corridor. Plans included significant growth over Fall 2021 so, while enrolment was under target, divisions still saw year over year growth of 0.9%.</t>
  </si>
  <si>
    <t>uoft_2023_9</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</si>
  <si>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</si>
  <si>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uoft_2023_10</t>
  </si>
  <si>
    <t>The University’s 2021-22 budget plan included up to $50 million of deficit spending room for ancillary operations such as residences, food, and parking services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in the first two years of the pandemic and are ahead of their five-year plans.</t>
  </si>
  <si>
    <t>uoft_2023_11</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</si>
  <si>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</si>
  <si>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uoft_2023_12</t>
  </si>
  <si>
    <t>uoft_2023_13</t>
  </si>
  <si>
    <t>The University’s third Strategic Mandate Agreement with the Province (SMA3)3 came into effect on April 1, 2020 and covers the period 2020-2025. With the implementation of SMA3, the Government is shifting a significant portion of existing operating grant revenue to a differentiation envelope that will be linked to performance metrics. Over the five years, the Differentiation Envelope portion of funding will increase from 25 per cent of total
Provincial operating grants (6% of total revenue) in 2020-21 to 60 per cent of operating grants (12% of total revenue) by 2024-25.</t>
  </si>
  <si>
    <t>uoft_2023_14</t>
  </si>
  <si>
    <t>Under the SMA3 performance-based funding formula, each university will be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</si>
  <si>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uoft_2023_15</t>
  </si>
  <si>
    <t>In recognition of the potential impact of the COVID-19 pandemic on metrics, the Government suspended activation of the performance-based funding framework for the first three years of the SMA3 period and has committed to reviewing this annually. Under the current plan, the performance-based funding framework will be activated in year four on only a portion of the Differentiation Envelope, beginning with 10% of total funding in 2023-24 and increasing to 25% in 2024-25. The University exceeded all of its metrics targets in the first two years of the SMA3 evaluation period and does not anticipate any reductions to funding if/when the performance-based framework is activated.</t>
  </si>
  <si>
    <t>uoft_2023_16</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</si>
  <si>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t>
  </si>
  <si>
    <t>uoft_2023_17</t>
  </si>
  <si>
    <t>According to the 2022 Ontario Budget released in April 20224 and follow up November 2022 Fall Economic Statement5 the Government is not planning any inflationary increases to the University’s operating grant over the next three years.</t>
  </si>
  <si>
    <t>uoft_2023_18</t>
  </si>
  <si>
    <t>Nursing education continues to be a priority area for the Government which funded additional spaces at colleges and universities in 2021 and again in 2022. Under this program, the University received 30 additional spaces for our undergraduate BScN program for Fall 2022 entry (17% increase in intake). Given the continuing high demand for nursing graduates in the health care sector, the University is anticipating that this expansion will continue over the planning period.</t>
  </si>
  <si>
    <t>uoft_2023_19</t>
  </si>
  <si>
    <t>In addition, the Government has committed $124.7 million over three years to significantly increase funding for nursing clinical operations at colleges and universities. Under this initiative, the University’s allocation for nursing clinical funding will roughly triple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t>
  </si>
  <si>
    <t>uoft_2023_20</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</si>
  <si>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At full capacity, the SAMIH will prepare the following number of graduates on an annual basis:
• 30 physicians (with potential to expand to 50 in the future)
• 30 physician assistants
• 30 nurse practitioners
• 40 physical therapists
• 300 undergraduates in life sciences</t>
  </si>
  <si>
    <t>uoft_2023_21</t>
  </si>
  <si>
    <t>In addition, the Government has allocated an additional 45 postgraduate medical resident spaces to the University as part of the SAMIH expansion. </t>
  </si>
  <si>
    <t>uoft_2023_22</t>
  </si>
  <si>
    <t>SAMIH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 </t>
  </si>
  <si>
    <t>uoft_2023_23</t>
  </si>
  <si>
    <t>For 2022-23, the Government renewed their commitment to increase funding support for mental health services at colleges and universities by $4.8 million on top of the $10.5 million in on-going funding.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commitment and continues to advocate for additional continuing investments to meet the pressing need for access to mental health resources to complement the University’s increased investments in this area. </t>
  </si>
  <si>
    <t>uoft_2023_24</t>
  </si>
  <si>
    <t>Changes to domestic tuition fees in publicly 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institutions that contravene the framework. The frameworks only apply to tuition for students for which the Government provides operating grant funding, so do not apply to majority of international students, non-publicly funded programs such as Executive MBA, and continuing education programs. </t>
  </si>
  <si>
    <t>uoft_2023_25</t>
  </si>
  <si>
    <t>On January 17, 2019, the Ontario government announced a 10 per cent cut to domestic tuition fees for 2019-20, and a freeze at that level for 2020-21. The freeze was subsequently extended for two additional years to 2022-23. Tuition paid by international students was unaffected. </t>
  </si>
  <si>
    <t>uoft_2023_26</t>
  </si>
  <si>
    <t>Unfortunately, it appears that the Provincial Government will again extend the freeze on domestic tuition fees for Ontario residents for another year. The cumulative impact of the 10% cut and now four-year freeze is a $195 million reduction in annual operating revenue to the University in 2023-24 compared to the 3% average framework in place prior to 2019-20. Our domestic fees continue to be lower than they were in 2018-19 and after inflation, our fee for Arts &amp; Science programs is lower than it was in 1999. </t>
  </si>
  <si>
    <t>uoft_2023_27</t>
  </si>
  <si>
    <r>
      <t xml:space="preserve">This decision is especially disappointing given the current high inflation environment and the Ontario Auditor General’s November 2022 </t>
    </r>
    <r>
      <rPr>
        <i/>
        <sz val="9"/>
        <color theme="1"/>
        <rFont val="Helvetica"/>
        <family val="2"/>
      </rPr>
      <t>Value for Money Audit on Financial Management in Ontario Universities</t>
    </r>
    <r>
      <rPr>
        <i/>
        <vertAlign val="superscript"/>
        <sz val="6"/>
        <color theme="1"/>
        <rFont val="Helvetica"/>
        <family val="2"/>
      </rPr>
      <t xml:space="preserve">6 </t>
    </r>
    <r>
      <rPr>
        <sz val="9"/>
        <color theme="1"/>
        <rFont val="Helvetica"/>
        <family val="2"/>
      </rPr>
      <t xml:space="preserve">and </t>
    </r>
    <r>
      <rPr>
        <i/>
        <sz val="9"/>
        <color theme="1"/>
        <rFont val="Helvetica"/>
        <family val="2"/>
      </rPr>
      <t>Special Report on Laurentian University</t>
    </r>
    <r>
      <rPr>
        <i/>
        <vertAlign val="superscript"/>
        <sz val="6"/>
        <color theme="1"/>
        <rFont val="Helvetica"/>
        <family val="2"/>
      </rPr>
      <t xml:space="preserve">7 </t>
    </r>
    <r>
      <rPr>
        <sz val="9"/>
        <color theme="1"/>
        <rFont val="Helvetica"/>
        <family val="2"/>
      </rPr>
      <t>that both highlighted the adverse financial impact on Ontario universities of the Government’s decision to reduce and freeze domestic tuition. The long-range plans continue to assume a return to a 3% framework after next year. </t>
    </r>
  </si>
  <si>
    <t>uoft_2023_28</t>
  </si>
  <si>
    <t>In 2021-22, the Government introduced a new policy allowing for differentiated fees for Out of Province domestic students. Given the lateness of the announcement of the fee framework, coming at the start of the Summer 2021 session, the University opted to not implement differentiated fees for 2021-22. However, the University proceeded with establishing differentiated fees for non-Ontario resident domestic students in 2022-23, with a 3% increase to fees for all undergraduate programs while fees for Ontario residents remained frozen under the framework. For 2023-24, the University is planning on a 5% increase to non-Ontario resident domestic fees in undergraduate programs, consistent with the framework. </t>
  </si>
  <si>
    <t>uoft_2023_29</t>
  </si>
  <si>
    <t>While the budget plan assumes a freeze to domestic Ontario resident tuition fees for next year, there is a small possibility that the Government could make a late announcement providing some flexibility on domestic tuition fees for 2023-24. Given the constraints that a continued freeze would put on budget resources to address pressures on expenses, the University must be able to use any flexibility provided. To position us to respond to a late announcement, the University is proposing an alternative set of tuition fee schedules that assume a 3% increase to Ontario resident domestic tuition fees in the 2023-24 Tuition Fee Report. </t>
  </si>
  <si>
    <t>uoft_2023_30</t>
  </si>
  <si>
    <t>If the Government does make a late announcement allowing this flexibility, this alternate set of tuition fees would be implemented in 2023-24, subject to any limitations in the framework. The change would increase revenue to the University by approximately $15 million, which would be allocated across divisions through the University’s budget model. </t>
  </si>
  <si>
    <t>uoft_2023_31</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</si>
  <si>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 </t>
  </si>
  <si>
    <t>uoft_2023_32</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</si>
  <si>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 </t>
  </si>
  <si>
    <t>uoft_2023_33</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</si>
  <si>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t>
  </si>
  <si>
    <t>uoft_2023_34</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</si>
  <si>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and the QEII Graduate Scholarships in Science and Technology. However, neither federal nor provincial government support for graduate students has kept pace with the rapid growth in graduate enrolment, placing a higher demand on faculty member research grants and the operating budget. </t>
  </si>
  <si>
    <t>uoft_2023_35</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</si>
  <si>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 </t>
  </si>
  <si>
    <t>uoft_2023_36</t>
  </si>
  <si>
    <r>
      <t>In 2019, the final report of the Alternative Funding Sources Advisory Group</t>
    </r>
    <r>
      <rPr>
        <vertAlign val="superscript"/>
        <sz val="6"/>
        <color theme="1"/>
        <rFont val="Helvetica"/>
        <family val="2"/>
      </rPr>
      <t xml:space="preserve">8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9 </t>
    </r>
    <r>
      <rPr>
        <sz val="9"/>
        <color theme="1"/>
        <rFont val="Helvetica"/>
        <family val="2"/>
      </rPr>
      <t>includes recommendations to enhance and expand the University’s lifelong learning offerings through initiatives such as a Lifelong Learning Community of Practice and micro-credentials. </t>
    </r>
  </si>
  <si>
    <t>uoft_2023_37</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</si>
  <si>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likely through a targeted Strategic Fund. </t>
  </si>
  <si>
    <t>uoft_2023_38</t>
  </si>
  <si>
    <t>Current projects in various stages of planning, design, and construction include a new residence at Spadina and Sussex currently under construction, a new residence on Harbord in development, the Site 1 Gateway project at Bloor and Spadina with faculty, staff and student family housing, and the Schwartz Reisman Innovation Campus (SRIC). </t>
  </si>
  <si>
    <t>uoft_2024</t>
  </si>
  <si>
    <t>uoft_2024_1</t>
  </si>
  <si>
    <t>Approximately 87% of the University’s operating revenue is related to enrolment through student fees and operating grants. Demand for the University’s programs continues to be very strong with overall enrolment growing to 99,794 undergraduate and graduate students taking 88,652 FTEs of course activity in Fall 2023, a 2,355 FTE increase over the previous year.</t>
  </si>
  <si>
    <t>uoft_2024_2</t>
  </si>
  <si>
    <t>We continue to see strong domestic and international applicant pools to our direct-entry undergraduate programs, with growth of 3.3% in the incoming class to 16,361 in Fall 2023, although (2.3%) below the plan for this year which had assumed a bit more growth. Domestic intake was 269 above target which offset a (657) negative variance on international intake – although, both domestic and international intake increased over last year. In 2023-24, we have also seen an increase in retention rates of continuing students, which resulted in higher upper-year enrolment than expected based on historical rates. This very positive result means that overall undergraduate domestic and international enrolment slightly exceeded the budget plan by a combined 1.1%. </t>
  </si>
  <si>
    <t>uoft_2024_3</t>
  </si>
  <si>
    <t>On January 22, 2024, the Federal Government announced a two-year framework to cap new international student permits to the number expiring each year, which will result in an estimated 35% reduction in new permits nationally and a 50% reduction for Ontario because of a new distribution framework linked to population. Permits for graduate studies are exempted from the cap. These changes are focused on addressing abuses in the system by particular actors and are not intended to adversely impact universities such as the University of Toronto. We are working with all levels of government to ensure that the allocation of permits recognizes institutions like U of T (which uphold rigorous and transparent recruitment and admissions processes, and offer robust student supports) and addresses the problem where the challenges lie. </t>
  </si>
  <si>
    <t>uoft_2024_4</t>
  </si>
  <si>
    <t>The Federal Government continues to face significant challenges in timely processing of student permit applications given the large increase in volumes across the country in recent years. This past year, the University along with Universities Canada and other peer universities has worked with Immigration, Refugees &amp; Citizenship Canada (IRCC) to develop a new Recognized Institution Framework that will create a new, separate pathway for student permit processing for “recognized” institutions. We expect this to significantly improve the experience for our students and reduce time to approval when it is implemented. </t>
  </si>
  <si>
    <t>uoft_2024_5</t>
  </si>
  <si>
    <t>Many divisions continued to experience some softening in graduate intakes again this year with overall graduate enrolment coming in (2.8%) below plan, although still within our funded enrolment corridor. Fall 2023 graduate enrolment across all years of study was 20,424 FTEs, essentially unchanged from 2022. </t>
  </si>
  <si>
    <t>uoft_2024_6</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</si>
  <si>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 </t>
  </si>
  <si>
    <t>uoft_2024_7</t>
  </si>
  <si>
    <t>Geopolitical issues continue to present some risk to our international enrolment plans. We are seeing some impact from the recent tensions in the Canada-India relationship on demand with applications from that country for Fall 2024 down by about 41% compared to last year. Applicants from China are also down about 7% as of February. This volatility demonstrates why the University’s diversification strategy to build and increase connections with a broader range of international countries is so important. </t>
  </si>
  <si>
    <t>uoft_2024_8</t>
  </si>
  <si>
    <t>The impact of post-Bill 124 compensation decisions is a dominating factor in this year’s budget plan. </t>
  </si>
  <si>
    <t>uoft_2024_9</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</si>
  <si>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over the past year. This decision removed the “no-catch up” restrictions in the Act which, when combined with high inflation rates, has led to large top-ups to the already negotiated Bill 124 1% increases such as:
+6.5% over three years for OPSEU employees with public colleges
+6.25% over two years for Ontario Power Workers
+6.25% retro over two years for Ontario Hospital Paramedical Employees</t>
  </si>
  <si>
    <t>uoft_2024_10</t>
  </si>
  <si>
    <t>While the University does not have any reopener clauses in its agreements, the final year of the Bill 124 period agreement with our Faculty &amp; Librarians (2022) was in arbitration when the Court made its decision. As a result, negotiation resumed on this final year and the Arbitrator ultimately awarded a 7% increase in addition to the 1% already negotiated. This 7% special increase was subsequently included in the 2023 agreement with USW and other administrative staff. The University is anticipating that this special increase will ultimately cost about $125 million above what was planned for this year. </t>
  </si>
  <si>
    <t>uoft_2024_11</t>
  </si>
  <si>
    <t>In response, divisions have had to review their hiring plans, contingencies, capital plans, and other priorities. It will take several years for divisions to fully absorb this extraordinary increase in base costs, which will limit funding available for other priorities. </t>
  </si>
  <si>
    <t>uoft_2024_12</t>
  </si>
  <si>
    <t>In March 2023, the Ontario Government announced the creation of a new Blue-Ribbon Panel (BRP) to provide advice to the Ministry of College &amp; Universities on how to help keep the postsecondary education sector financially strong and focused on providing the best student experience possible. The Panel published their final report in November 20232 with a number of key recommendations that could have a significant impact on the University’s budget, including:
• Unfreeze domestic tuition with a 5% increase to undergraduate programs and 8% for professional programs. Future increases linked to CPI.
• Immediate 10% increase in operating grant funding and then linked to CPI.
• Fungibility between undergraduate and graduate spaces within the enrolment corridor.
• Consider funding enrolment growth to meet demand.
• A note from the Panel’s Chair to deregulate tuition at the University of Toronto in recognition of its pre-eminence and long-standing commitment to access.</t>
  </si>
  <si>
    <t>uoft_2024_13</t>
  </si>
  <si>
    <t>As of the writing of this report, the Government has not yet formally responded to the BRP’s recommendations. However, they have signaled that the domestic tuition freeze will be extended for another year and they are considering operating grant support for colleges and universities. As noted later in this report, the Budget assumes continuation of the domestic tuition freeze to 2024-25 and increased operating grants to offset the financial impact. </t>
  </si>
  <si>
    <t>uoft_2024_14</t>
  </si>
  <si>
    <t>The BRP’s recommended 10% increase would represent about $65 million in additional critical revenue to the University. As we wait for the Government to respond to this recommendation, the budget plan does not assume additional operating grant revenue beyond the amount to offset the domestic tuition freeze. If the Ontario Budget includes an increase, the additional revenue would be allocated to divisions through the University’s budget model to support their highest priorities. </t>
  </si>
  <si>
    <t>uoft_2024_15</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</si>
  <si>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 </t>
  </si>
  <si>
    <t>uoft_2024_16</t>
  </si>
  <si>
    <t>uoft_2024_17</t>
  </si>
  <si>
    <t>Under the SMA3 performance-based funding formula,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and the University has allocated its performance-based funding envelope across these metrics, with an option to adjust each year in response to changing priorities.</t>
  </si>
  <si>
    <t>uoft_2024_18</t>
  </si>
  <si>
    <t>In recognition of the potential impact of the COVID-19 pandemic on metrics, the Government suspended activation of the performance-based funding framework for the first three years of the SMA3 period and has reduced the amount of funding that will be linked to performance metrics. In 2023-24, the framework was activated with 10% of funding linked to the metrics. This will increase to 25% in 2024-25. The University exceeded all of its metrics targets in the first four years of the SMA3 evaluation period and does not anticipate any reductions to funding in the future. </t>
  </si>
  <si>
    <t>uoft_2024_19</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</si>
  <si>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 </t>
  </si>
  <si>
    <t>uoft_2024_20</t>
  </si>
  <si>
    <t>Nursing education continues to be a priority area for the Government, which has funded additional spaces at colleges and universities since 2021. Under this program, the University received 55 additional spaces for our undergraduate BScN program in Fall 2024 entry (31% increase in intake over 2020). Given the continuing high demand for nursing graduates in the health care sector, the University is anticipating that this expansion will continue over the planning period. </t>
  </si>
  <si>
    <t>uoft_2024_21</t>
  </si>
  <si>
    <t>In addition, in 2022-23, the Government committed $124.7 million over three years to significantly increase funding for nursing clinical operations at colleges and universities. Under this initiative, the University’s allocation for nursing clinical funding has roughly tripled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 </t>
  </si>
  <si>
    <t>uoft_2024_22</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</si>
  <si>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t>
  </si>
  <si>
    <t>uoft_2024_23</t>
  </si>
  <si>
    <t>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</si>
  <si>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uoft_2024_24</t>
  </si>
  <si>
    <t>In addition, 30 MN Nurse Practitioner spaces will be delivered through SAMIH. </t>
  </si>
  <si>
    <t>uoft_2024_25</t>
  </si>
  <si>
    <t>uoft_2024_26</t>
  </si>
  <si>
    <t>In 2023-24, the Government continued its on-going $10.5 million annual funding for mental health services at colleges and universities – from which the University received $365k.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
  </si>
  <si>
    <t>uoft_2024_27</t>
  </si>
  <si>
    <t>However, the Government repositioned the $5 million in additional funding provided in 2022-23 into a two-year, project-based program for 2023-24 and 2024-25. The University has submitted a proposal for funding but has not received the results as of the writing of this report. </t>
  </si>
  <si>
    <t>uoft_2024_28</t>
  </si>
  <si>
    <t>uoft_2024_29</t>
  </si>
  <si>
    <t>In 2019-20, the Ontario government announced a 10 per cent cut to domestic tuition fees and has subsequently frozen fees at these levels for four years to 2023-24. Tuition paid by international students was unaffected. The cumulative impact of the 10% cut and four-year freeze is a $195 million reduction in annual operating revenue to the University as of 2023-24 compared to the 3% average framework in place prior to 2019-20. </t>
  </si>
  <si>
    <t>uoft_2024_30</t>
  </si>
  <si>
    <t>Unfortunately, it appears that the Government will again extend the domestic tuition freeze for a fifth year to 2024-25, resulting in a $15 million impact to the University’s plans for next year that assumed a modest 3% increase to Ontario resident tuition. In their public statements, the Government has also indicated that they will support colleges and universities through the freeze. As a result, the 2024-25 Budget assumes increased operating grant funding of $15 million to offset the financial impact of the extension of the freeze. Consistent with the Frameworks in place since 2021-22, the University is planning on a 5% increase to Non-Ontario Resident domestic tuition in undergraduate programs in 2024-25. </t>
  </si>
  <si>
    <t>uoft_2024_31</t>
  </si>
  <si>
    <t>We will revisit these plans, if necessary, when the Government formally announces its framework for 2024-25.</t>
  </si>
  <si>
    <t>uoft_2024_32</t>
  </si>
  <si>
    <t>uoft_2024_33</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</si>
  <si>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342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53%. An appropriate adjustment to the value of these awards is long overdue. </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</si>
  <si>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59%.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 </t>
  </si>
  <si>
    <t>uoft_2024_35</t>
  </si>
  <si>
    <t>uoft_2024_36</t>
  </si>
  <si>
    <t>Ancillary services across all three campuses make important contributions to the student and campus experience through residences, food operations, parking, and other services for student, faculty, and staff. These self-funding units rely on on-campus activity and faced significant financial challenges during the pandemic. </t>
  </si>
  <si>
    <t>uoft_2024_37</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</si>
  <si>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</si>
  <si>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uoft_2024_38</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</si>
  <si>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t>
  </si>
  <si>
    <t>uoft_2024_39</t>
  </si>
  <si>
    <t>uoft_2024_40</t>
  </si>
  <si>
    <r>
      <t>In 2019, the final report of the Alternative Funding Sources Advisory Group</t>
    </r>
    <r>
      <rPr>
        <vertAlign val="superscript"/>
        <sz val="6"/>
        <color theme="1"/>
        <rFont val="Helvetica"/>
        <family val="2"/>
      </rPr>
      <t xml:space="preserve">4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5 </t>
    </r>
    <r>
      <rPr>
        <sz val="9"/>
        <color theme="1"/>
        <rFont val="Helvetica"/>
        <family val="2"/>
      </rPr>
      <t>includes recommendations to enhance and expand the University’s lifelong learning offerings through initiatives such as a Lifelong Learning Community of Practice and micro-credentials. </t>
    </r>
  </si>
  <si>
    <t>uoft_2024_41</t>
  </si>
  <si>
    <t>Current projects in various stages of planning, design, and construction include the Oak House residence at Spadina and Sussex scheduled to open in 2024-25, a new residence on Harbord in development, the Site 1 Gateway project at Bloor and Spadina with faculty, staff and student family housing, and the Schwartz Reisman Innovation Campus (SRIC) East. </t>
  </si>
  <si>
    <t>uoft_2025</t>
  </si>
  <si>
    <t>uoft_2025_1</t>
  </si>
  <si>
    <t>Approximately 86% of the University’s operating revenue is
related to enrolment through student fees and operating
grants. Demand for the University’s programs continues to
be very strong with overall enrolment breaking the 100k
mark at 102,431 undergraduate and graduate students
enrolled in 91,425 FTEs of course activity in Fall 2024, a
2,593 FTE increase over the previous year.</t>
  </si>
  <si>
    <t>uoft_2025_2</t>
  </si>
  <si>
    <t>We continue to see strong domestic and international
applicant pools to our direct-entry undergraduate
programs, with growth of 3.4% in the incoming class to
17,022 in Fall 2024, though 1.4% below the plan for this
year, which had assumed a bit more growth. Domestic
demand was particularly strong with intake 733 above
target. Unfortunately, a challenging recruitment
environment contributed to lower than planned
international intake at 978 below target. On a year-over
year-basis, international intake was 6% below Fall 2023;
certainly not ideal but a much better result than the
double-digit percent decreases reported by many other
Ontario universities this year.</t>
  </si>
  <si>
    <t>uoft_2025_3</t>
  </si>
  <si>
    <t>Retention of upper-year students continues to bounce
back from the dip seen at the end of the pandemic. This
exceeded the conservative assumptions in the budget plan
and offset the lower than planned intakes. As a result,
overall undergraduate enrolment exceeded the budget plan
by 1.3% with positive variances in both domestic and
international enrolment.</t>
  </si>
  <si>
    <t>uoft_2025_4</t>
  </si>
  <si>
    <t>On January 22, 2024, the Federal Government introduced
a new cap on international student permits for 2024 aimed
at reducing the number of new permits issued nationally by
35%. For 2024, the cap was administered through a
restriction in the number of permit applications reviewed
for undergraduate studies from out of country applicants.
These applicants now required a Provincial Attestation
Letter (PAL) from a limited pool managed by each Province
in order to be considered for a study permit. Graduate
students were exempted from the cap. In 2024, the
University received sufficient PALs to meet our targets,
however, the new process created significant uncertainty in
international markets that likely impacted demand and
contributed to the lower than planned intake this year.</t>
  </si>
  <si>
    <t>uoft_2025_5</t>
  </si>
  <si>
    <t>As part of this initiative, the Federal Government also
changed eligibility for post-graduate work permits (PGWP)
for college programs, making graduates from public-private
partnerships ineligible for a PGWP. This had a major
impact on demand for those programs and Ontario
colleges used only about half of their allocation of PALs this
year. In contrast, the University used all of our 2024
allocation of PALs.</t>
  </si>
  <si>
    <t>uoft_2025_6</t>
  </si>
  <si>
    <t>In September 2024, the Government announced a further
10% reduction in international permits for 2025 and
extended the new PAL requirement to graduate students
and in-country international undergraduate applicants (ie.
those who enrolled in and are applying from Canadian high
schools). Our PAL allocation for 2025 should be sufficient
to meet our targets although we are requesting additional
PALs from the Ministry if they become available in order to
provide some flexibility if conversion rates decrease.
However, this new requirement adds a further complication
for students applying to attend the University, which is not
the target of these policy changes.</t>
  </si>
  <si>
    <t>uoft_2025_7</t>
  </si>
  <si>
    <t>The Federal Government continues to face significant
challenges in timely processing of student permit
applications given the large increase in volumes across the
country in recent years. The University of Toronto along
with Universities Canada and other peer universities
continues to advocate with Immigration, Refugees &amp;
Citizenship Canada (IRCC) for the introduction of a new
Recognized Institution Framework that will create a new,
separate pathway for student permit processing for
“recognized” institutions. This would significantly improve
the experience for our students and reduce time to
approval.</t>
  </si>
  <si>
    <t>uoft_2025_8</t>
  </si>
  <si>
    <t>It is important to note that the University separately
manages domestic and international enrolment spaces.
Each pool has separate targets and we endeavour to fill all
of our funded domestic spaces each year. We do not fill
domestic spaces with international students. In fact, in
2024 we admitted more domestic students than funded for
given the very strong demand and softening of the
Budget Report 2025-26 7 University of Toronto
international market. Although, this is only a temporary
measure as we cannot sustain this growth on domestic
tuition revenue alone.</t>
  </si>
  <si>
    <t>uoft_2025_9</t>
  </si>
  <si>
    <t>Many divisions continued to experience some softening in
graduate intakes again this year with overall graduate
enrolment coming in 0.7% below plan, although still 1.9%
higher than 2023-24. We are seeing some shifts in the
market for professional masters programs and divisions are
developing new programs and modifications to respond to
demand. One area of significant change is in the Rotman
School of Management, which is are planning a new
advanced standing option for the MBA (ie. shortened
program) and management programs for working
professionals and students from non-business
backgrounds.</t>
  </si>
  <si>
    <t>uoft_2025_10</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</si>
  <si>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</si>
  <si>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uoft_2025_11</t>
  </si>
  <si>
    <t>Geopolitical issues continue to present some risk to our
international enrolment plans. We are seeing a continued
impact on demand resulting from the tensions in the
Canada-India relationship with applications from that
country for Fall 2025 down by almost two-thirds compared
to 2023. This volatility demonstrates why the University’s
diversification strategy to build and increase connections
with a broader range of international countries is so
important.</t>
  </si>
  <si>
    <t>uoft_2025_12</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</si>
  <si>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and continues to impact the University’s
budget plan.</t>
  </si>
  <si>
    <t>uoft_2025_13</t>
  </si>
  <si>
    <t>The final year of the Bill 124 period agreement with our
Faculty &amp; Librarians (2022) was in arbitration when the
Court made its decision. As a result, negotiation resumed
on this final year and the Arbitrator ultimately awarded a
7% increase in addition to the 1% already negotiated
under the Bill 124 constraints. Negotiations with the
Faculty Association on the next agreement, fully post-Bill
124, continue.</t>
  </si>
  <si>
    <t>uoft_2025_14</t>
  </si>
  <si>
    <t>This 7% special increase was subsequently included in
post-Bill 124 negotiated agreements with other employee
groups and for other administrative staff. The University is
anticipating that this special increase will ultimately cost
about $125 million above what was planned.</t>
  </si>
  <si>
    <t>uoft_2025_15</t>
  </si>
  <si>
    <t>In response, divisions have had to review their hiring plans,
contingencies, capital plans, and other priorities. It is
taking several years for divisions to fully absorb this
extraordinary increase in base costs, which is limiting
funding available for other priorities. The multi-year
smoothing introduced to manage this incremental cost
impact to shared service budgets is requiring additional
funds from the 2025-26 budget beyond what will be
needed to fund next year’s compensation increases.</t>
  </si>
  <si>
    <t>uoft_2025_16</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</si>
  <si>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t>
  </si>
  <si>
    <t>uoft_2025_17</t>
  </si>
  <si>
    <t>The University’s fourth Strategic Mandate Agreement with
the Province (SMA4) will come into effect on April 1st,
2025 and continue for five years. This follows the 2020-
2025 SMA32 that introduced a new performance-based
funding model. The University is currently working with the
Province to finalize the SMA4, which is expected to include
the following features:
• Continuation of the SMA3 performance-based
funding framework but with eight metrics, down from
the 10 included in SMA3. One of the two SMA3
research metrics is being eliminated under SMA4
and the Skills &amp; Competencies metric will be
discontinued.
• Enrolment-related metrics will now be focused on
domestic students and exclude international.
• 5% of funding will now be linked to meeting certain
reporting deadlines, engaging with MCU on work to
develop efficiencies and new skills &amp; competencies
metrics, and attesting to a commitment to research
security. These elements are still under development
as of the writing of this report.</t>
  </si>
  <si>
    <t>uoft_2025_18</t>
  </si>
  <si>
    <t>The SMA performance-based funding framework will be
linked to 25% of operating grant funding provided to the
University in 2025-26 and 2026-27 and then increase
annually to 40% by 2029-30. Under the framework,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University exceeded all of its metrics
targets under SMA3 and does not anticipate any
reductions to funding under SMA4.</t>
  </si>
  <si>
    <t>uoft_2025_19</t>
  </si>
  <si>
    <t>The SMA3 also set out a multi-year enrolment plan where
the Province held constant the level of funded domestic
enrolment at the University of Toronto over the period of
the agreement. The University has been eligible for full
enrolment funding provided it maintained a five-year
average enrolment within ±3% of its target. This excluded
separately funded enrolment expansions in nursing and
the Scarborough Academy of Medicine &amp; Integrated Health
discussed later in this document.</t>
  </si>
  <si>
    <t>uoft_2025_20</t>
  </si>
  <si>
    <t>The funded enrolment corridor is not expected to change
for the first two years of SMA4. However, the Government
has indicated an interest in expanding enrolments in
science, technology, engineering, and math (STEM) and
the University has submitted a proposal to expand
programs by 4,850 undergraduates and 565 masters
students in areas such as engineering (including a new
undergraduate biomedical engineering program),
computer science, life &amp; physical sciences, data sciences,
kinesiology, and information studies. At this stage, this
proposed enrolment growth has not yet been factored into
the University’s long-range budget plan.</t>
  </si>
  <si>
    <t>uoft_2025_21</t>
  </si>
  <si>
    <t>In March 2023, the Government created a Blue Ribbon
Panel3 of postsecondary education experts to provide
advice on securing the financial sustainability of the sector.
The Panel recommended unfreezing domestic tuition, an
immediate 10% increase in operating grant funding, and
consideration of future enrolment growth funding to meet
demand.</t>
  </si>
  <si>
    <t>uoft_2025_22</t>
  </si>
  <si>
    <t>In response, the Government created a three-year
Postsecondary Education Financial Sustainability Fund
with a 7% phased-in increase to operating grants: 3% in
2024-25, 2% in 2025-26, and 2% in 2026-27. However,
the Government has not yet committed to continuing this
additional funding beyond 2026-27. They are planning a
funding review over the next two years that could inform
decisions on future funding.</t>
  </si>
  <si>
    <t>uoft_2025_23</t>
  </si>
  <si>
    <t>Unfortunately, the Government did not follow the Panel’s
recommendations to unfreeze domestic tuition and
instead, has extended the current freeze until at least
2026-27. While the additional operating grant funding is
very welcome, it essentially offsets the additional revenue
that would have been generated under a modest 3%
tuition increase framework.</t>
  </si>
  <si>
    <t>uoft_2025_24</t>
  </si>
  <si>
    <t>Changes to domestic tuition fees in publicly-funded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Figure 4: 2025-26 Domestic Tuition Fees
institutions that contravene the framework. The frameworks
only apply to tuition for students for which the Government
provides operating grant funding, so do not apply to the
majority of international students, non-publicly funded
programs such as Executive MBA, and continuing
education programs.</t>
  </si>
  <si>
    <t>uoft_2025_25</t>
  </si>
  <si>
    <t>In 2019-20, the Ontario government required a 10 per cent
cut to domestic tuition fees and has subsequently frozen
fees at these lower levels out to at least 2026-27.</t>
  </si>
  <si>
    <t>uoft_2025_26</t>
  </si>
  <si>
    <t>In 2022-23, the Government introduced flexibility to
increase non-Ontario domestic tuition by 5% per year – a
helpful change but limited in impact as this applies to just
a small portion of the University’s domestic enrolment.</t>
  </si>
  <si>
    <t>uoft_2025_27</t>
  </si>
  <si>
    <t>In 2023-24, the Government approved multi-year plans to
increase fees for some programs where they were
significantly lower than the comparative sector average.
This applies to our MA, MSc, and MSc in Applied
Computing programs (more information is provided later in
this report).</t>
  </si>
  <si>
    <t>uoft_2025_28</t>
  </si>
  <si>
    <t>In 2024-25, total revenue from domestic enrolment (tuition
and grants) was less than it was in 2018-19 in nominal
dollars, without adjusting for inflation. However, this is
beginning to change. Tuition from the higher than planned
domestic enrolment and the new Financial Sustainability
funding should put next year’s domestic-related revenues
just over where they were in 2018-19 next year. It is critical
that this growth continues given the uncertainties with the
international recruitment markets.</t>
  </si>
  <si>
    <t>uoft_2025_29</t>
  </si>
  <si>
    <t>Nursing education continues to be a priority area for the
Government, which has funded additional spaces at
colleges and universities since 2021. Under this program,
the University received 55 additional spaces for our
undergraduate BScN program (31% increase in intake
over 2020). Given the continuing high demand for nursing
graduates in the health care sector, the University is
anticipating that this expansion will continue over the
planning period.</t>
  </si>
  <si>
    <t>uoft_2025_30</t>
  </si>
  <si>
    <t>In 2022-23, the Government announced $124.2 million
over three years to significantly increase funding for
nursing clinical operations at colleges and universities.
Under this initiative, the University’s allocation for nursing
clinical funding roughly tripled to $1.1 million per year,
which has helped with operating costs for running these
programs. We are optimistic that the Government will
extend this important funding support beyond 2024-25,
but they have not yet committed to this as of the writing of
this report. The University also continues to advocate for
increased clinical funding in other program areas, in
particular dentistry, where the essential in-house clinics
require significant subsidies from other operating revenues.</t>
  </si>
  <si>
    <t>uoft_2025_31</t>
  </si>
  <si>
    <t>In May 2022, the Government announced expansion
funding for the new Scarborough Academy of Medicine
and Integrated Health (SAMIH) that will be located at the
University of Toronto Scarborough (UTSC) campus. SAMIH
is a collaboration between UTSC, the Temerty Faculty of
Medicine, the Lawrence Bloomberg Faculty of Nursing,
and the Leslie Dan Faculty of Pharmacy. It will serve as a
hub for undergraduate health education and health
professional training. 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</si>
  <si>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uoft_2025_32</t>
  </si>
  <si>
    <t>In addition, 30 MN Nurse Practitioner spaces will be
delivered through SAMIH.</t>
  </si>
  <si>
    <t>uoft_2025_33</t>
  </si>
  <si>
    <t>The home for SAMIH is currently under construction and
the Academy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t>
  </si>
  <si>
    <t>uof_2025_34</t>
  </si>
  <si>
    <t>In addition to the base and expansion operating grant
funding described above, the Provincial Government also
provides Special Purpose Funding for a number of targeted
initiatives each year such as mental health support
programs, accessibility &amp; accommodation supports,
campus safety, access &amp; outreach programs, Indigenous
student bursaries, and others. In total, the University
received $5.5 million in special purpose funding in 2023-
24. Allocations for many of these programs are announced
in-year and often flow through the restricted fund portion of
the University’s systems given the specific nature of the
eligible expenditures. However, the annual operating
budget does include a provision for Accessibility Funding,
assumed to be $3.8 million for 2025-26.</t>
  </si>
  <si>
    <t>uoft_2025_35</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</si>
  <si>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t>
  </si>
  <si>
    <t>uoft_2025_36</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</si>
  <si>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341 Chairs spread across three campuses and fifteen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69%. An appropriate adjustment to
the value of these awards is long overdue.</t>
  </si>
  <si>
    <t>uoft_2025_37</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</si>
  <si>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over 60%. However, in 2024, the Federal
Government announced a multi-year plan to increase
funding for the IPG program for research-intensive
institutions like the University of Toronto. This very
welcome increase is anticipated to substantially increase
Budget Report 2025-26 11 University of Toronto
total indirect costs of research funding from the Federal
Government.</t>
  </si>
  <si>
    <t>uoft_2025_38</t>
  </si>
  <si>
    <t>The Federal Government supports graduate students by
providing student scholarships on a competitive basis.
Although these funds do not flow through the University’s
operating budget, they provide indirect budget relief to the
academic divisions by freeing up funds that would
otherwise have to be used for graduate student support. In
July 2024, the Federal Government announced that it
would increase tri-agency doctoral scholarships to $40,000
and masters scholarships to $27,000, a significant
investment to support students.</t>
  </si>
  <si>
    <t>uoft_2025_39</t>
  </si>
  <si>
    <t>Similarly, the Provincial Government provides support
through Ontario Graduate Scholarships and the QEII
Graduate Scholarships in Science and Technology.
However, these awards have remained frozen in value and
the number available has not kept pace with the rapid
growth in graduate enrolment.</t>
  </si>
  <si>
    <t>uoft_2025_40</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</si>
  <si>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</si>
  <si>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uoft_2025_41</t>
  </si>
  <si>
    <t>In 2019, the final report of the Alternative Funding Sources
Advisory Group4 articulated several potential sources of
revenue generation that take advantage of some of the
University’s key strengths: its capacity to create and
disseminate knowledge, its real estate holdings and
physical infrastructure, and its significant financial capital.
One example of actions undertaken following the report
was the Provost’s establishment of the Advisory Group on
Lifelong Learning Opportunities5. The group’s June 2021
report includes recommendations to enhance and expand
the University’s lifelong learning offerings through initiatives
such as a Lifelong Learning Community of Practice and
micro-credentials. In 2024-25, the Provost announced the
appointment of Professors Erica Walker, Dean of OISE, and
Catherine Chandler-Crichlow, Dean of the School of
Continuing Studies as Provostial Advisors on Lifelong
Learning to build on the Advisory Group’s work to leverage
the expertise and systems of the School of Continuing
Studies and other centres of excellence around the
University to expand U of T’s reach into the lifelong
learning space.</t>
  </si>
  <si>
    <t>uoft_2025_42</t>
  </si>
  <si>
    <t>The University has seized another such opportunity with
the adoption of the Four Corners Strategy, which will
leverage the University’s real estate assets to deliver
facilities and services to support the academic mission and
simultaneously grow revenue from sources other than
enrolment. Given the challenging interest rate environment
of the last few years, new developments have proceeded at
a slower pace than originally planned. However, the Four
Corners Strategy is anticipating initiating annual
contributions to the operating budget towards academic
priorities over the course of the five-year plan, starting with
a $5 million contribution in 2026-27, in addition to interest
payments to the operating budget on internally issued
mortgages used for Four Corners capital construction.</t>
  </si>
  <si>
    <t>uoft_2025_43</t>
  </si>
  <si>
    <t>Current projects in various stages of planning, design, and
construction include: the Oak House residence at Spadina
and Sussex, scheduled to open for September 2025; a new
residence on Harbord Street in development; the Site 1
Gateway project at Bloor and Spadina with faculty, staff
and student family housing; and, the Schwartz Reisman
Innovation Campus (SRIC) East. In addition, the University
is planning a major expansion of up to 5,000 units of
student housing on the St. George campus with private
partners over the next decade.</t>
  </si>
  <si>
    <t>PART 1</t>
  </si>
  <si>
    <t>uoft_2025_44</t>
  </si>
  <si>
    <t>uoft_2025_45</t>
  </si>
  <si>
    <t>uoft_2025_46</t>
  </si>
  <si>
    <t>Ancillary services across all three campuses make
important contributions to the student and campus
experience through residences, food operations, parking,
and other services for student, faculty, and staff. These
self-funded units rely on on-campus activity and faced
significant financial challenges during the pandemic.</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</si>
  <si>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</si>
  <si>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</si>
  <si>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In April 2017, a panel led by UofT President Emeritus David Naylor issued the final report of Canada’s Fundamental Science Review (the Naylor Report). The report recommended changes to the Canada Research Chair program, and proposed a significant increase in the funding for the indirect costs of research. </t>
  </si>
  <si>
    <t>PART 2 NEW</t>
  </si>
  <si>
    <t>class_binary</t>
  </si>
  <si>
    <t>class_intensity</t>
  </si>
  <si>
    <t>High</t>
  </si>
  <si>
    <t>PART 3</t>
  </si>
  <si>
    <t>Low</t>
  </si>
  <si>
    <t xml:space="preserve">Low </t>
  </si>
  <si>
    <t>Medium</t>
  </si>
  <si>
    <t>According to Ontario’s fall economic outlook, the government is projecting a deficit of $9.0 billion for 2019-20, which represents a positive variance of $1.3 billion from the deficit target set out in the 2019 Provincial Budget. This change is primarily due to economic growth and higher than planned tax revenues.</t>
  </si>
  <si>
    <t>According to Ontario’s fall economic outlook, the government
is now projecting a deficit of $14.5 billion for 2018–19, which
represents a positive variance of $0.5 billion from the report
of the Commission in August 2018. This change is a result
of $3.2 billion in program savings, offset by $2.7 billion
in tax reductions, including the elimination of the previous
government’s cap-and-trade program.</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</si>
  <si>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The University of Toronto’s Strategic Mandate Agreement
confirms its leadership role in research and innovation in Ontario.</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</si>
  <si>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</si>
  <si>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is the
establishment of The Advisory Group on Life Long Learning
Opportunities7 established by the Provost.</t>
  </si>
  <si>
    <t>The Ontario post-secondary education system operates under a differentiation policy framework. The framework is operationalized through a series of institutional Strategic Mandate Agreements, which specify the role of each university in the system and how each will build on institutional strengths to drive system-wide objectives and government priorities.</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</si>
  <si>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was the
establishment of The Advisory Group on Lifelong Learning
Opportunities established by the Provost. The group’s June
20218 report includes recommendations to enhance and
expand the University’s lifelong learning offerings through
initiatives such as a Lifelong Learning Community of Practice
and micro-credentials.</t>
  </si>
  <si>
    <r>
      <t>The Ontario post-secondary education system operates under a differentiation policy framework</t>
    </r>
    <r>
      <rPr>
        <vertAlign val="superscript"/>
        <sz val="6"/>
        <color theme="1"/>
        <rFont val="Helvetica"/>
        <family val="2"/>
      </rPr>
      <t xml:space="preserve"> </t>
    </r>
    <r>
      <rPr>
        <sz val="9"/>
        <color theme="1"/>
        <rFont val="Helvetica"/>
        <family val="2"/>
      </rPr>
      <t>that is operationalized through a series of bilateral Strategic Mandate Agreements. These agreements specify the role of each university in the system and how each will build on institutional strengths to drive system-wide objectives and government priorities. </t>
    </r>
  </si>
  <si>
    <t>uoft_2024_34</t>
  </si>
  <si>
    <t>class_rd</t>
  </si>
  <si>
    <t>Class Resource Dependence</t>
  </si>
  <si>
    <t>low resource dependence attitude</t>
  </si>
  <si>
    <t>no resource dependence content</t>
  </si>
  <si>
    <t>high resource dependene attitude</t>
  </si>
  <si>
    <t>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</si>
</sst>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2"/>
      <color theme="1"/>
      <name val="Aptos Narrow"/>
      <scheme val="minor"/>
    </font>
    <font>
      <sz val="12"/>
      <color theme="1"/>
      <name val="Calibri"/>
      <family val="2"/>
    </font>
    <font>
      <sz val="12"/>
      <color theme="1"/>
      <name val="Helvetica"/>
      <family val="2"/>
    </font>
    <font>
      <sz val="11"/>
      <color theme="1"/>
      <name val="Calibri"/>
      <family val="2"/>
    </font>
    <font>
      <sz val="7"/>
      <color theme="1"/>
      <name val="Calibri"/>
      <family val="2"/>
    </font>
    <font>
      <sz val="9"/>
      <color rgb="FF211D1E"/>
      <name val="Helvetica"/>
      <family val="2"/>
    </font>
    <font>
      <sz val="5"/>
      <color rgb="FF211D1E"/>
      <name val="Helvetica"/>
      <family val="2"/>
    </font>
    <font>
      <sz val="9"/>
      <color theme="1"/>
      <name val="Helvetica"/>
      <family val="2"/>
    </font>
    <font>
      <vertAlign val="superscript"/>
      <sz val="6"/>
      <color theme="1"/>
      <name val="Helvetica"/>
      <family val="2"/>
    </font>
    <font>
      <i/>
      <sz val="9"/>
      <color theme="1"/>
      <name val="Helvetica"/>
      <family val="2"/>
    </font>
    <font>
      <i/>
      <vertAlign val="superscript"/>
      <sz val="6"/>
      <color theme="1"/>
      <name val="Helvetica"/>
      <family val="2"/>
    </font>
    <font>
      <sz val="8"/>
      <name val="Aptos Narrow"/>
      <family val="2"/>
      <scheme val="minor"/>
    </font>
    <font>
      <sz val="12"/>
      <color rgb="FF000000"/>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8" tint="0.59999389629810485"/>
        <bgColor indexed="64"/>
      </patternFill>
    </fill>
  </fills>
  <borders count="1">
    <border>
      <left/>
      <right/>
      <top/>
      <bottom/>
      <diagonal/>
    </border>
  </borders>
  <cellStyleXfs count="1">
    <xf numFmtId="0" fontId="0" fillId="0" borderId="0"/>
  </cellStyleXfs>
  <cellXfs count="20">
    <xf numFmtId="0" fontId="0" fillId="0" borderId="0" xfId="0"/>
    <xf numFmtId="0" fontId="1" fillId="0" borderId="0" xfId="0" applyFont="1"/>
    <xf numFmtId="0" fontId="1" fillId="3" borderId="0" xfId="0" applyFont="1" applyFill="1"/>
    <xf numFmtId="0" fontId="1" fillId="4" borderId="0" xfId="0" applyFont="1" applyFill="1"/>
    <xf numFmtId="0" fontId="0" fillId="0" borderId="0" xfId="0" applyAlignment="1">
      <alignment horizontal="right"/>
    </xf>
    <xf numFmtId="0" fontId="1" fillId="5" borderId="0" xfId="0" applyFont="1" applyFill="1"/>
    <xf numFmtId="0" fontId="2" fillId="0" borderId="0" xfId="0" applyFont="1" applyAlignment="1">
      <alignment shrinkToFit="1"/>
    </xf>
    <xf numFmtId="0" fontId="3" fillId="0" borderId="0" xfId="0" applyFont="1" applyAlignment="1">
      <alignment shrinkToFit="1"/>
    </xf>
    <xf numFmtId="0" fontId="0" fillId="0" borderId="0" xfId="0" applyAlignment="1">
      <alignment horizontal="right" shrinkToFit="1"/>
    </xf>
    <xf numFmtId="0" fontId="0" fillId="0" borderId="0" xfId="0" applyAlignment="1">
      <alignment shrinkToFit="1"/>
    </xf>
    <xf numFmtId="0" fontId="4" fillId="0" borderId="0" xfId="0" applyFont="1" applyAlignment="1">
      <alignment shrinkToFit="1"/>
    </xf>
    <xf numFmtId="0" fontId="6" fillId="0" borderId="0" xfId="0" applyFont="1" applyAlignment="1">
      <alignment shrinkToFit="1"/>
    </xf>
    <xf numFmtId="0" fontId="1" fillId="2" borderId="0" xfId="0" applyFont="1" applyFill="1" applyAlignment="1">
      <alignment horizontal="left"/>
    </xf>
    <xf numFmtId="0" fontId="0" fillId="2" borderId="0" xfId="0" applyFill="1" applyAlignment="1">
      <alignment horizontal="left"/>
    </xf>
    <xf numFmtId="0" fontId="8" fillId="0" borderId="0" xfId="0" applyFont="1" applyAlignment="1">
      <alignment shrinkToFit="1"/>
    </xf>
    <xf numFmtId="0" fontId="1" fillId="6" borderId="0" xfId="0" applyFont="1" applyFill="1"/>
    <xf numFmtId="0" fontId="13" fillId="0" borderId="0" xfId="0" applyFont="1"/>
    <xf numFmtId="0" fontId="1" fillId="7" borderId="0" xfId="0" applyFont="1" applyFill="1"/>
    <xf numFmtId="0" fontId="1" fillId="2" borderId="0" xfId="0" applyFont="1" applyFill="1"/>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2C0E-A951-D74A-BA67-BBDF09195F67}">
  <sheetPr>
    <pageSetUpPr fitToPage="1"/>
  </sheetPr>
  <dimension ref="A1:T328"/>
  <sheetViews>
    <sheetView tabSelected="1" zoomScaleNormal="100" workbookViewId="0">
      <selection activeCell="C10" sqref="C10"/>
    </sheetView>
  </sheetViews>
  <sheetFormatPr baseColWidth="10" defaultRowHeight="16"/>
  <cols>
    <col min="1" max="1" width="12.33203125" customWidth="1"/>
    <col min="2" max="2" width="16.33203125" customWidth="1"/>
    <col min="3" max="3" width="14.6640625" customWidth="1"/>
    <col min="4" max="7" width="15" style="13" customWidth="1"/>
    <col min="8" max="8" width="10.83203125" customWidth="1"/>
    <col min="9" max="9" width="12" customWidth="1"/>
    <col min="10" max="10" width="18" customWidth="1"/>
    <col min="11" max="11" width="16.5" customWidth="1"/>
    <col min="12" max="12" width="10.83203125" customWidth="1"/>
    <col min="13" max="14" width="19" customWidth="1"/>
    <col min="15" max="15" width="12.5" customWidth="1"/>
    <col min="16" max="16" width="12.1640625" customWidth="1"/>
    <col min="17" max="17" width="12.5" customWidth="1"/>
    <col min="18" max="18" width="10.83203125" customWidth="1"/>
  </cols>
  <sheetData>
    <row r="1" spans="1:20">
      <c r="A1" s="2" t="s">
        <v>0</v>
      </c>
      <c r="B1" s="2" t="s">
        <v>1</v>
      </c>
      <c r="C1" s="5" t="s">
        <v>2</v>
      </c>
      <c r="D1" s="12" t="s">
        <v>694</v>
      </c>
      <c r="E1" s="12" t="s">
        <v>674</v>
      </c>
      <c r="F1" s="12" t="s">
        <v>673</v>
      </c>
      <c r="G1" s="12" t="s">
        <v>689</v>
      </c>
      <c r="H1" s="3" t="s">
        <v>5</v>
      </c>
      <c r="I1" s="3" t="s">
        <v>6</v>
      </c>
      <c r="J1" s="3" t="s">
        <v>3</v>
      </c>
      <c r="K1" s="3" t="s">
        <v>12</v>
      </c>
      <c r="L1" s="3" t="s">
        <v>4</v>
      </c>
      <c r="M1" s="3" t="s">
        <v>14</v>
      </c>
      <c r="N1" s="3" t="s">
        <v>15</v>
      </c>
      <c r="O1" s="3" t="s">
        <v>285</v>
      </c>
      <c r="P1" s="3" t="s">
        <v>286</v>
      </c>
      <c r="Q1" s="3" t="s">
        <v>287</v>
      </c>
      <c r="R1" s="3" t="s">
        <v>288</v>
      </c>
      <c r="S1" s="3" t="s">
        <v>318</v>
      </c>
      <c r="T1" s="3" t="s">
        <v>319</v>
      </c>
    </row>
    <row r="2" spans="1:20" ht="28" customHeight="1">
      <c r="A2" s="4" t="s">
        <v>9</v>
      </c>
      <c r="B2" s="4" t="s">
        <v>10</v>
      </c>
      <c r="C2" s="6" t="s">
        <v>16</v>
      </c>
      <c r="D2" s="13">
        <v>1</v>
      </c>
      <c r="E2" s="13" t="s">
        <v>675</v>
      </c>
      <c r="F2" s="13">
        <v>1</v>
      </c>
      <c r="G2" s="13">
        <v>2</v>
      </c>
      <c r="H2" s="4">
        <v>1</v>
      </c>
      <c r="I2" s="4">
        <v>9</v>
      </c>
      <c r="J2" s="4" t="s">
        <v>11</v>
      </c>
      <c r="K2" s="4" t="s">
        <v>13</v>
      </c>
      <c r="L2" s="4">
        <v>2017</v>
      </c>
      <c r="M2" s="4">
        <v>1</v>
      </c>
      <c r="N2" s="4">
        <v>0</v>
      </c>
    </row>
    <row r="3" spans="1:20" ht="20" customHeight="1">
      <c r="A3" s="4" t="s">
        <v>9</v>
      </c>
      <c r="B3" s="4" t="s">
        <v>25</v>
      </c>
      <c r="C3" s="6" t="s">
        <v>17</v>
      </c>
      <c r="D3" s="13">
        <v>1</v>
      </c>
      <c r="E3" s="13" t="s">
        <v>679</v>
      </c>
      <c r="F3" s="13">
        <v>1</v>
      </c>
      <c r="G3" s="13">
        <v>2</v>
      </c>
      <c r="H3" s="4">
        <v>2</v>
      </c>
      <c r="I3" s="4">
        <v>9</v>
      </c>
      <c r="J3" s="4" t="s">
        <v>11</v>
      </c>
      <c r="K3" s="4" t="s">
        <v>13</v>
      </c>
      <c r="L3" s="4">
        <v>2017</v>
      </c>
      <c r="M3" s="4">
        <v>1</v>
      </c>
      <c r="N3" s="4">
        <v>0</v>
      </c>
    </row>
    <row r="4" spans="1:20" ht="22" customHeight="1">
      <c r="A4" s="4" t="s">
        <v>9</v>
      </c>
      <c r="B4" s="4" t="s">
        <v>26</v>
      </c>
      <c r="C4" s="6" t="s">
        <v>18</v>
      </c>
      <c r="D4" s="13">
        <v>1</v>
      </c>
      <c r="E4" s="13" t="s">
        <v>677</v>
      </c>
      <c r="F4" s="13">
        <v>1</v>
      </c>
      <c r="G4" s="13">
        <v>2</v>
      </c>
      <c r="H4" s="4">
        <v>3</v>
      </c>
      <c r="I4" s="4">
        <v>9</v>
      </c>
      <c r="J4" s="4" t="s">
        <v>11</v>
      </c>
      <c r="K4" s="4" t="s">
        <v>13</v>
      </c>
      <c r="L4" s="4">
        <v>2017</v>
      </c>
      <c r="M4" s="4">
        <v>1</v>
      </c>
      <c r="N4" s="4">
        <v>0</v>
      </c>
    </row>
    <row r="5" spans="1:20" ht="23" customHeight="1">
      <c r="A5" s="4" t="s">
        <v>9</v>
      </c>
      <c r="B5" s="4" t="s">
        <v>27</v>
      </c>
      <c r="C5" s="6" t="s">
        <v>19</v>
      </c>
      <c r="D5" s="13">
        <v>1</v>
      </c>
      <c r="E5" s="13" t="s">
        <v>677</v>
      </c>
      <c r="F5" s="13">
        <v>0</v>
      </c>
      <c r="G5" s="13">
        <v>0</v>
      </c>
      <c r="H5" s="4">
        <v>4</v>
      </c>
      <c r="I5" s="4">
        <v>9</v>
      </c>
      <c r="J5" s="4" t="s">
        <v>11</v>
      </c>
      <c r="K5" s="4" t="s">
        <v>13</v>
      </c>
      <c r="L5" s="4">
        <v>2017</v>
      </c>
      <c r="M5" s="4">
        <v>1</v>
      </c>
      <c r="N5" s="4">
        <v>0</v>
      </c>
    </row>
    <row r="6" spans="1:20" ht="21" customHeight="1">
      <c r="A6" s="4" t="s">
        <v>9</v>
      </c>
      <c r="B6" s="4" t="s">
        <v>28</v>
      </c>
      <c r="C6" s="6" t="s">
        <v>20</v>
      </c>
      <c r="D6" s="13">
        <v>1</v>
      </c>
      <c r="E6" s="13" t="s">
        <v>677</v>
      </c>
      <c r="F6" s="13">
        <v>0</v>
      </c>
      <c r="G6" s="13">
        <v>0</v>
      </c>
      <c r="H6" s="4">
        <v>5</v>
      </c>
      <c r="I6" s="4">
        <v>9</v>
      </c>
      <c r="J6" s="4" t="s">
        <v>11</v>
      </c>
      <c r="K6" s="4" t="s">
        <v>13</v>
      </c>
      <c r="L6" s="4">
        <v>2017</v>
      </c>
      <c r="M6" s="4">
        <v>1</v>
      </c>
      <c r="N6" s="4">
        <v>0</v>
      </c>
    </row>
    <row r="7" spans="1:20">
      <c r="A7" s="4" t="s">
        <v>9</v>
      </c>
      <c r="B7" s="4" t="s">
        <v>29</v>
      </c>
      <c r="C7" s="6" t="s">
        <v>21</v>
      </c>
      <c r="D7" s="13">
        <v>1</v>
      </c>
      <c r="E7" s="13" t="s">
        <v>679</v>
      </c>
      <c r="F7" s="13">
        <v>1</v>
      </c>
      <c r="G7" s="13">
        <v>1</v>
      </c>
      <c r="H7" s="4">
        <v>6</v>
      </c>
      <c r="I7" s="4">
        <v>9</v>
      </c>
      <c r="J7" s="4" t="s">
        <v>11</v>
      </c>
      <c r="K7" s="4" t="s">
        <v>13</v>
      </c>
      <c r="L7" s="4">
        <v>2017</v>
      </c>
      <c r="M7" s="4">
        <v>1</v>
      </c>
      <c r="N7" s="4">
        <v>0</v>
      </c>
    </row>
    <row r="8" spans="1:20">
      <c r="A8" s="4" t="s">
        <v>9</v>
      </c>
      <c r="B8" s="4" t="s">
        <v>30</v>
      </c>
      <c r="C8" s="6" t="s">
        <v>22</v>
      </c>
      <c r="D8" s="13">
        <v>1</v>
      </c>
      <c r="E8" s="13" t="s">
        <v>677</v>
      </c>
      <c r="F8" s="13">
        <v>0</v>
      </c>
      <c r="G8" s="13">
        <v>0</v>
      </c>
      <c r="H8" s="4">
        <v>7</v>
      </c>
      <c r="I8" s="4">
        <v>9</v>
      </c>
      <c r="J8" s="4" t="s">
        <v>11</v>
      </c>
      <c r="K8" s="4" t="s">
        <v>13</v>
      </c>
      <c r="L8" s="4">
        <v>2017</v>
      </c>
      <c r="M8" s="4">
        <v>1</v>
      </c>
      <c r="N8" s="4">
        <v>0</v>
      </c>
    </row>
    <row r="9" spans="1:20">
      <c r="A9" s="4" t="s">
        <v>9</v>
      </c>
      <c r="B9" s="4" t="s">
        <v>31</v>
      </c>
      <c r="C9" s="6" t="s">
        <v>23</v>
      </c>
      <c r="D9" s="13">
        <v>1</v>
      </c>
      <c r="E9" s="13" t="s">
        <v>679</v>
      </c>
      <c r="F9" s="13">
        <v>1</v>
      </c>
      <c r="G9" s="13">
        <v>2</v>
      </c>
      <c r="H9" s="4">
        <v>8</v>
      </c>
      <c r="I9" s="4">
        <v>9</v>
      </c>
      <c r="J9" s="4" t="s">
        <v>11</v>
      </c>
      <c r="K9" s="4" t="s">
        <v>13</v>
      </c>
      <c r="L9" s="4">
        <v>2017</v>
      </c>
      <c r="M9" s="4">
        <v>1</v>
      </c>
      <c r="N9" s="4">
        <v>0</v>
      </c>
    </row>
    <row r="10" spans="1:20">
      <c r="A10" s="4" t="s">
        <v>9</v>
      </c>
      <c r="B10" s="4" t="s">
        <v>32</v>
      </c>
      <c r="C10" s="6" t="s">
        <v>24</v>
      </c>
      <c r="D10" s="13">
        <v>0</v>
      </c>
      <c r="F10" s="13">
        <v>1</v>
      </c>
      <c r="G10" s="13">
        <v>1</v>
      </c>
      <c r="H10" s="4">
        <v>9</v>
      </c>
      <c r="I10" s="4">
        <v>9</v>
      </c>
      <c r="J10" s="4" t="s">
        <v>11</v>
      </c>
      <c r="K10" s="4" t="s">
        <v>13</v>
      </c>
      <c r="L10" s="4">
        <v>2017</v>
      </c>
      <c r="M10" s="4">
        <v>1</v>
      </c>
      <c r="N10" s="4">
        <v>0</v>
      </c>
    </row>
    <row r="11" spans="1:20">
      <c r="A11" s="4" t="s">
        <v>8</v>
      </c>
      <c r="B11" s="4" t="s">
        <v>33</v>
      </c>
      <c r="C11" s="6" t="s">
        <v>34</v>
      </c>
      <c r="D11" s="13">
        <v>1</v>
      </c>
      <c r="E11" s="13" t="s">
        <v>675</v>
      </c>
      <c r="F11" s="13">
        <v>1</v>
      </c>
      <c r="G11" s="13">
        <v>2</v>
      </c>
      <c r="H11" s="4">
        <v>1</v>
      </c>
      <c r="I11" s="4">
        <v>9</v>
      </c>
      <c r="J11" s="4" t="s">
        <v>11</v>
      </c>
      <c r="K11" s="4" t="s">
        <v>13</v>
      </c>
      <c r="L11" s="4">
        <v>2018</v>
      </c>
      <c r="M11" s="4">
        <v>1</v>
      </c>
      <c r="N11" s="4">
        <v>0</v>
      </c>
    </row>
    <row r="12" spans="1:20">
      <c r="A12" s="4" t="s">
        <v>8</v>
      </c>
      <c r="B12" s="4" t="s">
        <v>43</v>
      </c>
      <c r="C12" s="6" t="s">
        <v>35</v>
      </c>
      <c r="D12" s="13">
        <v>1</v>
      </c>
      <c r="E12" s="13" t="s">
        <v>679</v>
      </c>
      <c r="F12" s="13">
        <v>1</v>
      </c>
      <c r="G12" s="13">
        <v>2</v>
      </c>
      <c r="H12" s="4">
        <v>2</v>
      </c>
      <c r="I12" s="4">
        <v>9</v>
      </c>
      <c r="J12" s="4" t="s">
        <v>11</v>
      </c>
      <c r="K12" s="4" t="s">
        <v>13</v>
      </c>
      <c r="L12" s="4">
        <v>2018</v>
      </c>
      <c r="M12" s="4">
        <v>1</v>
      </c>
      <c r="N12" s="4">
        <v>0</v>
      </c>
    </row>
    <row r="13" spans="1:20">
      <c r="A13" s="4" t="s">
        <v>8</v>
      </c>
      <c r="B13" s="4" t="s">
        <v>44</v>
      </c>
      <c r="C13" s="6" t="s">
        <v>36</v>
      </c>
      <c r="D13" s="13">
        <v>1</v>
      </c>
      <c r="E13" s="13" t="s">
        <v>677</v>
      </c>
      <c r="F13" s="13">
        <v>0</v>
      </c>
      <c r="G13" s="13">
        <v>0</v>
      </c>
      <c r="H13" s="4">
        <v>3</v>
      </c>
      <c r="I13" s="4">
        <v>9</v>
      </c>
      <c r="J13" s="4" t="s">
        <v>11</v>
      </c>
      <c r="K13" s="4" t="s">
        <v>13</v>
      </c>
      <c r="L13" s="4">
        <v>2018</v>
      </c>
      <c r="M13" s="4">
        <v>1</v>
      </c>
      <c r="N13" s="4">
        <v>0</v>
      </c>
    </row>
    <row r="14" spans="1:20">
      <c r="A14" s="4" t="s">
        <v>8</v>
      </c>
      <c r="B14" s="4" t="s">
        <v>45</v>
      </c>
      <c r="C14" s="6" t="s">
        <v>37</v>
      </c>
      <c r="D14" s="13">
        <v>1</v>
      </c>
      <c r="E14" s="13" t="s">
        <v>677</v>
      </c>
      <c r="F14" s="13">
        <v>0</v>
      </c>
      <c r="G14" s="13">
        <v>0</v>
      </c>
      <c r="H14" s="4">
        <v>4</v>
      </c>
      <c r="I14" s="4">
        <v>9</v>
      </c>
      <c r="J14" s="4" t="s">
        <v>11</v>
      </c>
      <c r="K14" s="4" t="s">
        <v>13</v>
      </c>
      <c r="L14" s="4">
        <v>2018</v>
      </c>
      <c r="M14" s="4">
        <v>1</v>
      </c>
      <c r="N14" s="4">
        <v>0</v>
      </c>
    </row>
    <row r="15" spans="1:20">
      <c r="A15" s="4" t="s">
        <v>8</v>
      </c>
      <c r="B15" s="4" t="s">
        <v>46</v>
      </c>
      <c r="C15" s="6" t="s">
        <v>38</v>
      </c>
      <c r="D15" s="13">
        <v>1</v>
      </c>
      <c r="E15" s="13" t="s">
        <v>679</v>
      </c>
      <c r="F15" s="13">
        <v>0</v>
      </c>
      <c r="G15" s="13">
        <v>0</v>
      </c>
      <c r="H15" s="4">
        <v>5</v>
      </c>
      <c r="I15" s="4">
        <v>9</v>
      </c>
      <c r="J15" s="4" t="s">
        <v>11</v>
      </c>
      <c r="K15" s="4" t="s">
        <v>13</v>
      </c>
      <c r="L15" s="4">
        <v>2018</v>
      </c>
      <c r="M15" s="4">
        <v>1</v>
      </c>
      <c r="N15" s="4">
        <v>0</v>
      </c>
    </row>
    <row r="16" spans="1:20">
      <c r="A16" s="4" t="s">
        <v>8</v>
      </c>
      <c r="B16" s="4" t="s">
        <v>47</v>
      </c>
      <c r="C16" s="6" t="s">
        <v>39</v>
      </c>
      <c r="D16" s="13">
        <v>1</v>
      </c>
      <c r="E16" s="13" t="s">
        <v>679</v>
      </c>
      <c r="F16" s="13">
        <v>1</v>
      </c>
      <c r="G16" s="13">
        <v>1</v>
      </c>
      <c r="H16" s="4">
        <v>6</v>
      </c>
      <c r="I16" s="4">
        <v>9</v>
      </c>
      <c r="J16" s="4" t="s">
        <v>11</v>
      </c>
      <c r="K16" s="4" t="s">
        <v>13</v>
      </c>
      <c r="L16" s="4">
        <v>2018</v>
      </c>
      <c r="M16" s="4">
        <v>1</v>
      </c>
      <c r="N16" s="4">
        <v>0</v>
      </c>
    </row>
    <row r="17" spans="1:14">
      <c r="A17" s="4" t="s">
        <v>8</v>
      </c>
      <c r="B17" s="4" t="s">
        <v>48</v>
      </c>
      <c r="C17" s="6" t="s">
        <v>40</v>
      </c>
      <c r="D17" s="13">
        <v>1</v>
      </c>
      <c r="E17" s="13" t="s">
        <v>679</v>
      </c>
      <c r="F17" s="13">
        <v>1</v>
      </c>
      <c r="G17" s="13">
        <v>2</v>
      </c>
      <c r="H17" s="4">
        <v>7</v>
      </c>
      <c r="I17" s="4">
        <v>9</v>
      </c>
      <c r="J17" s="4" t="s">
        <v>11</v>
      </c>
      <c r="K17" s="4" t="s">
        <v>13</v>
      </c>
      <c r="L17" s="4">
        <v>2018</v>
      </c>
      <c r="M17" s="4">
        <v>1</v>
      </c>
      <c r="N17" s="4">
        <v>0</v>
      </c>
    </row>
    <row r="18" spans="1:14">
      <c r="A18" s="4" t="s">
        <v>8</v>
      </c>
      <c r="B18" s="4" t="s">
        <v>49</v>
      </c>
      <c r="C18" s="6" t="s">
        <v>41</v>
      </c>
      <c r="D18" s="13">
        <v>1</v>
      </c>
      <c r="E18" s="13" t="s">
        <v>677</v>
      </c>
      <c r="F18" s="13">
        <v>0</v>
      </c>
      <c r="G18" s="13">
        <v>0</v>
      </c>
      <c r="H18" s="4">
        <v>8</v>
      </c>
      <c r="I18" s="4">
        <v>9</v>
      </c>
      <c r="J18" s="4" t="s">
        <v>11</v>
      </c>
      <c r="K18" s="4" t="s">
        <v>13</v>
      </c>
      <c r="L18" s="4">
        <v>2018</v>
      </c>
      <c r="M18" s="4">
        <v>1</v>
      </c>
      <c r="N18" s="4">
        <v>0</v>
      </c>
    </row>
    <row r="19" spans="1:14">
      <c r="A19" s="4" t="s">
        <v>8</v>
      </c>
      <c r="B19" s="4" t="s">
        <v>50</v>
      </c>
      <c r="C19" s="6" t="s">
        <v>42</v>
      </c>
      <c r="D19" s="13">
        <v>0</v>
      </c>
      <c r="F19" s="13">
        <v>1</v>
      </c>
      <c r="G19" s="13">
        <v>1</v>
      </c>
      <c r="H19" s="4">
        <v>9</v>
      </c>
      <c r="I19" s="4">
        <v>9</v>
      </c>
      <c r="J19" s="4" t="s">
        <v>11</v>
      </c>
      <c r="K19" s="4" t="s">
        <v>13</v>
      </c>
      <c r="L19" s="4">
        <v>2018</v>
      </c>
      <c r="M19" s="4">
        <v>1</v>
      </c>
      <c r="N19" s="4">
        <v>0</v>
      </c>
    </row>
    <row r="20" spans="1:14">
      <c r="A20" s="4" t="s">
        <v>7</v>
      </c>
      <c r="B20" s="4" t="s">
        <v>51</v>
      </c>
      <c r="C20" s="7" t="s">
        <v>53</v>
      </c>
      <c r="D20" s="13">
        <v>1</v>
      </c>
      <c r="E20" s="13" t="s">
        <v>675</v>
      </c>
      <c r="F20" s="13">
        <v>1</v>
      </c>
      <c r="G20" s="13">
        <v>2</v>
      </c>
      <c r="H20" s="4">
        <v>1</v>
      </c>
      <c r="I20" s="4">
        <v>7</v>
      </c>
      <c r="J20" s="4" t="s">
        <v>11</v>
      </c>
      <c r="K20" s="4" t="s">
        <v>13</v>
      </c>
      <c r="L20" s="4">
        <v>2019</v>
      </c>
      <c r="M20" s="4">
        <v>1</v>
      </c>
      <c r="N20" s="4">
        <v>1</v>
      </c>
    </row>
    <row r="21" spans="1:14">
      <c r="A21" s="4" t="s">
        <v>7</v>
      </c>
      <c r="B21" s="4" t="s">
        <v>60</v>
      </c>
      <c r="C21" s="7" t="s">
        <v>54</v>
      </c>
      <c r="D21" s="13">
        <v>1</v>
      </c>
      <c r="E21" s="13" t="s">
        <v>679</v>
      </c>
      <c r="F21" s="13">
        <v>1</v>
      </c>
      <c r="G21" s="13">
        <v>2</v>
      </c>
      <c r="H21" s="4">
        <v>2</v>
      </c>
      <c r="I21" s="4">
        <v>7</v>
      </c>
      <c r="J21" s="4" t="s">
        <v>11</v>
      </c>
      <c r="K21" s="4" t="s">
        <v>13</v>
      </c>
      <c r="L21" s="4">
        <v>2019</v>
      </c>
      <c r="M21" s="4">
        <v>1</v>
      </c>
      <c r="N21" s="4">
        <v>1</v>
      </c>
    </row>
    <row r="22" spans="1:14">
      <c r="A22" s="4" t="s">
        <v>7</v>
      </c>
      <c r="B22" s="4" t="s">
        <v>61</v>
      </c>
      <c r="C22" s="7" t="s">
        <v>55</v>
      </c>
      <c r="D22" s="13">
        <v>1</v>
      </c>
      <c r="E22" s="13" t="s">
        <v>677</v>
      </c>
      <c r="F22" s="13">
        <v>0</v>
      </c>
      <c r="G22" s="13">
        <v>0</v>
      </c>
      <c r="H22" s="4">
        <v>3</v>
      </c>
      <c r="I22" s="4">
        <v>7</v>
      </c>
      <c r="J22" s="4" t="s">
        <v>11</v>
      </c>
      <c r="K22" s="4" t="s">
        <v>13</v>
      </c>
      <c r="L22" s="4">
        <v>2019</v>
      </c>
      <c r="M22" s="4">
        <v>1</v>
      </c>
      <c r="N22" s="4">
        <v>1</v>
      </c>
    </row>
    <row r="23" spans="1:14">
      <c r="A23" s="4" t="s">
        <v>7</v>
      </c>
      <c r="B23" s="4" t="s">
        <v>62</v>
      </c>
      <c r="C23" s="7" t="s">
        <v>56</v>
      </c>
      <c r="D23" s="13">
        <v>1</v>
      </c>
      <c r="E23" s="13" t="s">
        <v>677</v>
      </c>
      <c r="F23" s="13">
        <v>0</v>
      </c>
      <c r="G23" s="13">
        <v>0</v>
      </c>
      <c r="H23" s="4">
        <v>4</v>
      </c>
      <c r="I23" s="4">
        <v>7</v>
      </c>
      <c r="J23" s="4" t="s">
        <v>11</v>
      </c>
      <c r="K23" s="4" t="s">
        <v>13</v>
      </c>
      <c r="L23" s="4">
        <v>2019</v>
      </c>
      <c r="M23" s="4">
        <v>1</v>
      </c>
      <c r="N23" s="4">
        <v>1</v>
      </c>
    </row>
    <row r="24" spans="1:14">
      <c r="A24" s="4" t="s">
        <v>7</v>
      </c>
      <c r="B24" s="4" t="s">
        <v>63</v>
      </c>
      <c r="C24" s="8" t="s">
        <v>57</v>
      </c>
      <c r="D24" s="13">
        <v>1</v>
      </c>
      <c r="E24" s="13" t="s">
        <v>679</v>
      </c>
      <c r="F24" s="13">
        <v>1</v>
      </c>
      <c r="G24" s="13">
        <v>1</v>
      </c>
      <c r="H24" s="4">
        <v>5</v>
      </c>
      <c r="I24" s="4">
        <v>7</v>
      </c>
      <c r="J24" s="4" t="s">
        <v>11</v>
      </c>
      <c r="K24" s="4" t="s">
        <v>13</v>
      </c>
      <c r="L24" s="4">
        <v>2019</v>
      </c>
      <c r="M24" s="4">
        <v>1</v>
      </c>
      <c r="N24" s="4">
        <v>1</v>
      </c>
    </row>
    <row r="25" spans="1:14">
      <c r="A25" s="4" t="s">
        <v>7</v>
      </c>
      <c r="B25" s="4" t="s">
        <v>64</v>
      </c>
      <c r="C25" s="8" t="s">
        <v>58</v>
      </c>
      <c r="D25" s="13">
        <v>1</v>
      </c>
      <c r="E25" s="13" t="s">
        <v>679</v>
      </c>
      <c r="F25" s="13">
        <v>1</v>
      </c>
      <c r="G25" s="13">
        <v>2</v>
      </c>
      <c r="H25" s="4">
        <v>6</v>
      </c>
      <c r="I25" s="4">
        <v>7</v>
      </c>
      <c r="J25" s="4" t="s">
        <v>11</v>
      </c>
      <c r="K25" s="4" t="s">
        <v>13</v>
      </c>
      <c r="L25" s="4">
        <v>2019</v>
      </c>
      <c r="M25" s="4">
        <v>1</v>
      </c>
      <c r="N25" s="4">
        <v>1</v>
      </c>
    </row>
    <row r="26" spans="1:14">
      <c r="A26" s="4" t="s">
        <v>7</v>
      </c>
      <c r="B26" s="4" t="s">
        <v>65</v>
      </c>
      <c r="C26" s="8" t="s">
        <v>59</v>
      </c>
      <c r="D26" s="13">
        <v>0</v>
      </c>
      <c r="F26" s="13">
        <v>1</v>
      </c>
      <c r="G26" s="13">
        <v>1</v>
      </c>
      <c r="H26" s="4">
        <v>7</v>
      </c>
      <c r="I26" s="4">
        <v>7</v>
      </c>
      <c r="J26" s="4" t="s">
        <v>11</v>
      </c>
      <c r="K26" s="4" t="s">
        <v>13</v>
      </c>
      <c r="L26" s="4">
        <v>2019</v>
      </c>
      <c r="M26" s="4">
        <v>1</v>
      </c>
      <c r="N26" s="4">
        <v>1</v>
      </c>
    </row>
    <row r="27" spans="1:14">
      <c r="A27" s="4" t="s">
        <v>52</v>
      </c>
      <c r="B27" s="4" t="s">
        <v>66</v>
      </c>
      <c r="C27" s="8" t="s">
        <v>67</v>
      </c>
      <c r="D27" s="13">
        <v>0</v>
      </c>
      <c r="F27" s="13">
        <v>0</v>
      </c>
      <c r="G27" s="13">
        <v>0</v>
      </c>
      <c r="H27" s="4">
        <v>1</v>
      </c>
      <c r="I27" s="4">
        <v>10</v>
      </c>
      <c r="J27" s="4" t="s">
        <v>11</v>
      </c>
      <c r="K27" s="4" t="s">
        <v>13</v>
      </c>
      <c r="L27" s="4">
        <v>2020</v>
      </c>
      <c r="M27" s="4">
        <v>1</v>
      </c>
      <c r="N27" s="4">
        <v>1</v>
      </c>
    </row>
    <row r="28" spans="1:14">
      <c r="A28" s="4" t="s">
        <v>52</v>
      </c>
      <c r="B28" s="4" t="s">
        <v>76</v>
      </c>
      <c r="C28" s="8" t="s">
        <v>68</v>
      </c>
      <c r="D28" s="13">
        <v>0</v>
      </c>
      <c r="F28" s="13">
        <v>0</v>
      </c>
      <c r="G28" s="13">
        <v>0</v>
      </c>
      <c r="H28" s="4">
        <v>2</v>
      </c>
      <c r="I28" s="4">
        <v>10</v>
      </c>
      <c r="J28" s="4" t="s">
        <v>11</v>
      </c>
      <c r="K28" s="4" t="s">
        <v>13</v>
      </c>
      <c r="L28" s="4">
        <v>2020</v>
      </c>
      <c r="M28" s="4">
        <v>1</v>
      </c>
      <c r="N28" s="4">
        <v>1</v>
      </c>
    </row>
    <row r="29" spans="1:14">
      <c r="A29" s="4" t="s">
        <v>52</v>
      </c>
      <c r="B29" s="4" t="s">
        <v>77</v>
      </c>
      <c r="C29" s="8" t="s">
        <v>69</v>
      </c>
      <c r="D29" s="13">
        <v>0</v>
      </c>
      <c r="F29" s="13">
        <v>0</v>
      </c>
      <c r="G29" s="13">
        <v>0</v>
      </c>
      <c r="H29" s="4">
        <v>3</v>
      </c>
      <c r="I29" s="4">
        <v>10</v>
      </c>
      <c r="J29" s="4" t="s">
        <v>11</v>
      </c>
      <c r="K29" s="4" t="s">
        <v>13</v>
      </c>
      <c r="L29" s="4">
        <v>2020</v>
      </c>
      <c r="M29" s="4">
        <v>1</v>
      </c>
      <c r="N29" s="4">
        <v>1</v>
      </c>
    </row>
    <row r="30" spans="1:14">
      <c r="A30" s="4" t="s">
        <v>52</v>
      </c>
      <c r="B30" s="4" t="s">
        <v>78</v>
      </c>
      <c r="C30" s="8" t="s">
        <v>70</v>
      </c>
      <c r="D30" s="13">
        <v>0</v>
      </c>
      <c r="F30" s="13">
        <v>0</v>
      </c>
      <c r="G30" s="13">
        <v>0</v>
      </c>
      <c r="H30" s="4">
        <v>4</v>
      </c>
      <c r="I30" s="4">
        <v>10</v>
      </c>
      <c r="J30" s="4" t="s">
        <v>11</v>
      </c>
      <c r="K30" s="4" t="s">
        <v>13</v>
      </c>
      <c r="L30" s="4">
        <v>2020</v>
      </c>
      <c r="M30" s="4">
        <v>1</v>
      </c>
      <c r="N30" s="4">
        <v>1</v>
      </c>
    </row>
    <row r="31" spans="1:14">
      <c r="A31" s="4" t="s">
        <v>52</v>
      </c>
      <c r="B31" s="4" t="s">
        <v>79</v>
      </c>
      <c r="C31" s="8" t="s">
        <v>71</v>
      </c>
      <c r="D31" s="13">
        <v>1</v>
      </c>
      <c r="E31" s="13" t="s">
        <v>675</v>
      </c>
      <c r="F31" s="13">
        <v>1</v>
      </c>
      <c r="G31" s="13">
        <v>2</v>
      </c>
      <c r="H31" s="4">
        <v>5</v>
      </c>
      <c r="I31" s="4">
        <v>10</v>
      </c>
      <c r="J31" s="4" t="s">
        <v>11</v>
      </c>
      <c r="K31" s="4" t="s">
        <v>13</v>
      </c>
      <c r="L31" s="4">
        <v>2020</v>
      </c>
      <c r="M31" s="4">
        <v>1</v>
      </c>
      <c r="N31" s="4">
        <v>1</v>
      </c>
    </row>
    <row r="32" spans="1:14">
      <c r="A32" s="4" t="s">
        <v>52</v>
      </c>
      <c r="B32" s="4" t="s">
        <v>80</v>
      </c>
      <c r="C32" s="8" t="s">
        <v>72</v>
      </c>
      <c r="D32" s="13">
        <v>1</v>
      </c>
      <c r="E32" s="13" t="s">
        <v>679</v>
      </c>
      <c r="F32" s="13">
        <v>1</v>
      </c>
      <c r="G32" s="13">
        <v>2</v>
      </c>
      <c r="H32" s="4">
        <v>6</v>
      </c>
      <c r="I32" s="4">
        <v>10</v>
      </c>
      <c r="J32" s="4" t="s">
        <v>11</v>
      </c>
      <c r="K32" s="4" t="s">
        <v>13</v>
      </c>
      <c r="L32" s="4">
        <v>2020</v>
      </c>
      <c r="M32" s="4">
        <v>1</v>
      </c>
      <c r="N32" s="4">
        <v>1</v>
      </c>
    </row>
    <row r="33" spans="1:14">
      <c r="A33" s="4" t="s">
        <v>52</v>
      </c>
      <c r="B33" s="4" t="s">
        <v>81</v>
      </c>
      <c r="C33" s="8" t="s">
        <v>73</v>
      </c>
      <c r="D33" s="13">
        <v>1</v>
      </c>
      <c r="E33" s="13" t="s">
        <v>677</v>
      </c>
      <c r="F33" s="13">
        <v>0</v>
      </c>
      <c r="G33" s="13">
        <v>0</v>
      </c>
      <c r="H33" s="4">
        <v>7</v>
      </c>
      <c r="I33" s="4">
        <v>10</v>
      </c>
      <c r="J33" s="4" t="s">
        <v>11</v>
      </c>
      <c r="K33" s="4" t="s">
        <v>13</v>
      </c>
      <c r="L33" s="4">
        <v>2020</v>
      </c>
      <c r="M33" s="4">
        <v>1</v>
      </c>
      <c r="N33" s="4">
        <v>1</v>
      </c>
    </row>
    <row r="34" spans="1:14">
      <c r="A34" s="4" t="s">
        <v>52</v>
      </c>
      <c r="B34" s="4" t="s">
        <v>82</v>
      </c>
      <c r="C34" s="8" t="s">
        <v>419</v>
      </c>
      <c r="D34" s="13">
        <v>1</v>
      </c>
      <c r="E34" s="13" t="s">
        <v>675</v>
      </c>
      <c r="F34" s="13">
        <v>1</v>
      </c>
      <c r="G34" s="13">
        <v>2</v>
      </c>
      <c r="H34" s="4">
        <v>8</v>
      </c>
      <c r="I34" s="4">
        <v>10</v>
      </c>
      <c r="J34" s="4" t="s">
        <v>11</v>
      </c>
      <c r="K34" s="4" t="s">
        <v>13</v>
      </c>
      <c r="L34" s="4">
        <v>2020</v>
      </c>
      <c r="M34" s="4">
        <v>1</v>
      </c>
      <c r="N34" s="4">
        <v>1</v>
      </c>
    </row>
    <row r="35" spans="1:14">
      <c r="A35" s="4" t="s">
        <v>52</v>
      </c>
      <c r="B35" s="4" t="s">
        <v>83</v>
      </c>
      <c r="C35" s="8" t="s">
        <v>74</v>
      </c>
      <c r="D35" s="13">
        <v>1</v>
      </c>
      <c r="E35" s="13" t="s">
        <v>679</v>
      </c>
      <c r="F35" s="13">
        <v>1</v>
      </c>
      <c r="G35" s="13">
        <v>1</v>
      </c>
      <c r="H35" s="4">
        <v>9</v>
      </c>
      <c r="I35" s="4">
        <v>10</v>
      </c>
      <c r="J35" s="4" t="s">
        <v>11</v>
      </c>
      <c r="K35" s="4" t="s">
        <v>13</v>
      </c>
      <c r="L35" s="4">
        <v>2020</v>
      </c>
      <c r="M35" s="4">
        <v>1</v>
      </c>
      <c r="N35" s="4">
        <v>1</v>
      </c>
    </row>
    <row r="36" spans="1:14">
      <c r="A36" s="4" t="s">
        <v>52</v>
      </c>
      <c r="B36" s="4" t="s">
        <v>418</v>
      </c>
      <c r="C36" s="8" t="s">
        <v>75</v>
      </c>
      <c r="D36" s="13">
        <v>1</v>
      </c>
      <c r="E36" s="13" t="s">
        <v>679</v>
      </c>
      <c r="F36" s="13">
        <v>1</v>
      </c>
      <c r="G36" s="13">
        <v>2</v>
      </c>
      <c r="H36" s="4">
        <v>10</v>
      </c>
      <c r="I36" s="4">
        <v>10</v>
      </c>
      <c r="J36" s="4" t="s">
        <v>11</v>
      </c>
      <c r="K36" s="4" t="s">
        <v>13</v>
      </c>
      <c r="L36" s="4">
        <v>2020</v>
      </c>
      <c r="M36" s="4">
        <v>1</v>
      </c>
      <c r="N36" s="4">
        <v>1</v>
      </c>
    </row>
    <row r="37" spans="1:14">
      <c r="A37" s="4" t="s">
        <v>84</v>
      </c>
      <c r="B37" s="4" t="s">
        <v>85</v>
      </c>
      <c r="C37" s="8" t="s">
        <v>86</v>
      </c>
      <c r="D37" s="13">
        <v>1</v>
      </c>
      <c r="E37" s="13" t="s">
        <v>675</v>
      </c>
      <c r="F37" s="13">
        <v>1</v>
      </c>
      <c r="G37" s="13">
        <v>2</v>
      </c>
      <c r="H37" s="4">
        <v>1</v>
      </c>
      <c r="I37" s="4">
        <v>6</v>
      </c>
      <c r="J37" s="4" t="s">
        <v>11</v>
      </c>
      <c r="K37" s="4" t="s">
        <v>13</v>
      </c>
      <c r="L37" s="4">
        <v>2021</v>
      </c>
      <c r="M37" s="4">
        <v>1</v>
      </c>
      <c r="N37" s="4">
        <v>1</v>
      </c>
    </row>
    <row r="38" spans="1:14">
      <c r="A38" s="4" t="s">
        <v>84</v>
      </c>
      <c r="B38" s="4" t="s">
        <v>91</v>
      </c>
      <c r="C38" s="8" t="s">
        <v>72</v>
      </c>
      <c r="D38" s="13">
        <v>1</v>
      </c>
      <c r="E38" s="13" t="s">
        <v>679</v>
      </c>
      <c r="F38" s="13">
        <v>1</v>
      </c>
      <c r="G38" s="13">
        <v>2</v>
      </c>
      <c r="H38" s="4">
        <v>2</v>
      </c>
      <c r="I38" s="4">
        <v>6</v>
      </c>
      <c r="J38" s="4" t="s">
        <v>11</v>
      </c>
      <c r="K38" s="4" t="s">
        <v>13</v>
      </c>
      <c r="L38" s="4">
        <v>2021</v>
      </c>
      <c r="M38" s="4">
        <v>1</v>
      </c>
      <c r="N38" s="4">
        <v>1</v>
      </c>
    </row>
    <row r="39" spans="1:14">
      <c r="A39" s="4" t="s">
        <v>84</v>
      </c>
      <c r="B39" s="4" t="s">
        <v>92</v>
      </c>
      <c r="C39" s="9" t="s">
        <v>87</v>
      </c>
      <c r="D39" s="13">
        <v>1</v>
      </c>
      <c r="E39" s="13" t="s">
        <v>677</v>
      </c>
      <c r="F39" s="13">
        <v>0</v>
      </c>
      <c r="G39" s="13">
        <v>0</v>
      </c>
      <c r="H39" s="4">
        <v>3</v>
      </c>
      <c r="I39" s="4">
        <v>6</v>
      </c>
      <c r="J39" s="4" t="s">
        <v>11</v>
      </c>
      <c r="K39" s="4" t="s">
        <v>13</v>
      </c>
      <c r="L39" s="4">
        <v>2021</v>
      </c>
      <c r="M39" s="4">
        <v>1</v>
      </c>
      <c r="N39" s="4">
        <v>1</v>
      </c>
    </row>
    <row r="40" spans="1:14">
      <c r="A40" s="4" t="s">
        <v>84</v>
      </c>
      <c r="B40" s="4" t="s">
        <v>93</v>
      </c>
      <c r="C40" s="9" t="s">
        <v>88</v>
      </c>
      <c r="D40" s="13">
        <v>1</v>
      </c>
      <c r="E40" s="13" t="s">
        <v>675</v>
      </c>
      <c r="F40" s="13">
        <v>1</v>
      </c>
      <c r="G40" s="13">
        <v>2</v>
      </c>
      <c r="H40" s="4">
        <v>4</v>
      </c>
      <c r="I40" s="4">
        <v>6</v>
      </c>
      <c r="J40" s="4" t="s">
        <v>11</v>
      </c>
      <c r="K40" s="4" t="s">
        <v>13</v>
      </c>
      <c r="L40" s="4">
        <v>2021</v>
      </c>
      <c r="M40" s="4">
        <v>1</v>
      </c>
      <c r="N40" s="4">
        <v>1</v>
      </c>
    </row>
    <row r="41" spans="1:14">
      <c r="A41" s="4" t="s">
        <v>84</v>
      </c>
      <c r="B41" s="4" t="s">
        <v>94</v>
      </c>
      <c r="C41" s="9" t="s">
        <v>89</v>
      </c>
      <c r="D41" s="13">
        <v>1</v>
      </c>
      <c r="E41" s="13" t="s">
        <v>679</v>
      </c>
      <c r="F41" s="13">
        <v>1</v>
      </c>
      <c r="G41" s="13">
        <v>1</v>
      </c>
      <c r="H41" s="4">
        <v>5</v>
      </c>
      <c r="I41" s="4">
        <v>6</v>
      </c>
      <c r="J41" s="4" t="s">
        <v>11</v>
      </c>
      <c r="K41" s="4" t="s">
        <v>13</v>
      </c>
      <c r="L41" s="4">
        <v>2021</v>
      </c>
      <c r="M41" s="4">
        <v>1</v>
      </c>
      <c r="N41" s="4">
        <v>1</v>
      </c>
    </row>
    <row r="42" spans="1:14">
      <c r="A42" s="4" t="s">
        <v>84</v>
      </c>
      <c r="B42" s="4" t="s">
        <v>95</v>
      </c>
      <c r="C42" s="9" t="s">
        <v>90</v>
      </c>
      <c r="D42" s="13">
        <v>1</v>
      </c>
      <c r="E42" s="13" t="s">
        <v>679</v>
      </c>
      <c r="F42" s="13">
        <v>0</v>
      </c>
      <c r="G42" s="13">
        <v>0</v>
      </c>
      <c r="H42" s="4">
        <v>6</v>
      </c>
      <c r="I42" s="4">
        <v>6</v>
      </c>
      <c r="J42" s="4" t="s">
        <v>11</v>
      </c>
      <c r="K42" s="4" t="s">
        <v>13</v>
      </c>
      <c r="L42" s="4">
        <v>2021</v>
      </c>
      <c r="M42" s="4">
        <v>1</v>
      </c>
      <c r="N42" s="4">
        <v>1</v>
      </c>
    </row>
    <row r="43" spans="1:14">
      <c r="A43" s="4" t="s">
        <v>96</v>
      </c>
      <c r="B43" s="4" t="s">
        <v>97</v>
      </c>
      <c r="C43" s="9" t="s">
        <v>86</v>
      </c>
      <c r="D43" s="13">
        <v>1</v>
      </c>
      <c r="E43" s="13" t="s">
        <v>675</v>
      </c>
      <c r="F43" s="13">
        <v>1</v>
      </c>
      <c r="G43" s="13">
        <v>2</v>
      </c>
      <c r="H43" s="4">
        <v>1</v>
      </c>
      <c r="I43" s="4">
        <v>7</v>
      </c>
      <c r="J43" s="4" t="s">
        <v>11</v>
      </c>
      <c r="K43" s="4" t="s">
        <v>13</v>
      </c>
      <c r="L43" s="4">
        <v>2022</v>
      </c>
      <c r="M43" s="4">
        <v>1</v>
      </c>
      <c r="N43" s="4">
        <v>1</v>
      </c>
    </row>
    <row r="44" spans="1:14">
      <c r="A44" s="4" t="s">
        <v>96</v>
      </c>
      <c r="B44" s="4" t="s">
        <v>103</v>
      </c>
      <c r="C44" s="9" t="s">
        <v>72</v>
      </c>
      <c r="D44" s="13">
        <v>1</v>
      </c>
      <c r="E44" s="13" t="s">
        <v>679</v>
      </c>
      <c r="F44" s="13">
        <v>1</v>
      </c>
      <c r="G44" s="13">
        <v>2</v>
      </c>
      <c r="H44" s="4">
        <v>2</v>
      </c>
      <c r="I44" s="4">
        <v>7</v>
      </c>
      <c r="J44" s="4" t="s">
        <v>11</v>
      </c>
      <c r="K44" s="4" t="s">
        <v>13</v>
      </c>
      <c r="L44" s="4">
        <v>2022</v>
      </c>
      <c r="M44" s="4">
        <v>1</v>
      </c>
      <c r="N44" s="4">
        <v>1</v>
      </c>
    </row>
    <row r="45" spans="1:14">
      <c r="A45" s="4" t="s">
        <v>96</v>
      </c>
      <c r="B45" s="4" t="s">
        <v>104</v>
      </c>
      <c r="C45" s="9" t="s">
        <v>98</v>
      </c>
      <c r="D45" s="13">
        <v>1</v>
      </c>
      <c r="E45" s="13" t="s">
        <v>679</v>
      </c>
      <c r="F45" s="13">
        <v>1</v>
      </c>
      <c r="G45" s="13">
        <v>2</v>
      </c>
      <c r="H45" s="4">
        <v>3</v>
      </c>
      <c r="I45" s="4">
        <v>7</v>
      </c>
      <c r="J45" s="4" t="s">
        <v>11</v>
      </c>
      <c r="K45" s="4" t="s">
        <v>13</v>
      </c>
      <c r="L45" s="4">
        <v>2022</v>
      </c>
      <c r="M45" s="4">
        <v>1</v>
      </c>
      <c r="N45" s="4">
        <v>1</v>
      </c>
    </row>
    <row r="46" spans="1:14">
      <c r="A46" s="4" t="s">
        <v>96</v>
      </c>
      <c r="B46" s="4" t="s">
        <v>105</v>
      </c>
      <c r="C46" s="9" t="s">
        <v>99</v>
      </c>
      <c r="D46" s="13">
        <v>1</v>
      </c>
      <c r="E46" s="13" t="s">
        <v>679</v>
      </c>
      <c r="F46" s="13">
        <v>1</v>
      </c>
      <c r="G46" s="13">
        <v>2</v>
      </c>
      <c r="H46" s="4">
        <v>4</v>
      </c>
      <c r="I46" s="4">
        <v>7</v>
      </c>
      <c r="J46" s="4" t="s">
        <v>11</v>
      </c>
      <c r="K46" s="4" t="s">
        <v>13</v>
      </c>
      <c r="L46" s="4">
        <v>2022</v>
      </c>
      <c r="M46" s="4">
        <v>1</v>
      </c>
      <c r="N46" s="4">
        <v>1</v>
      </c>
    </row>
    <row r="47" spans="1:14">
      <c r="A47" s="4" t="s">
        <v>96</v>
      </c>
      <c r="B47" s="4" t="s">
        <v>106</v>
      </c>
      <c r="C47" s="9" t="s">
        <v>100</v>
      </c>
      <c r="D47" s="13">
        <v>1</v>
      </c>
      <c r="E47" s="13" t="s">
        <v>677</v>
      </c>
      <c r="F47" s="13">
        <v>1</v>
      </c>
      <c r="G47" s="13">
        <v>2</v>
      </c>
      <c r="H47" s="4">
        <v>5</v>
      </c>
      <c r="I47" s="4">
        <v>7</v>
      </c>
      <c r="J47" s="4" t="s">
        <v>11</v>
      </c>
      <c r="K47" s="4" t="s">
        <v>13</v>
      </c>
      <c r="L47" s="4">
        <v>2022</v>
      </c>
      <c r="M47" s="4">
        <v>1</v>
      </c>
      <c r="N47" s="4">
        <v>1</v>
      </c>
    </row>
    <row r="48" spans="1:14">
      <c r="A48" s="4" t="s">
        <v>96</v>
      </c>
      <c r="B48" s="4" t="s">
        <v>107</v>
      </c>
      <c r="C48" s="9" t="s">
        <v>101</v>
      </c>
      <c r="D48" s="13">
        <v>1</v>
      </c>
      <c r="E48" s="13" t="s">
        <v>679</v>
      </c>
      <c r="F48" s="13">
        <v>1</v>
      </c>
      <c r="G48" s="13">
        <v>1</v>
      </c>
      <c r="H48" s="4">
        <v>6</v>
      </c>
      <c r="I48" s="4">
        <v>7</v>
      </c>
      <c r="J48" s="4" t="s">
        <v>11</v>
      </c>
      <c r="K48" s="4" t="s">
        <v>13</v>
      </c>
      <c r="L48" s="4">
        <v>2022</v>
      </c>
      <c r="M48" s="4">
        <v>1</v>
      </c>
      <c r="N48" s="4">
        <v>1</v>
      </c>
    </row>
    <row r="49" spans="1:14">
      <c r="A49" s="4" t="s">
        <v>96</v>
      </c>
      <c r="B49" s="4" t="s">
        <v>108</v>
      </c>
      <c r="C49" s="9" t="s">
        <v>102</v>
      </c>
      <c r="D49" s="13">
        <v>1</v>
      </c>
      <c r="E49" s="13" t="s">
        <v>679</v>
      </c>
      <c r="F49" s="13">
        <v>1</v>
      </c>
      <c r="G49" s="13">
        <v>2</v>
      </c>
      <c r="H49" s="4">
        <v>7</v>
      </c>
      <c r="I49" s="4">
        <v>7</v>
      </c>
      <c r="J49" s="4" t="s">
        <v>11</v>
      </c>
      <c r="K49" s="4" t="s">
        <v>13</v>
      </c>
      <c r="L49" s="4">
        <v>2022</v>
      </c>
      <c r="M49" s="4">
        <v>1</v>
      </c>
      <c r="N49" s="4">
        <v>1</v>
      </c>
    </row>
    <row r="50" spans="1:14">
      <c r="A50" s="4" t="s">
        <v>109</v>
      </c>
      <c r="B50" s="4" t="s">
        <v>110</v>
      </c>
      <c r="C50" s="9" t="s">
        <v>111</v>
      </c>
      <c r="D50" s="13">
        <v>1</v>
      </c>
      <c r="E50" s="13" t="s">
        <v>675</v>
      </c>
      <c r="F50" s="13">
        <v>1</v>
      </c>
      <c r="G50" s="13">
        <v>2</v>
      </c>
      <c r="H50" s="4">
        <v>1</v>
      </c>
      <c r="I50" s="4">
        <v>8</v>
      </c>
      <c r="J50" s="4" t="s">
        <v>11</v>
      </c>
      <c r="K50" s="4" t="s">
        <v>13</v>
      </c>
      <c r="L50" s="4">
        <v>2023</v>
      </c>
      <c r="M50" s="4">
        <v>1</v>
      </c>
      <c r="N50" s="4">
        <v>1</v>
      </c>
    </row>
    <row r="51" spans="1:14">
      <c r="A51" s="4" t="s">
        <v>109</v>
      </c>
      <c r="B51" s="4" t="s">
        <v>119</v>
      </c>
      <c r="C51" s="9" t="s">
        <v>112</v>
      </c>
      <c r="D51" s="13">
        <v>1</v>
      </c>
      <c r="E51" s="13" t="s">
        <v>679</v>
      </c>
      <c r="F51" s="13">
        <v>1</v>
      </c>
      <c r="G51" s="13">
        <v>2</v>
      </c>
      <c r="H51" s="4">
        <v>2</v>
      </c>
      <c r="I51" s="4">
        <v>8</v>
      </c>
      <c r="J51" s="4" t="s">
        <v>11</v>
      </c>
      <c r="K51" s="4" t="s">
        <v>13</v>
      </c>
      <c r="L51" s="4">
        <v>2023</v>
      </c>
      <c r="M51" s="4">
        <v>1</v>
      </c>
      <c r="N51" s="4">
        <v>1</v>
      </c>
    </row>
    <row r="52" spans="1:14">
      <c r="A52" s="4" t="s">
        <v>109</v>
      </c>
      <c r="B52" s="4" t="s">
        <v>120</v>
      </c>
      <c r="C52" s="9" t="s">
        <v>113</v>
      </c>
      <c r="D52" s="13">
        <v>1</v>
      </c>
      <c r="E52" s="13" t="s">
        <v>679</v>
      </c>
      <c r="F52" s="13">
        <v>1</v>
      </c>
      <c r="G52" s="13">
        <v>2</v>
      </c>
      <c r="H52" s="4">
        <v>3</v>
      </c>
      <c r="I52" s="4">
        <v>8</v>
      </c>
      <c r="J52" s="4" t="s">
        <v>11</v>
      </c>
      <c r="K52" s="4" t="s">
        <v>13</v>
      </c>
      <c r="L52" s="4">
        <v>2023</v>
      </c>
      <c r="M52" s="4">
        <v>1</v>
      </c>
      <c r="N52" s="4">
        <v>1</v>
      </c>
    </row>
    <row r="53" spans="1:14">
      <c r="A53" s="4" t="s">
        <v>109</v>
      </c>
      <c r="B53" s="4" t="s">
        <v>121</v>
      </c>
      <c r="C53" s="9" t="s">
        <v>114</v>
      </c>
      <c r="D53" s="13">
        <v>1</v>
      </c>
      <c r="E53" s="13" t="s">
        <v>679</v>
      </c>
      <c r="F53" s="13">
        <v>1</v>
      </c>
      <c r="G53" s="13">
        <v>2</v>
      </c>
      <c r="H53" s="4">
        <v>4</v>
      </c>
      <c r="I53" s="4">
        <v>8</v>
      </c>
      <c r="J53" s="4" t="s">
        <v>11</v>
      </c>
      <c r="K53" s="4" t="s">
        <v>13</v>
      </c>
      <c r="L53" s="4">
        <v>2023</v>
      </c>
      <c r="M53" s="4">
        <v>1</v>
      </c>
      <c r="N53" s="4">
        <v>1</v>
      </c>
    </row>
    <row r="54" spans="1:14">
      <c r="A54" s="4" t="s">
        <v>109</v>
      </c>
      <c r="B54" s="4" t="s">
        <v>122</v>
      </c>
      <c r="C54" s="9" t="s">
        <v>115</v>
      </c>
      <c r="D54" s="13">
        <v>1</v>
      </c>
      <c r="E54" s="13" t="s">
        <v>679</v>
      </c>
      <c r="F54" s="13">
        <v>1</v>
      </c>
      <c r="G54" s="13">
        <v>2</v>
      </c>
      <c r="H54" s="4">
        <v>5</v>
      </c>
      <c r="I54" s="4">
        <v>8</v>
      </c>
      <c r="J54" s="4" t="s">
        <v>11</v>
      </c>
      <c r="K54" s="4" t="s">
        <v>13</v>
      </c>
      <c r="L54" s="4">
        <v>2023</v>
      </c>
      <c r="M54" s="4">
        <v>1</v>
      </c>
      <c r="N54" s="4">
        <v>1</v>
      </c>
    </row>
    <row r="55" spans="1:14">
      <c r="A55" s="4" t="s">
        <v>109</v>
      </c>
      <c r="B55" s="4" t="s">
        <v>123</v>
      </c>
      <c r="C55" s="9" t="s">
        <v>116</v>
      </c>
      <c r="D55" s="13">
        <v>1</v>
      </c>
      <c r="E55" s="13" t="s">
        <v>677</v>
      </c>
      <c r="F55" s="13">
        <v>0</v>
      </c>
      <c r="G55" s="13">
        <v>0</v>
      </c>
      <c r="H55" s="4">
        <v>6</v>
      </c>
      <c r="I55" s="4">
        <v>8</v>
      </c>
      <c r="J55" s="4" t="s">
        <v>11</v>
      </c>
      <c r="K55" s="4" t="s">
        <v>13</v>
      </c>
      <c r="L55" s="4">
        <v>2023</v>
      </c>
      <c r="M55" s="4">
        <v>1</v>
      </c>
      <c r="N55" s="4">
        <v>1</v>
      </c>
    </row>
    <row r="56" spans="1:14">
      <c r="A56" s="4" t="s">
        <v>109</v>
      </c>
      <c r="B56" s="4" t="s">
        <v>124</v>
      </c>
      <c r="C56" s="9" t="s">
        <v>117</v>
      </c>
      <c r="D56" s="13">
        <v>1</v>
      </c>
      <c r="E56" s="13" t="s">
        <v>679</v>
      </c>
      <c r="F56" s="13">
        <v>1</v>
      </c>
      <c r="G56" s="13">
        <v>1</v>
      </c>
      <c r="H56" s="4">
        <v>7</v>
      </c>
      <c r="I56" s="4">
        <v>8</v>
      </c>
      <c r="J56" s="4" t="s">
        <v>11</v>
      </c>
      <c r="K56" s="4" t="s">
        <v>13</v>
      </c>
      <c r="L56" s="4">
        <v>2023</v>
      </c>
      <c r="M56" s="4">
        <v>1</v>
      </c>
      <c r="N56" s="4">
        <v>1</v>
      </c>
    </row>
    <row r="57" spans="1:14">
      <c r="A57" s="4" t="s">
        <v>109</v>
      </c>
      <c r="B57" s="4" t="s">
        <v>125</v>
      </c>
      <c r="C57" s="9" t="s">
        <v>118</v>
      </c>
      <c r="D57" s="13">
        <v>1</v>
      </c>
      <c r="E57" s="13" t="s">
        <v>679</v>
      </c>
      <c r="F57" s="13">
        <v>1</v>
      </c>
      <c r="G57" s="13">
        <v>2</v>
      </c>
      <c r="H57" s="4">
        <v>8</v>
      </c>
      <c r="I57" s="4">
        <v>8</v>
      </c>
      <c r="J57" s="4" t="s">
        <v>11</v>
      </c>
      <c r="K57" s="4" t="s">
        <v>13</v>
      </c>
      <c r="L57" s="4">
        <v>2023</v>
      </c>
      <c r="M57" s="4">
        <v>1</v>
      </c>
      <c r="N57" s="4">
        <v>1</v>
      </c>
    </row>
    <row r="58" spans="1:14">
      <c r="A58" s="4" t="s">
        <v>126</v>
      </c>
      <c r="B58" s="4" t="s">
        <v>127</v>
      </c>
      <c r="C58" s="9" t="s">
        <v>128</v>
      </c>
      <c r="D58" s="13">
        <v>1</v>
      </c>
      <c r="E58" s="13" t="s">
        <v>675</v>
      </c>
      <c r="F58" s="13">
        <v>1</v>
      </c>
      <c r="G58" s="13">
        <v>2</v>
      </c>
      <c r="H58" s="4">
        <v>1</v>
      </c>
      <c r="I58" s="4">
        <v>8</v>
      </c>
      <c r="J58" s="4" t="s">
        <v>11</v>
      </c>
      <c r="K58" s="4" t="s">
        <v>13</v>
      </c>
      <c r="L58" s="4">
        <v>2024</v>
      </c>
      <c r="M58" s="4">
        <v>1</v>
      </c>
      <c r="N58" s="4">
        <v>1</v>
      </c>
    </row>
    <row r="59" spans="1:14">
      <c r="A59" s="4" t="s">
        <v>126</v>
      </c>
      <c r="B59" s="4" t="s">
        <v>135</v>
      </c>
      <c r="C59" s="9" t="s">
        <v>129</v>
      </c>
      <c r="D59" s="13">
        <v>1</v>
      </c>
      <c r="E59" s="13" t="s">
        <v>679</v>
      </c>
      <c r="F59" s="13">
        <v>1</v>
      </c>
      <c r="G59" s="13">
        <v>2</v>
      </c>
      <c r="H59" s="4">
        <v>2</v>
      </c>
      <c r="I59" s="4">
        <v>8</v>
      </c>
      <c r="J59" s="4" t="s">
        <v>11</v>
      </c>
      <c r="K59" s="4" t="s">
        <v>13</v>
      </c>
      <c r="L59" s="4">
        <v>2024</v>
      </c>
      <c r="M59" s="4">
        <v>1</v>
      </c>
      <c r="N59" s="4">
        <v>1</v>
      </c>
    </row>
    <row r="60" spans="1:14">
      <c r="A60" s="4" t="s">
        <v>126</v>
      </c>
      <c r="B60" s="4" t="s">
        <v>136</v>
      </c>
      <c r="C60" s="9" t="s">
        <v>130</v>
      </c>
      <c r="D60" s="13">
        <v>1</v>
      </c>
      <c r="E60" s="13" t="s">
        <v>679</v>
      </c>
      <c r="F60" s="13">
        <v>1</v>
      </c>
      <c r="G60" s="13">
        <v>2</v>
      </c>
      <c r="H60" s="4">
        <v>3</v>
      </c>
      <c r="I60" s="4">
        <v>8</v>
      </c>
      <c r="J60" s="4" t="s">
        <v>11</v>
      </c>
      <c r="K60" s="4" t="s">
        <v>13</v>
      </c>
      <c r="L60" s="4">
        <v>2024</v>
      </c>
      <c r="M60" s="4">
        <v>1</v>
      </c>
      <c r="N60" s="4">
        <v>1</v>
      </c>
    </row>
    <row r="61" spans="1:14">
      <c r="A61" s="4" t="s">
        <v>126</v>
      </c>
      <c r="B61" s="4" t="s">
        <v>137</v>
      </c>
      <c r="C61" s="9" t="s">
        <v>115</v>
      </c>
      <c r="D61" s="13">
        <v>1</v>
      </c>
      <c r="E61" s="13" t="s">
        <v>679</v>
      </c>
      <c r="F61" s="13">
        <v>1</v>
      </c>
      <c r="G61" s="13">
        <v>2</v>
      </c>
      <c r="H61" s="4">
        <v>4</v>
      </c>
      <c r="I61" s="4">
        <v>8</v>
      </c>
      <c r="J61" s="4" t="s">
        <v>11</v>
      </c>
      <c r="K61" s="4" t="s">
        <v>13</v>
      </c>
      <c r="L61" s="4">
        <v>2024</v>
      </c>
      <c r="M61" s="4">
        <v>1</v>
      </c>
      <c r="N61" s="4">
        <v>1</v>
      </c>
    </row>
    <row r="62" spans="1:14">
      <c r="A62" s="4" t="s">
        <v>126</v>
      </c>
      <c r="B62" s="4" t="s">
        <v>138</v>
      </c>
      <c r="C62" s="9" t="s">
        <v>131</v>
      </c>
      <c r="D62" s="13">
        <v>1</v>
      </c>
      <c r="E62" s="13" t="s">
        <v>677</v>
      </c>
      <c r="F62" s="13">
        <v>1</v>
      </c>
      <c r="G62" s="13">
        <v>2</v>
      </c>
      <c r="H62" s="4">
        <v>5</v>
      </c>
      <c r="I62" s="4">
        <v>8</v>
      </c>
      <c r="J62" s="4" t="s">
        <v>11</v>
      </c>
      <c r="K62" s="4" t="s">
        <v>13</v>
      </c>
      <c r="L62" s="4">
        <v>2024</v>
      </c>
      <c r="M62" s="4">
        <v>1</v>
      </c>
      <c r="N62" s="4">
        <v>1</v>
      </c>
    </row>
    <row r="63" spans="1:14">
      <c r="A63" s="4" t="s">
        <v>126</v>
      </c>
      <c r="B63" s="4" t="s">
        <v>139</v>
      </c>
      <c r="C63" s="9" t="s">
        <v>132</v>
      </c>
      <c r="D63" s="13">
        <v>1</v>
      </c>
      <c r="E63" s="13" t="s">
        <v>679</v>
      </c>
      <c r="F63" s="13">
        <v>1</v>
      </c>
      <c r="G63" s="13">
        <v>1</v>
      </c>
      <c r="H63" s="4">
        <v>6</v>
      </c>
      <c r="I63" s="4">
        <v>8</v>
      </c>
      <c r="J63" s="4" t="s">
        <v>11</v>
      </c>
      <c r="K63" s="4" t="s">
        <v>13</v>
      </c>
      <c r="L63" s="4">
        <v>2024</v>
      </c>
      <c r="M63" s="4">
        <v>1</v>
      </c>
      <c r="N63" s="4">
        <v>1</v>
      </c>
    </row>
    <row r="64" spans="1:14">
      <c r="A64" s="4" t="s">
        <v>126</v>
      </c>
      <c r="B64" s="4" t="s">
        <v>140</v>
      </c>
      <c r="C64" s="9" t="s">
        <v>133</v>
      </c>
      <c r="D64" s="13">
        <v>1</v>
      </c>
      <c r="E64" s="13" t="s">
        <v>679</v>
      </c>
      <c r="F64" s="13">
        <v>1</v>
      </c>
      <c r="G64" s="13">
        <v>2</v>
      </c>
      <c r="H64" s="4">
        <v>7</v>
      </c>
      <c r="I64" s="4">
        <v>8</v>
      </c>
      <c r="J64" s="4" t="s">
        <v>11</v>
      </c>
      <c r="K64" s="4" t="s">
        <v>13</v>
      </c>
      <c r="L64" s="4">
        <v>2024</v>
      </c>
      <c r="M64" s="4">
        <v>1</v>
      </c>
      <c r="N64" s="4">
        <v>1</v>
      </c>
    </row>
    <row r="65" spans="1:14">
      <c r="A65" s="4" t="s">
        <v>126</v>
      </c>
      <c r="B65" s="4" t="s">
        <v>141</v>
      </c>
      <c r="C65" s="9" t="s">
        <v>134</v>
      </c>
      <c r="D65" s="13">
        <v>1</v>
      </c>
      <c r="E65" s="13" t="s">
        <v>679</v>
      </c>
      <c r="F65" s="13">
        <v>1</v>
      </c>
      <c r="G65" s="13">
        <v>2</v>
      </c>
      <c r="H65" s="4">
        <v>8</v>
      </c>
      <c r="I65" s="4">
        <v>8</v>
      </c>
      <c r="J65" s="4" t="s">
        <v>11</v>
      </c>
      <c r="K65" s="4" t="s">
        <v>13</v>
      </c>
      <c r="L65" s="4">
        <v>2024</v>
      </c>
      <c r="M65" s="4">
        <v>1</v>
      </c>
      <c r="N65" s="4">
        <v>1</v>
      </c>
    </row>
    <row r="66" spans="1:14">
      <c r="A66" s="4" t="s">
        <v>142</v>
      </c>
      <c r="B66" s="4" t="s">
        <v>143</v>
      </c>
      <c r="C66" s="9" t="s">
        <v>144</v>
      </c>
      <c r="D66" s="13">
        <v>1</v>
      </c>
      <c r="E66" s="13" t="s">
        <v>675</v>
      </c>
      <c r="F66" s="13">
        <v>1</v>
      </c>
      <c r="G66" s="13">
        <v>2</v>
      </c>
      <c r="H66" s="4">
        <v>1</v>
      </c>
      <c r="I66" s="4">
        <v>8</v>
      </c>
      <c r="J66" s="4" t="s">
        <v>11</v>
      </c>
      <c r="K66" s="4" t="s">
        <v>13</v>
      </c>
      <c r="L66" s="4">
        <v>2025</v>
      </c>
      <c r="M66" s="4">
        <v>1</v>
      </c>
      <c r="N66" s="4">
        <v>1</v>
      </c>
    </row>
    <row r="67" spans="1:14">
      <c r="A67" s="4" t="s">
        <v>142</v>
      </c>
      <c r="B67" s="4" t="s">
        <v>152</v>
      </c>
      <c r="C67" s="9" t="s">
        <v>145</v>
      </c>
      <c r="D67" s="13">
        <v>1</v>
      </c>
      <c r="E67" s="13" t="s">
        <v>679</v>
      </c>
      <c r="F67" s="13">
        <v>1</v>
      </c>
      <c r="G67" s="13">
        <v>2</v>
      </c>
      <c r="H67" s="4">
        <v>2</v>
      </c>
      <c r="I67" s="4">
        <v>8</v>
      </c>
      <c r="J67" s="4" t="s">
        <v>11</v>
      </c>
      <c r="K67" s="4" t="s">
        <v>13</v>
      </c>
      <c r="L67" s="4">
        <v>2025</v>
      </c>
      <c r="M67" s="4">
        <v>1</v>
      </c>
      <c r="N67" s="4">
        <v>1</v>
      </c>
    </row>
    <row r="68" spans="1:14">
      <c r="A68" s="4" t="s">
        <v>142</v>
      </c>
      <c r="B68" s="4" t="s">
        <v>153</v>
      </c>
      <c r="C68" s="9" t="s">
        <v>146</v>
      </c>
      <c r="D68" s="13">
        <v>1</v>
      </c>
      <c r="E68" s="13" t="s">
        <v>679</v>
      </c>
      <c r="F68" s="13">
        <v>1</v>
      </c>
      <c r="G68" s="13">
        <v>2</v>
      </c>
      <c r="H68" s="4">
        <v>3</v>
      </c>
      <c r="I68" s="4">
        <v>8</v>
      </c>
      <c r="J68" s="4" t="s">
        <v>11</v>
      </c>
      <c r="K68" s="4" t="s">
        <v>13</v>
      </c>
      <c r="L68" s="4">
        <v>2025</v>
      </c>
      <c r="M68" s="4">
        <v>1</v>
      </c>
      <c r="N68" s="4">
        <v>1</v>
      </c>
    </row>
    <row r="69" spans="1:14">
      <c r="A69" s="4" t="s">
        <v>142</v>
      </c>
      <c r="B69" s="4" t="s">
        <v>154</v>
      </c>
      <c r="C69" s="9" t="s">
        <v>147</v>
      </c>
      <c r="D69" s="13">
        <v>1</v>
      </c>
      <c r="E69" s="13" t="s">
        <v>677</v>
      </c>
      <c r="F69" s="13">
        <v>1</v>
      </c>
      <c r="G69" s="13">
        <v>2</v>
      </c>
      <c r="H69" s="4">
        <v>4</v>
      </c>
      <c r="I69" s="4">
        <v>8</v>
      </c>
      <c r="J69" s="4" t="s">
        <v>11</v>
      </c>
      <c r="K69" s="4" t="s">
        <v>13</v>
      </c>
      <c r="L69" s="4">
        <v>2025</v>
      </c>
      <c r="M69" s="4">
        <v>1</v>
      </c>
      <c r="N69" s="4">
        <v>1</v>
      </c>
    </row>
    <row r="70" spans="1:14">
      <c r="A70" s="4" t="s">
        <v>142</v>
      </c>
      <c r="B70" s="4" t="s">
        <v>155</v>
      </c>
      <c r="C70" s="9" t="s">
        <v>148</v>
      </c>
      <c r="D70" s="13">
        <v>1</v>
      </c>
      <c r="E70" s="13" t="s">
        <v>677</v>
      </c>
      <c r="F70" s="13">
        <v>0</v>
      </c>
      <c r="G70" s="13">
        <v>0</v>
      </c>
      <c r="H70" s="4">
        <v>5</v>
      </c>
      <c r="I70" s="4">
        <v>8</v>
      </c>
      <c r="J70" s="4" t="s">
        <v>11</v>
      </c>
      <c r="K70" s="4" t="s">
        <v>13</v>
      </c>
      <c r="L70" s="4">
        <v>2025</v>
      </c>
      <c r="M70" s="4">
        <v>1</v>
      </c>
      <c r="N70" s="4">
        <v>1</v>
      </c>
    </row>
    <row r="71" spans="1:14">
      <c r="A71" s="4" t="s">
        <v>142</v>
      </c>
      <c r="B71" s="4" t="s">
        <v>156</v>
      </c>
      <c r="C71" s="9" t="s">
        <v>149</v>
      </c>
      <c r="D71" s="13">
        <v>1</v>
      </c>
      <c r="E71" s="13" t="s">
        <v>679</v>
      </c>
      <c r="F71" s="13">
        <v>1</v>
      </c>
      <c r="G71" s="13">
        <v>1</v>
      </c>
      <c r="H71" s="4">
        <v>6</v>
      </c>
      <c r="I71" s="4">
        <v>8</v>
      </c>
      <c r="J71" s="4" t="s">
        <v>11</v>
      </c>
      <c r="K71" s="4" t="s">
        <v>13</v>
      </c>
      <c r="L71" s="4">
        <v>2025</v>
      </c>
      <c r="M71" s="4">
        <v>1</v>
      </c>
      <c r="N71" s="4">
        <v>1</v>
      </c>
    </row>
    <row r="72" spans="1:14">
      <c r="A72" s="4" t="s">
        <v>142</v>
      </c>
      <c r="B72" s="4" t="s">
        <v>157</v>
      </c>
      <c r="C72" s="9" t="s">
        <v>150</v>
      </c>
      <c r="D72" s="13">
        <v>1</v>
      </c>
      <c r="E72" s="13" t="s">
        <v>679</v>
      </c>
      <c r="F72" s="13">
        <v>1</v>
      </c>
      <c r="G72" s="13">
        <v>2</v>
      </c>
      <c r="H72" s="4">
        <v>7</v>
      </c>
      <c r="I72" s="4">
        <v>8</v>
      </c>
      <c r="J72" s="4" t="s">
        <v>11</v>
      </c>
      <c r="K72" s="4" t="s">
        <v>13</v>
      </c>
      <c r="L72" s="4">
        <v>2025</v>
      </c>
      <c r="M72" s="4">
        <v>1</v>
      </c>
      <c r="N72" s="4">
        <v>1</v>
      </c>
    </row>
    <row r="73" spans="1:14">
      <c r="A73" s="4" t="s">
        <v>142</v>
      </c>
      <c r="B73" s="4" t="s">
        <v>158</v>
      </c>
      <c r="C73" s="9" t="s">
        <v>151</v>
      </c>
      <c r="D73" s="13">
        <v>1</v>
      </c>
      <c r="E73" s="13" t="s">
        <v>679</v>
      </c>
      <c r="F73" s="13">
        <v>1</v>
      </c>
      <c r="G73" s="13">
        <v>2</v>
      </c>
      <c r="H73" s="4">
        <v>8</v>
      </c>
      <c r="I73" s="4">
        <v>8</v>
      </c>
      <c r="J73" s="4" t="s">
        <v>11</v>
      </c>
      <c r="K73" s="4" t="s">
        <v>13</v>
      </c>
      <c r="L73" s="4">
        <v>2025</v>
      </c>
      <c r="M73" s="4">
        <v>1</v>
      </c>
      <c r="N73" s="4">
        <v>1</v>
      </c>
    </row>
    <row r="74" spans="1:14">
      <c r="A74" s="4" t="s">
        <v>159</v>
      </c>
      <c r="B74" s="4" t="s">
        <v>160</v>
      </c>
      <c r="C74" s="9" t="s">
        <v>162</v>
      </c>
      <c r="D74" s="13">
        <v>0</v>
      </c>
      <c r="F74" s="13">
        <v>0</v>
      </c>
      <c r="G74" s="13">
        <v>0</v>
      </c>
      <c r="H74" s="4">
        <v>1</v>
      </c>
      <c r="I74" s="4">
        <v>21</v>
      </c>
      <c r="J74" s="4" t="s">
        <v>161</v>
      </c>
      <c r="K74" s="4" t="s">
        <v>13</v>
      </c>
      <c r="L74" s="4">
        <v>2017</v>
      </c>
      <c r="M74" s="4">
        <v>1</v>
      </c>
      <c r="N74" s="4">
        <v>0</v>
      </c>
    </row>
    <row r="75" spans="1:14">
      <c r="A75" s="4" t="s">
        <v>159</v>
      </c>
      <c r="B75" s="4" t="s">
        <v>183</v>
      </c>
      <c r="C75" s="9" t="s">
        <v>163</v>
      </c>
      <c r="D75" s="13">
        <v>1</v>
      </c>
      <c r="E75" s="13" t="s">
        <v>679</v>
      </c>
      <c r="F75" s="13">
        <v>1</v>
      </c>
      <c r="G75" s="13">
        <v>2</v>
      </c>
      <c r="H75" s="4">
        <v>2</v>
      </c>
      <c r="I75" s="4">
        <v>21</v>
      </c>
      <c r="J75" s="4" t="s">
        <v>161</v>
      </c>
      <c r="K75" s="4" t="s">
        <v>13</v>
      </c>
      <c r="L75" s="4">
        <v>2017</v>
      </c>
      <c r="M75" s="4">
        <v>1</v>
      </c>
      <c r="N75" s="4">
        <v>0</v>
      </c>
    </row>
    <row r="76" spans="1:14">
      <c r="A76" s="4" t="s">
        <v>159</v>
      </c>
      <c r="B76" s="4" t="s">
        <v>184</v>
      </c>
      <c r="C76" s="9" t="s">
        <v>164</v>
      </c>
      <c r="D76" s="13">
        <v>1</v>
      </c>
      <c r="E76" s="13" t="s">
        <v>677</v>
      </c>
      <c r="F76" s="13">
        <v>0</v>
      </c>
      <c r="G76" s="13">
        <v>0</v>
      </c>
      <c r="H76" s="4">
        <v>3</v>
      </c>
      <c r="I76" s="4">
        <v>21</v>
      </c>
      <c r="J76" s="4" t="s">
        <v>161</v>
      </c>
      <c r="K76" s="4" t="s">
        <v>13</v>
      </c>
      <c r="L76" s="4">
        <v>2017</v>
      </c>
      <c r="M76" s="4">
        <v>1</v>
      </c>
      <c r="N76" s="4">
        <v>0</v>
      </c>
    </row>
    <row r="77" spans="1:14">
      <c r="A77" s="4" t="s">
        <v>159</v>
      </c>
      <c r="B77" s="4" t="s">
        <v>185</v>
      </c>
      <c r="C77" s="9" t="s">
        <v>165</v>
      </c>
      <c r="D77" s="13">
        <v>0</v>
      </c>
      <c r="F77" s="13">
        <v>0</v>
      </c>
      <c r="G77" s="13">
        <v>0</v>
      </c>
      <c r="H77" s="4">
        <v>4</v>
      </c>
      <c r="I77" s="4">
        <v>21</v>
      </c>
      <c r="J77" s="4" t="s">
        <v>161</v>
      </c>
      <c r="K77" s="4" t="s">
        <v>13</v>
      </c>
      <c r="L77" s="4">
        <v>2017</v>
      </c>
      <c r="M77" s="4">
        <v>1</v>
      </c>
      <c r="N77" s="4">
        <v>0</v>
      </c>
    </row>
    <row r="78" spans="1:14">
      <c r="A78" s="4" t="s">
        <v>159</v>
      </c>
      <c r="B78" s="4" t="s">
        <v>186</v>
      </c>
      <c r="C78" s="9" t="s">
        <v>166</v>
      </c>
      <c r="D78" s="13">
        <v>1</v>
      </c>
      <c r="E78" s="13" t="s">
        <v>677</v>
      </c>
      <c r="F78" s="13">
        <v>0</v>
      </c>
      <c r="G78" s="13">
        <v>0</v>
      </c>
      <c r="H78" s="4">
        <v>5</v>
      </c>
      <c r="I78" s="4">
        <v>21</v>
      </c>
      <c r="J78" s="4" t="s">
        <v>161</v>
      </c>
      <c r="K78" s="4" t="s">
        <v>13</v>
      </c>
      <c r="L78" s="4">
        <v>2017</v>
      </c>
      <c r="M78" s="4">
        <v>1</v>
      </c>
      <c r="N78" s="4">
        <v>0</v>
      </c>
    </row>
    <row r="79" spans="1:14">
      <c r="A79" s="4" t="s">
        <v>159</v>
      </c>
      <c r="B79" s="4" t="s">
        <v>187</v>
      </c>
      <c r="C79" s="9" t="s">
        <v>167</v>
      </c>
      <c r="D79" s="13">
        <v>1</v>
      </c>
      <c r="E79" s="13" t="s">
        <v>677</v>
      </c>
      <c r="F79" s="13">
        <v>1</v>
      </c>
      <c r="G79" s="13">
        <v>1</v>
      </c>
      <c r="H79" s="4">
        <v>6</v>
      </c>
      <c r="I79" s="4">
        <v>21</v>
      </c>
      <c r="J79" s="4" t="s">
        <v>161</v>
      </c>
      <c r="K79" s="4" t="s">
        <v>13</v>
      </c>
      <c r="L79" s="4">
        <v>2017</v>
      </c>
      <c r="M79" s="4">
        <v>1</v>
      </c>
      <c r="N79" s="4">
        <v>0</v>
      </c>
    </row>
    <row r="80" spans="1:14">
      <c r="A80" s="4" t="s">
        <v>159</v>
      </c>
      <c r="B80" s="4" t="s">
        <v>188</v>
      </c>
      <c r="C80" s="9" t="s">
        <v>168</v>
      </c>
      <c r="D80" s="13">
        <v>1</v>
      </c>
      <c r="E80" s="13" t="s">
        <v>677</v>
      </c>
      <c r="F80" s="13">
        <v>0</v>
      </c>
      <c r="G80" s="13">
        <v>0</v>
      </c>
      <c r="H80" s="4">
        <v>7</v>
      </c>
      <c r="I80" s="4">
        <v>21</v>
      </c>
      <c r="J80" s="4" t="s">
        <v>161</v>
      </c>
      <c r="K80" s="4" t="s">
        <v>13</v>
      </c>
      <c r="L80" s="4">
        <v>2017</v>
      </c>
      <c r="M80" s="4">
        <v>1</v>
      </c>
      <c r="N80" s="4">
        <v>0</v>
      </c>
    </row>
    <row r="81" spans="1:14">
      <c r="A81" s="4" t="s">
        <v>159</v>
      </c>
      <c r="B81" s="4" t="s">
        <v>189</v>
      </c>
      <c r="C81" s="9" t="s">
        <v>169</v>
      </c>
      <c r="D81" s="13">
        <v>1</v>
      </c>
      <c r="E81" s="13" t="s">
        <v>677</v>
      </c>
      <c r="F81" s="13">
        <v>1</v>
      </c>
      <c r="G81" s="13">
        <v>1</v>
      </c>
      <c r="H81" s="4">
        <v>8</v>
      </c>
      <c r="I81" s="4">
        <v>21</v>
      </c>
      <c r="J81" s="4" t="s">
        <v>161</v>
      </c>
      <c r="K81" s="4" t="s">
        <v>13</v>
      </c>
      <c r="L81" s="4">
        <v>2017</v>
      </c>
      <c r="M81" s="4">
        <v>1</v>
      </c>
      <c r="N81" s="4">
        <v>0</v>
      </c>
    </row>
    <row r="82" spans="1:14">
      <c r="A82" s="4" t="s">
        <v>159</v>
      </c>
      <c r="B82" s="4" t="s">
        <v>190</v>
      </c>
      <c r="C82" s="9" t="s">
        <v>170</v>
      </c>
      <c r="D82" s="13">
        <v>0</v>
      </c>
      <c r="F82" s="13">
        <v>0</v>
      </c>
      <c r="G82" s="13">
        <v>0</v>
      </c>
      <c r="H82" s="4">
        <v>9</v>
      </c>
      <c r="I82" s="4">
        <v>21</v>
      </c>
      <c r="J82" s="4" t="s">
        <v>161</v>
      </c>
      <c r="K82" s="4" t="s">
        <v>13</v>
      </c>
      <c r="L82" s="4">
        <v>2017</v>
      </c>
      <c r="M82" s="4">
        <v>1</v>
      </c>
      <c r="N82" s="4">
        <v>0</v>
      </c>
    </row>
    <row r="83" spans="1:14">
      <c r="A83" s="4" t="s">
        <v>159</v>
      </c>
      <c r="B83" s="4" t="s">
        <v>191</v>
      </c>
      <c r="C83" s="9" t="s">
        <v>171</v>
      </c>
      <c r="D83" s="13">
        <v>0</v>
      </c>
      <c r="F83" s="13">
        <v>1</v>
      </c>
      <c r="G83" s="13">
        <v>1</v>
      </c>
      <c r="H83" s="4">
        <v>10</v>
      </c>
      <c r="I83" s="4">
        <v>21</v>
      </c>
      <c r="J83" s="4" t="s">
        <v>161</v>
      </c>
      <c r="K83" s="4" t="s">
        <v>13</v>
      </c>
      <c r="L83" s="4">
        <v>2017</v>
      </c>
      <c r="M83" s="4">
        <v>1</v>
      </c>
      <c r="N83" s="4">
        <v>0</v>
      </c>
    </row>
    <row r="84" spans="1:14">
      <c r="A84" s="4" t="s">
        <v>159</v>
      </c>
      <c r="B84" s="4" t="s">
        <v>192</v>
      </c>
      <c r="C84" s="9" t="s">
        <v>172</v>
      </c>
      <c r="D84" s="13">
        <v>1</v>
      </c>
      <c r="E84" s="13" t="s">
        <v>677</v>
      </c>
      <c r="F84" s="13">
        <v>1</v>
      </c>
      <c r="G84" s="13">
        <v>1</v>
      </c>
      <c r="H84" s="4">
        <v>11</v>
      </c>
      <c r="I84" s="4">
        <v>21</v>
      </c>
      <c r="J84" s="4" t="s">
        <v>161</v>
      </c>
      <c r="K84" s="4" t="s">
        <v>13</v>
      </c>
      <c r="L84" s="4">
        <v>2017</v>
      </c>
      <c r="M84" s="4">
        <v>1</v>
      </c>
      <c r="N84" s="4">
        <v>0</v>
      </c>
    </row>
    <row r="85" spans="1:14">
      <c r="A85" s="4" t="s">
        <v>159</v>
      </c>
      <c r="B85" s="4" t="s">
        <v>193</v>
      </c>
      <c r="C85" s="9" t="s">
        <v>173</v>
      </c>
      <c r="D85" s="13">
        <v>0</v>
      </c>
      <c r="F85" s="13">
        <v>0</v>
      </c>
      <c r="G85" s="13">
        <v>0</v>
      </c>
      <c r="H85" s="4">
        <v>12</v>
      </c>
      <c r="I85" s="4">
        <v>21</v>
      </c>
      <c r="J85" s="4" t="s">
        <v>161</v>
      </c>
      <c r="K85" s="4" t="s">
        <v>13</v>
      </c>
      <c r="L85" s="4">
        <v>2017</v>
      </c>
      <c r="M85" s="4">
        <v>1</v>
      </c>
      <c r="N85" s="4">
        <v>0</v>
      </c>
    </row>
    <row r="86" spans="1:14">
      <c r="A86" s="4" t="s">
        <v>159</v>
      </c>
      <c r="B86" s="4" t="s">
        <v>194</v>
      </c>
      <c r="C86" s="9" t="s">
        <v>174</v>
      </c>
      <c r="D86" s="13">
        <v>0</v>
      </c>
      <c r="F86" s="13">
        <v>0</v>
      </c>
      <c r="G86" s="13">
        <v>0</v>
      </c>
      <c r="H86" s="4">
        <v>13</v>
      </c>
      <c r="I86" s="4">
        <v>21</v>
      </c>
      <c r="J86" s="4" t="s">
        <v>161</v>
      </c>
      <c r="K86" s="4" t="s">
        <v>13</v>
      </c>
      <c r="L86" s="4">
        <v>2017</v>
      </c>
      <c r="M86" s="4">
        <v>1</v>
      </c>
      <c r="N86" s="4">
        <v>0</v>
      </c>
    </row>
    <row r="87" spans="1:14">
      <c r="A87" s="4" t="s">
        <v>159</v>
      </c>
      <c r="B87" s="4" t="s">
        <v>195</v>
      </c>
      <c r="C87" s="9" t="s">
        <v>175</v>
      </c>
      <c r="D87" s="13">
        <v>0</v>
      </c>
      <c r="F87" s="13">
        <v>1</v>
      </c>
      <c r="G87" s="13">
        <v>1</v>
      </c>
      <c r="H87" s="4">
        <v>14</v>
      </c>
      <c r="I87" s="4">
        <v>21</v>
      </c>
      <c r="J87" s="4" t="s">
        <v>161</v>
      </c>
      <c r="K87" s="4" t="s">
        <v>13</v>
      </c>
      <c r="L87" s="4">
        <v>2017</v>
      </c>
      <c r="M87" s="4">
        <v>1</v>
      </c>
      <c r="N87" s="4">
        <v>0</v>
      </c>
    </row>
    <row r="88" spans="1:14">
      <c r="A88" s="4" t="s">
        <v>159</v>
      </c>
      <c r="B88" s="4" t="s">
        <v>196</v>
      </c>
      <c r="C88" s="9" t="s">
        <v>176</v>
      </c>
      <c r="D88" s="13">
        <v>0</v>
      </c>
      <c r="F88" s="13">
        <v>1</v>
      </c>
      <c r="G88" s="13">
        <v>1</v>
      </c>
      <c r="H88" s="4">
        <v>15</v>
      </c>
      <c r="I88" s="4">
        <v>21</v>
      </c>
      <c r="J88" s="4" t="s">
        <v>161</v>
      </c>
      <c r="K88" s="4" t="s">
        <v>13</v>
      </c>
      <c r="L88" s="4">
        <v>2017</v>
      </c>
      <c r="M88" s="4">
        <v>1</v>
      </c>
      <c r="N88" s="4">
        <v>0</v>
      </c>
    </row>
    <row r="89" spans="1:14">
      <c r="A89" s="4" t="s">
        <v>159</v>
      </c>
      <c r="B89" s="4" t="s">
        <v>197</v>
      </c>
      <c r="C89" s="9" t="s">
        <v>177</v>
      </c>
      <c r="D89" s="13">
        <v>0</v>
      </c>
      <c r="F89" s="13">
        <v>0</v>
      </c>
      <c r="G89" s="13">
        <v>0</v>
      </c>
      <c r="H89" s="4">
        <v>16</v>
      </c>
      <c r="I89" s="4">
        <v>21</v>
      </c>
      <c r="J89" s="4" t="s">
        <v>161</v>
      </c>
      <c r="K89" s="4" t="s">
        <v>13</v>
      </c>
      <c r="L89" s="4">
        <v>2017</v>
      </c>
      <c r="M89" s="4">
        <v>1</v>
      </c>
      <c r="N89" s="4">
        <v>0</v>
      </c>
    </row>
    <row r="90" spans="1:14">
      <c r="A90" s="4" t="s">
        <v>159</v>
      </c>
      <c r="B90" s="4" t="s">
        <v>198</v>
      </c>
      <c r="C90" s="9" t="s">
        <v>178</v>
      </c>
      <c r="D90" s="13">
        <v>1</v>
      </c>
      <c r="E90" s="13" t="s">
        <v>677</v>
      </c>
      <c r="F90" s="13">
        <v>1</v>
      </c>
      <c r="G90" s="13">
        <v>1</v>
      </c>
      <c r="H90" s="4">
        <v>17</v>
      </c>
      <c r="I90" s="4">
        <v>21</v>
      </c>
      <c r="J90" s="4" t="s">
        <v>161</v>
      </c>
      <c r="K90" s="4" t="s">
        <v>13</v>
      </c>
      <c r="L90" s="4">
        <v>2017</v>
      </c>
      <c r="M90" s="4">
        <v>1</v>
      </c>
      <c r="N90" s="4">
        <v>0</v>
      </c>
    </row>
    <row r="91" spans="1:14">
      <c r="A91" s="4" t="s">
        <v>159</v>
      </c>
      <c r="B91" s="4" t="s">
        <v>199</v>
      </c>
      <c r="C91" s="9" t="s">
        <v>179</v>
      </c>
      <c r="D91" s="13">
        <v>1</v>
      </c>
      <c r="E91" s="13" t="s">
        <v>677</v>
      </c>
      <c r="F91" s="13">
        <v>0</v>
      </c>
      <c r="G91" s="13">
        <v>0</v>
      </c>
      <c r="H91" s="4">
        <v>18</v>
      </c>
      <c r="I91" s="4">
        <v>21</v>
      </c>
      <c r="J91" s="4" t="s">
        <v>161</v>
      </c>
      <c r="K91" s="4" t="s">
        <v>13</v>
      </c>
      <c r="L91" s="4">
        <v>2017</v>
      </c>
      <c r="M91" s="4">
        <v>1</v>
      </c>
      <c r="N91" s="4">
        <v>0</v>
      </c>
    </row>
    <row r="92" spans="1:14">
      <c r="A92" s="4" t="s">
        <v>159</v>
      </c>
      <c r="B92" s="4" t="s">
        <v>200</v>
      </c>
      <c r="C92" s="9" t="s">
        <v>180</v>
      </c>
      <c r="D92" s="13">
        <v>1</v>
      </c>
      <c r="E92" s="13" t="s">
        <v>679</v>
      </c>
      <c r="F92" s="13">
        <v>1</v>
      </c>
      <c r="G92" s="13">
        <v>2</v>
      </c>
      <c r="H92" s="4">
        <v>19</v>
      </c>
      <c r="I92" s="4">
        <v>21</v>
      </c>
      <c r="J92" s="4" t="s">
        <v>161</v>
      </c>
      <c r="K92" s="4" t="s">
        <v>13</v>
      </c>
      <c r="L92" s="4">
        <v>2017</v>
      </c>
      <c r="M92" s="4">
        <v>1</v>
      </c>
      <c r="N92" s="4">
        <v>0</v>
      </c>
    </row>
    <row r="93" spans="1:14">
      <c r="A93" s="4" t="s">
        <v>159</v>
      </c>
      <c r="B93" s="4" t="s">
        <v>201</v>
      </c>
      <c r="C93" s="9" t="s">
        <v>181</v>
      </c>
      <c r="D93" s="13">
        <v>1</v>
      </c>
      <c r="E93" s="13" t="s">
        <v>679</v>
      </c>
      <c r="F93" s="13">
        <v>1</v>
      </c>
      <c r="G93" s="13">
        <v>1</v>
      </c>
      <c r="H93" s="4">
        <v>20</v>
      </c>
      <c r="I93" s="4">
        <v>21</v>
      </c>
      <c r="J93" s="4" t="s">
        <v>161</v>
      </c>
      <c r="K93" s="4" t="s">
        <v>13</v>
      </c>
      <c r="L93" s="4">
        <v>2017</v>
      </c>
      <c r="M93" s="4">
        <v>1</v>
      </c>
      <c r="N93" s="4">
        <v>0</v>
      </c>
    </row>
    <row r="94" spans="1:14">
      <c r="A94" s="4" t="s">
        <v>159</v>
      </c>
      <c r="B94" s="4" t="s">
        <v>202</v>
      </c>
      <c r="C94" s="6" t="s">
        <v>182</v>
      </c>
      <c r="D94" s="13">
        <v>1</v>
      </c>
      <c r="E94" s="13" t="s">
        <v>679</v>
      </c>
      <c r="F94" s="13">
        <v>1</v>
      </c>
      <c r="G94" s="13">
        <v>2</v>
      </c>
      <c r="H94" s="4">
        <v>21</v>
      </c>
      <c r="I94" s="4">
        <v>21</v>
      </c>
      <c r="J94" s="4" t="s">
        <v>161</v>
      </c>
      <c r="K94" s="4" t="s">
        <v>13</v>
      </c>
      <c r="L94" s="4">
        <v>2017</v>
      </c>
      <c r="M94" s="4">
        <v>1</v>
      </c>
      <c r="N94" s="4">
        <v>0</v>
      </c>
    </row>
    <row r="95" spans="1:14">
      <c r="A95" s="4" t="s">
        <v>203</v>
      </c>
      <c r="B95" s="4" t="s">
        <v>204</v>
      </c>
      <c r="C95" s="9" t="s">
        <v>205</v>
      </c>
      <c r="D95" s="13">
        <v>0</v>
      </c>
      <c r="F95" s="13">
        <v>0</v>
      </c>
      <c r="G95" s="13">
        <v>0</v>
      </c>
      <c r="H95" s="4">
        <v>1</v>
      </c>
      <c r="I95" s="4">
        <v>25</v>
      </c>
      <c r="J95" s="4" t="s">
        <v>161</v>
      </c>
      <c r="K95" s="4" t="s">
        <v>13</v>
      </c>
      <c r="L95" s="4">
        <v>2018</v>
      </c>
      <c r="M95" s="4">
        <v>1</v>
      </c>
      <c r="N95" s="4">
        <v>0</v>
      </c>
    </row>
    <row r="96" spans="1:14">
      <c r="A96" s="4" t="s">
        <v>203</v>
      </c>
      <c r="B96" s="4" t="s">
        <v>228</v>
      </c>
      <c r="C96" s="10" t="s">
        <v>206</v>
      </c>
      <c r="D96" s="13">
        <v>0</v>
      </c>
      <c r="F96" s="13">
        <v>0</v>
      </c>
      <c r="G96" s="13">
        <v>0</v>
      </c>
      <c r="H96" s="4">
        <v>2</v>
      </c>
      <c r="I96" s="4">
        <v>25</v>
      </c>
      <c r="J96" s="4" t="s">
        <v>161</v>
      </c>
      <c r="K96" s="4" t="s">
        <v>13</v>
      </c>
      <c r="L96" s="4">
        <v>2018</v>
      </c>
      <c r="M96" s="4">
        <v>1</v>
      </c>
      <c r="N96" s="4">
        <v>0</v>
      </c>
    </row>
    <row r="97" spans="1:14">
      <c r="A97" s="4" t="s">
        <v>203</v>
      </c>
      <c r="B97" s="4" t="s">
        <v>229</v>
      </c>
      <c r="C97" s="9" t="s">
        <v>207</v>
      </c>
      <c r="D97" s="13">
        <v>1</v>
      </c>
      <c r="E97" s="13" t="s">
        <v>679</v>
      </c>
      <c r="F97" s="13">
        <v>1</v>
      </c>
      <c r="G97" s="13">
        <v>2</v>
      </c>
      <c r="H97" s="4">
        <v>3</v>
      </c>
      <c r="I97" s="4">
        <v>25</v>
      </c>
      <c r="J97" s="4" t="s">
        <v>161</v>
      </c>
      <c r="K97" s="4" t="s">
        <v>13</v>
      </c>
      <c r="L97" s="4">
        <v>2018</v>
      </c>
      <c r="M97" s="4">
        <v>1</v>
      </c>
      <c r="N97" s="4">
        <v>0</v>
      </c>
    </row>
    <row r="98" spans="1:14">
      <c r="A98" s="4" t="s">
        <v>203</v>
      </c>
      <c r="B98" s="4" t="s">
        <v>230</v>
      </c>
      <c r="C98" s="9" t="s">
        <v>208</v>
      </c>
      <c r="D98" s="13">
        <v>0</v>
      </c>
      <c r="F98" s="13">
        <v>0</v>
      </c>
      <c r="G98" s="13">
        <v>0</v>
      </c>
      <c r="H98" s="4">
        <v>4</v>
      </c>
      <c r="I98" s="4">
        <v>25</v>
      </c>
      <c r="J98" s="4" t="s">
        <v>161</v>
      </c>
      <c r="K98" s="4" t="s">
        <v>13</v>
      </c>
      <c r="L98" s="4">
        <v>2018</v>
      </c>
      <c r="M98" s="4">
        <v>1</v>
      </c>
      <c r="N98" s="4">
        <v>0</v>
      </c>
    </row>
    <row r="99" spans="1:14">
      <c r="A99" s="4" t="s">
        <v>203</v>
      </c>
      <c r="B99" s="4" t="s">
        <v>231</v>
      </c>
      <c r="C99" s="9" t="s">
        <v>209</v>
      </c>
      <c r="D99" s="13">
        <v>1</v>
      </c>
      <c r="E99" s="13" t="s">
        <v>677</v>
      </c>
      <c r="F99" s="13">
        <v>1</v>
      </c>
      <c r="G99" s="13">
        <v>1</v>
      </c>
      <c r="H99" s="4">
        <v>5</v>
      </c>
      <c r="I99" s="4">
        <v>25</v>
      </c>
      <c r="J99" s="4" t="s">
        <v>161</v>
      </c>
      <c r="K99" s="4" t="s">
        <v>13</v>
      </c>
      <c r="L99" s="4">
        <v>2018</v>
      </c>
      <c r="M99" s="4">
        <v>1</v>
      </c>
      <c r="N99" s="4">
        <v>0</v>
      </c>
    </row>
    <row r="100" spans="1:14">
      <c r="A100" s="4" t="s">
        <v>203</v>
      </c>
      <c r="B100" s="4" t="s">
        <v>232</v>
      </c>
      <c r="C100" s="9" t="s">
        <v>210</v>
      </c>
      <c r="D100" s="13">
        <v>1</v>
      </c>
      <c r="E100" s="13" t="s">
        <v>677</v>
      </c>
      <c r="F100" s="13">
        <v>1</v>
      </c>
      <c r="G100" s="13">
        <v>1</v>
      </c>
      <c r="H100" s="4">
        <v>6</v>
      </c>
      <c r="I100" s="4">
        <v>25</v>
      </c>
      <c r="J100" s="4" t="s">
        <v>161</v>
      </c>
      <c r="K100" s="4" t="s">
        <v>13</v>
      </c>
      <c r="L100" s="4">
        <v>2018</v>
      </c>
      <c r="M100" s="4">
        <v>1</v>
      </c>
      <c r="N100" s="4">
        <v>0</v>
      </c>
    </row>
    <row r="101" spans="1:14">
      <c r="A101" s="4" t="s">
        <v>203</v>
      </c>
      <c r="B101" s="4" t="s">
        <v>233</v>
      </c>
      <c r="C101" s="9" t="s">
        <v>211</v>
      </c>
      <c r="D101" s="13">
        <v>1</v>
      </c>
      <c r="E101" s="13" t="s">
        <v>677</v>
      </c>
      <c r="F101" s="13">
        <v>1</v>
      </c>
      <c r="G101" s="13">
        <v>1</v>
      </c>
      <c r="H101" s="4">
        <v>7</v>
      </c>
      <c r="I101" s="4">
        <v>25</v>
      </c>
      <c r="J101" s="4" t="s">
        <v>161</v>
      </c>
      <c r="K101" s="4" t="s">
        <v>13</v>
      </c>
      <c r="L101" s="4">
        <v>2018</v>
      </c>
      <c r="M101" s="4">
        <v>1</v>
      </c>
      <c r="N101" s="4">
        <v>0</v>
      </c>
    </row>
    <row r="102" spans="1:14">
      <c r="A102" s="4" t="s">
        <v>203</v>
      </c>
      <c r="B102" s="4" t="s">
        <v>234</v>
      </c>
      <c r="C102" s="9" t="s">
        <v>212</v>
      </c>
      <c r="D102" s="13">
        <v>1</v>
      </c>
      <c r="E102" s="13" t="s">
        <v>677</v>
      </c>
      <c r="F102" s="13">
        <v>1</v>
      </c>
      <c r="G102" s="13">
        <v>1</v>
      </c>
      <c r="H102" s="4">
        <v>8</v>
      </c>
      <c r="I102" s="4">
        <v>25</v>
      </c>
      <c r="J102" s="4" t="s">
        <v>161</v>
      </c>
      <c r="K102" s="4" t="s">
        <v>13</v>
      </c>
      <c r="L102" s="4">
        <v>2018</v>
      </c>
      <c r="M102" s="4">
        <v>1</v>
      </c>
      <c r="N102" s="4">
        <v>0</v>
      </c>
    </row>
    <row r="103" spans="1:14">
      <c r="A103" s="4" t="s">
        <v>203</v>
      </c>
      <c r="B103" s="4" t="s">
        <v>235</v>
      </c>
      <c r="C103" s="9" t="s">
        <v>213</v>
      </c>
      <c r="D103" s="13">
        <v>1</v>
      </c>
      <c r="E103" s="13" t="s">
        <v>677</v>
      </c>
      <c r="F103" s="13">
        <v>0</v>
      </c>
      <c r="G103" s="13">
        <v>0</v>
      </c>
      <c r="H103" s="4">
        <v>9</v>
      </c>
      <c r="I103" s="4">
        <v>25</v>
      </c>
      <c r="J103" s="4" t="s">
        <v>161</v>
      </c>
      <c r="K103" s="4" t="s">
        <v>13</v>
      </c>
      <c r="L103" s="4">
        <v>2018</v>
      </c>
      <c r="M103" s="4">
        <v>1</v>
      </c>
      <c r="N103" s="4">
        <v>0</v>
      </c>
    </row>
    <row r="104" spans="1:14">
      <c r="A104" s="4" t="s">
        <v>203</v>
      </c>
      <c r="B104" s="4" t="s">
        <v>236</v>
      </c>
      <c r="C104" s="9" t="s">
        <v>214</v>
      </c>
      <c r="D104" s="13">
        <v>1</v>
      </c>
      <c r="E104" s="13" t="s">
        <v>677</v>
      </c>
      <c r="F104" s="13">
        <v>0</v>
      </c>
      <c r="G104" s="13">
        <v>0</v>
      </c>
      <c r="H104" s="4">
        <v>10</v>
      </c>
      <c r="I104" s="4">
        <v>25</v>
      </c>
      <c r="J104" s="4" t="s">
        <v>161</v>
      </c>
      <c r="K104" s="4" t="s">
        <v>13</v>
      </c>
      <c r="L104" s="4">
        <v>2018</v>
      </c>
      <c r="M104" s="4">
        <v>1</v>
      </c>
      <c r="N104" s="4">
        <v>0</v>
      </c>
    </row>
    <row r="105" spans="1:14">
      <c r="A105" s="4" t="s">
        <v>203</v>
      </c>
      <c r="B105" s="4" t="s">
        <v>237</v>
      </c>
      <c r="C105" s="9" t="s">
        <v>215</v>
      </c>
      <c r="D105" s="13">
        <v>1</v>
      </c>
      <c r="E105" s="13" t="s">
        <v>677</v>
      </c>
      <c r="F105" s="13">
        <v>0</v>
      </c>
      <c r="G105" s="13">
        <v>0</v>
      </c>
      <c r="H105" s="4">
        <v>11</v>
      </c>
      <c r="I105" s="4">
        <v>25</v>
      </c>
      <c r="J105" s="4" t="s">
        <v>161</v>
      </c>
      <c r="K105" s="4" t="s">
        <v>13</v>
      </c>
      <c r="L105" s="4">
        <v>2018</v>
      </c>
      <c r="M105" s="4">
        <v>1</v>
      </c>
      <c r="N105" s="4">
        <v>0</v>
      </c>
    </row>
    <row r="106" spans="1:14">
      <c r="A106" s="4" t="s">
        <v>203</v>
      </c>
      <c r="B106" s="4" t="s">
        <v>238</v>
      </c>
      <c r="C106" s="9" t="s">
        <v>216</v>
      </c>
      <c r="D106" s="13">
        <v>0</v>
      </c>
      <c r="F106" s="13">
        <v>0</v>
      </c>
      <c r="G106" s="13">
        <v>0</v>
      </c>
      <c r="H106" s="4">
        <v>12</v>
      </c>
      <c r="I106" s="4">
        <v>25</v>
      </c>
      <c r="J106" s="4" t="s">
        <v>161</v>
      </c>
      <c r="K106" s="4" t="s">
        <v>13</v>
      </c>
      <c r="L106" s="4">
        <v>2018</v>
      </c>
      <c r="M106" s="4">
        <v>1</v>
      </c>
      <c r="N106" s="4">
        <v>0</v>
      </c>
    </row>
    <row r="107" spans="1:14">
      <c r="A107" s="4" t="s">
        <v>203</v>
      </c>
      <c r="B107" s="4" t="s">
        <v>239</v>
      </c>
      <c r="C107" s="9" t="s">
        <v>217</v>
      </c>
      <c r="D107" s="13">
        <v>0</v>
      </c>
      <c r="F107" s="13">
        <v>0</v>
      </c>
      <c r="G107" s="13">
        <v>0</v>
      </c>
      <c r="H107" s="4">
        <v>13</v>
      </c>
      <c r="I107" s="4">
        <v>25</v>
      </c>
      <c r="J107" s="4" t="s">
        <v>161</v>
      </c>
      <c r="K107" s="4" t="s">
        <v>13</v>
      </c>
      <c r="L107" s="4">
        <v>2018</v>
      </c>
      <c r="M107" s="4">
        <v>1</v>
      </c>
      <c r="N107" s="4">
        <v>0</v>
      </c>
    </row>
    <row r="108" spans="1:14">
      <c r="A108" s="4" t="s">
        <v>203</v>
      </c>
      <c r="B108" s="4" t="s">
        <v>240</v>
      </c>
      <c r="C108" s="9" t="s">
        <v>218</v>
      </c>
      <c r="D108" s="13">
        <v>0</v>
      </c>
      <c r="F108" s="13">
        <v>1</v>
      </c>
      <c r="G108" s="13">
        <v>1</v>
      </c>
      <c r="H108" s="4">
        <v>14</v>
      </c>
      <c r="I108" s="4">
        <v>25</v>
      </c>
      <c r="J108" s="4" t="s">
        <v>161</v>
      </c>
      <c r="K108" s="4" t="s">
        <v>13</v>
      </c>
      <c r="L108" s="4">
        <v>2018</v>
      </c>
      <c r="M108" s="4">
        <v>1</v>
      </c>
      <c r="N108" s="4">
        <v>0</v>
      </c>
    </row>
    <row r="109" spans="1:14">
      <c r="A109" s="4" t="s">
        <v>203</v>
      </c>
      <c r="B109" s="4" t="s">
        <v>241</v>
      </c>
      <c r="C109" s="10" t="s">
        <v>219</v>
      </c>
      <c r="D109" s="13">
        <v>1</v>
      </c>
      <c r="E109" s="13" t="s">
        <v>677</v>
      </c>
      <c r="F109" s="13">
        <v>0</v>
      </c>
      <c r="G109" s="13">
        <v>0</v>
      </c>
      <c r="H109" s="4">
        <v>15</v>
      </c>
      <c r="I109" s="4">
        <v>25</v>
      </c>
      <c r="J109" s="4" t="s">
        <v>161</v>
      </c>
      <c r="K109" s="4" t="s">
        <v>13</v>
      </c>
      <c r="L109" s="4">
        <v>2018</v>
      </c>
      <c r="M109" s="4">
        <v>1</v>
      </c>
      <c r="N109" s="4">
        <v>0</v>
      </c>
    </row>
    <row r="110" spans="1:14">
      <c r="A110" s="4" t="s">
        <v>203</v>
      </c>
      <c r="B110" s="4" t="s">
        <v>242</v>
      </c>
      <c r="C110" s="9" t="s">
        <v>220</v>
      </c>
      <c r="D110" s="13">
        <v>1</v>
      </c>
      <c r="E110" s="13" t="s">
        <v>677</v>
      </c>
      <c r="F110" s="13">
        <v>0</v>
      </c>
      <c r="G110" s="13">
        <v>0</v>
      </c>
      <c r="H110" s="4">
        <v>16</v>
      </c>
      <c r="I110" s="4">
        <v>25</v>
      </c>
      <c r="J110" s="4" t="s">
        <v>161</v>
      </c>
      <c r="K110" s="4" t="s">
        <v>13</v>
      </c>
      <c r="L110" s="4">
        <v>2018</v>
      </c>
      <c r="M110" s="4">
        <v>1</v>
      </c>
      <c r="N110" s="4">
        <v>0</v>
      </c>
    </row>
    <row r="111" spans="1:14">
      <c r="A111" s="4" t="s">
        <v>203</v>
      </c>
      <c r="B111" s="4" t="s">
        <v>243</v>
      </c>
      <c r="C111" s="9" t="s">
        <v>221</v>
      </c>
      <c r="D111" s="13">
        <v>0</v>
      </c>
      <c r="F111" s="13">
        <v>1</v>
      </c>
      <c r="G111" s="13">
        <v>1</v>
      </c>
      <c r="H111" s="4">
        <v>17</v>
      </c>
      <c r="I111" s="4">
        <v>25</v>
      </c>
      <c r="J111" s="4" t="s">
        <v>161</v>
      </c>
      <c r="K111" s="4" t="s">
        <v>13</v>
      </c>
      <c r="L111" s="4">
        <v>2018</v>
      </c>
      <c r="M111" s="4">
        <v>1</v>
      </c>
      <c r="N111" s="4">
        <v>0</v>
      </c>
    </row>
    <row r="112" spans="1:14">
      <c r="A112" s="4" t="s">
        <v>203</v>
      </c>
      <c r="B112" s="4" t="s">
        <v>244</v>
      </c>
      <c r="C112" s="9" t="s">
        <v>222</v>
      </c>
      <c r="D112" s="13">
        <v>1</v>
      </c>
      <c r="E112" s="13" t="s">
        <v>677</v>
      </c>
      <c r="F112" s="13">
        <v>0</v>
      </c>
      <c r="G112" s="13">
        <v>0</v>
      </c>
      <c r="H112" s="4">
        <v>18</v>
      </c>
      <c r="I112" s="4">
        <v>25</v>
      </c>
      <c r="J112" s="4" t="s">
        <v>161</v>
      </c>
      <c r="K112" s="4" t="s">
        <v>13</v>
      </c>
      <c r="L112" s="4">
        <v>2018</v>
      </c>
      <c r="M112" s="4">
        <v>1</v>
      </c>
      <c r="N112" s="4">
        <v>0</v>
      </c>
    </row>
    <row r="113" spans="1:14">
      <c r="A113" s="4" t="s">
        <v>203</v>
      </c>
      <c r="B113" s="4" t="s">
        <v>245</v>
      </c>
      <c r="C113" s="9" t="s">
        <v>223</v>
      </c>
      <c r="D113" s="13">
        <v>0</v>
      </c>
      <c r="F113" s="13">
        <v>1</v>
      </c>
      <c r="G113" s="13">
        <v>1</v>
      </c>
      <c r="H113" s="4">
        <v>19</v>
      </c>
      <c r="I113" s="4">
        <v>25</v>
      </c>
      <c r="J113" s="4" t="s">
        <v>161</v>
      </c>
      <c r="K113" s="4" t="s">
        <v>13</v>
      </c>
      <c r="L113" s="4">
        <v>2018</v>
      </c>
      <c r="M113" s="4">
        <v>1</v>
      </c>
      <c r="N113" s="4">
        <v>0</v>
      </c>
    </row>
    <row r="114" spans="1:14">
      <c r="A114" s="4" t="s">
        <v>203</v>
      </c>
      <c r="B114" s="4" t="s">
        <v>246</v>
      </c>
      <c r="C114" s="10" t="s">
        <v>177</v>
      </c>
      <c r="D114" s="13">
        <v>0</v>
      </c>
      <c r="F114" s="13">
        <v>0</v>
      </c>
      <c r="G114" s="13">
        <v>0</v>
      </c>
      <c r="H114" s="4">
        <v>20</v>
      </c>
      <c r="I114" s="4">
        <v>25</v>
      </c>
      <c r="J114" s="4" t="s">
        <v>161</v>
      </c>
      <c r="K114" s="4" t="s">
        <v>13</v>
      </c>
      <c r="L114" s="4">
        <v>2018</v>
      </c>
      <c r="M114" s="4">
        <v>1</v>
      </c>
      <c r="N114" s="4">
        <v>0</v>
      </c>
    </row>
    <row r="115" spans="1:14">
      <c r="A115" s="4" t="s">
        <v>203</v>
      </c>
      <c r="B115" s="4" t="s">
        <v>247</v>
      </c>
      <c r="C115" s="9" t="s">
        <v>224</v>
      </c>
      <c r="D115" s="13">
        <v>1</v>
      </c>
      <c r="E115" s="13" t="s">
        <v>677</v>
      </c>
      <c r="F115" s="13">
        <v>1</v>
      </c>
      <c r="G115" s="13">
        <v>1</v>
      </c>
      <c r="H115" s="4">
        <v>21</v>
      </c>
      <c r="I115" s="4">
        <v>25</v>
      </c>
      <c r="J115" s="4" t="s">
        <v>161</v>
      </c>
      <c r="K115" s="4" t="s">
        <v>13</v>
      </c>
      <c r="L115" s="4">
        <v>2018</v>
      </c>
      <c r="M115" s="4">
        <v>1</v>
      </c>
      <c r="N115" s="4">
        <v>0</v>
      </c>
    </row>
    <row r="116" spans="1:14">
      <c r="A116" s="4" t="s">
        <v>203</v>
      </c>
      <c r="B116" s="4" t="s">
        <v>248</v>
      </c>
      <c r="C116" s="10" t="s">
        <v>671</v>
      </c>
      <c r="D116" s="13">
        <v>1</v>
      </c>
      <c r="E116" s="13" t="s">
        <v>679</v>
      </c>
      <c r="F116" s="13">
        <v>1</v>
      </c>
      <c r="G116" s="13">
        <v>1</v>
      </c>
      <c r="H116" s="4">
        <v>22</v>
      </c>
      <c r="I116" s="4">
        <v>25</v>
      </c>
      <c r="J116" s="4" t="s">
        <v>161</v>
      </c>
      <c r="K116" s="4" t="s">
        <v>13</v>
      </c>
      <c r="L116" s="4">
        <v>2018</v>
      </c>
      <c r="M116" s="4">
        <v>1</v>
      </c>
      <c r="N116" s="4">
        <v>0</v>
      </c>
    </row>
    <row r="117" spans="1:14">
      <c r="A117" s="4" t="s">
        <v>203</v>
      </c>
      <c r="B117" s="4" t="s">
        <v>249</v>
      </c>
      <c r="C117" s="9" t="s">
        <v>225</v>
      </c>
      <c r="D117" s="13">
        <v>1</v>
      </c>
      <c r="E117" s="13" t="s">
        <v>677</v>
      </c>
      <c r="F117" s="13">
        <v>0</v>
      </c>
      <c r="G117" s="13">
        <v>0</v>
      </c>
      <c r="H117" s="4">
        <v>23</v>
      </c>
      <c r="I117" s="4">
        <v>25</v>
      </c>
      <c r="J117" s="4" t="s">
        <v>161</v>
      </c>
      <c r="K117" s="4" t="s">
        <v>13</v>
      </c>
      <c r="L117" s="4">
        <v>2018</v>
      </c>
      <c r="M117" s="4">
        <v>1</v>
      </c>
      <c r="N117" s="4">
        <v>0</v>
      </c>
    </row>
    <row r="118" spans="1:14">
      <c r="A118" s="4" t="s">
        <v>203</v>
      </c>
      <c r="B118" s="4" t="s">
        <v>250</v>
      </c>
      <c r="C118" s="10" t="s">
        <v>226</v>
      </c>
      <c r="D118" s="13">
        <v>1</v>
      </c>
      <c r="E118" s="13" t="s">
        <v>679</v>
      </c>
      <c r="F118" s="13">
        <v>1</v>
      </c>
      <c r="G118" s="13">
        <v>1</v>
      </c>
      <c r="H118" s="4">
        <v>24</v>
      </c>
      <c r="I118" s="4">
        <v>25</v>
      </c>
      <c r="J118" s="4" t="s">
        <v>161</v>
      </c>
      <c r="K118" s="4" t="s">
        <v>13</v>
      </c>
      <c r="L118" s="4">
        <v>2018</v>
      </c>
      <c r="M118" s="4">
        <v>1</v>
      </c>
      <c r="N118" s="4">
        <v>0</v>
      </c>
    </row>
    <row r="119" spans="1:14">
      <c r="A119" s="4" t="s">
        <v>203</v>
      </c>
      <c r="B119" s="4" t="s">
        <v>251</v>
      </c>
      <c r="C119" s="9" t="s">
        <v>227</v>
      </c>
      <c r="D119" s="13">
        <v>1</v>
      </c>
      <c r="E119" s="13" t="s">
        <v>679</v>
      </c>
      <c r="F119" s="13">
        <v>1</v>
      </c>
      <c r="G119" s="13">
        <v>2</v>
      </c>
      <c r="H119" s="4">
        <v>25</v>
      </c>
      <c r="I119" s="4">
        <v>25</v>
      </c>
      <c r="J119" s="4" t="s">
        <v>161</v>
      </c>
      <c r="K119" s="4" t="s">
        <v>13</v>
      </c>
      <c r="L119" s="4">
        <v>2018</v>
      </c>
      <c r="M119" s="4">
        <v>1</v>
      </c>
      <c r="N119" s="4">
        <v>0</v>
      </c>
    </row>
    <row r="120" spans="1:14">
      <c r="A120" s="4" t="s">
        <v>252</v>
      </c>
      <c r="B120" s="4" t="s">
        <v>253</v>
      </c>
      <c r="C120" s="9" t="s">
        <v>254</v>
      </c>
      <c r="D120" s="13">
        <v>0</v>
      </c>
      <c r="F120" s="13">
        <v>0</v>
      </c>
      <c r="G120" s="13">
        <v>0</v>
      </c>
      <c r="H120" s="4">
        <v>1</v>
      </c>
      <c r="I120" s="4">
        <v>16</v>
      </c>
      <c r="J120" s="4" t="s">
        <v>161</v>
      </c>
      <c r="K120" s="4" t="s">
        <v>13</v>
      </c>
      <c r="L120" s="4">
        <v>2019</v>
      </c>
      <c r="M120" s="4">
        <v>1</v>
      </c>
      <c r="N120" s="4">
        <v>1</v>
      </c>
    </row>
    <row r="121" spans="1:14">
      <c r="A121" s="4" t="s">
        <v>252</v>
      </c>
      <c r="B121" s="4" t="s">
        <v>268</v>
      </c>
      <c r="C121" s="9" t="s">
        <v>255</v>
      </c>
      <c r="D121" s="13">
        <v>0</v>
      </c>
      <c r="F121" s="13">
        <v>0</v>
      </c>
      <c r="G121" s="13">
        <v>0</v>
      </c>
      <c r="H121" s="4">
        <v>2</v>
      </c>
      <c r="I121" s="4">
        <v>16</v>
      </c>
      <c r="J121" s="4" t="s">
        <v>161</v>
      </c>
      <c r="K121" s="4" t="s">
        <v>13</v>
      </c>
      <c r="L121" s="4">
        <v>2019</v>
      </c>
      <c r="M121" s="4">
        <v>1</v>
      </c>
      <c r="N121" s="4">
        <v>1</v>
      </c>
    </row>
    <row r="122" spans="1:14">
      <c r="A122" s="4" t="s">
        <v>252</v>
      </c>
      <c r="B122" s="4" t="s">
        <v>269</v>
      </c>
      <c r="C122" s="9" t="s">
        <v>681</v>
      </c>
      <c r="D122" s="13">
        <v>0</v>
      </c>
      <c r="F122" s="13">
        <v>0</v>
      </c>
      <c r="G122" s="13">
        <v>0</v>
      </c>
      <c r="H122" s="4">
        <v>3</v>
      </c>
      <c r="I122" s="4">
        <v>16</v>
      </c>
      <c r="J122" s="4" t="s">
        <v>161</v>
      </c>
      <c r="K122" s="4" t="s">
        <v>13</v>
      </c>
      <c r="L122" s="4">
        <v>2019</v>
      </c>
      <c r="M122" s="4">
        <v>1</v>
      </c>
      <c r="N122" s="4">
        <v>1</v>
      </c>
    </row>
    <row r="123" spans="1:14">
      <c r="A123" s="4" t="s">
        <v>252</v>
      </c>
      <c r="B123" s="4" t="s">
        <v>270</v>
      </c>
      <c r="C123" s="9" t="s">
        <v>256</v>
      </c>
      <c r="D123" s="13">
        <v>1</v>
      </c>
      <c r="E123" s="13" t="s">
        <v>679</v>
      </c>
      <c r="F123" s="13">
        <v>1</v>
      </c>
      <c r="G123" s="13">
        <v>2</v>
      </c>
      <c r="H123" s="4">
        <v>4</v>
      </c>
      <c r="I123" s="4">
        <v>16</v>
      </c>
      <c r="J123" s="4" t="s">
        <v>161</v>
      </c>
      <c r="K123" s="4" t="s">
        <v>13</v>
      </c>
      <c r="L123" s="4">
        <v>2019</v>
      </c>
      <c r="M123" s="4">
        <v>1</v>
      </c>
      <c r="N123" s="4">
        <v>1</v>
      </c>
    </row>
    <row r="124" spans="1:14">
      <c r="A124" s="4" t="s">
        <v>252</v>
      </c>
      <c r="B124" s="4" t="s">
        <v>271</v>
      </c>
      <c r="C124" s="9" t="s">
        <v>257</v>
      </c>
      <c r="D124" s="13">
        <v>1</v>
      </c>
      <c r="E124" s="13" t="s">
        <v>679</v>
      </c>
      <c r="F124" s="13">
        <v>0</v>
      </c>
      <c r="G124" s="13">
        <v>0</v>
      </c>
      <c r="H124" s="4">
        <v>5</v>
      </c>
      <c r="I124" s="4">
        <v>16</v>
      </c>
      <c r="J124" s="4" t="s">
        <v>161</v>
      </c>
      <c r="K124" s="4" t="s">
        <v>13</v>
      </c>
      <c r="L124" s="4">
        <v>2019</v>
      </c>
      <c r="M124" s="4">
        <v>1</v>
      </c>
      <c r="N124" s="4">
        <v>1</v>
      </c>
    </row>
    <row r="125" spans="1:14">
      <c r="A125" s="4" t="s">
        <v>252</v>
      </c>
      <c r="B125" s="4" t="s">
        <v>272</v>
      </c>
      <c r="C125" s="9" t="s">
        <v>258</v>
      </c>
      <c r="D125" s="13">
        <v>1</v>
      </c>
      <c r="E125" s="13" t="s">
        <v>677</v>
      </c>
      <c r="F125" s="13">
        <v>0</v>
      </c>
      <c r="G125" s="13">
        <v>0</v>
      </c>
      <c r="H125" s="4">
        <v>6</v>
      </c>
      <c r="I125" s="4">
        <v>16</v>
      </c>
      <c r="J125" s="4" t="s">
        <v>161</v>
      </c>
      <c r="K125" s="4" t="s">
        <v>13</v>
      </c>
      <c r="L125" s="4">
        <v>2019</v>
      </c>
      <c r="M125" s="4">
        <v>1</v>
      </c>
      <c r="N125" s="4">
        <v>1</v>
      </c>
    </row>
    <row r="126" spans="1:14">
      <c r="A126" s="4" t="s">
        <v>252</v>
      </c>
      <c r="B126" s="4" t="s">
        <v>273</v>
      </c>
      <c r="C126" s="9" t="s">
        <v>682</v>
      </c>
      <c r="D126" s="13">
        <v>1</v>
      </c>
      <c r="E126" s="13" t="s">
        <v>677</v>
      </c>
      <c r="F126" s="13">
        <v>1</v>
      </c>
      <c r="G126" s="13">
        <v>1</v>
      </c>
      <c r="H126" s="4">
        <v>7</v>
      </c>
      <c r="I126" s="4">
        <v>16</v>
      </c>
      <c r="J126" s="4" t="s">
        <v>161</v>
      </c>
      <c r="K126" s="4" t="s">
        <v>13</v>
      </c>
      <c r="L126" s="4">
        <v>2019</v>
      </c>
      <c r="M126" s="4">
        <v>1</v>
      </c>
      <c r="N126" s="4">
        <v>1</v>
      </c>
    </row>
    <row r="127" spans="1:14">
      <c r="A127" s="4" t="s">
        <v>252</v>
      </c>
      <c r="B127" s="4" t="s">
        <v>274</v>
      </c>
      <c r="C127" s="9" t="s">
        <v>259</v>
      </c>
      <c r="D127" s="13">
        <v>1</v>
      </c>
      <c r="E127" s="13" t="s">
        <v>677</v>
      </c>
      <c r="F127" s="13">
        <v>0</v>
      </c>
      <c r="G127" s="13">
        <v>0</v>
      </c>
      <c r="H127" s="4">
        <v>8</v>
      </c>
      <c r="I127" s="4">
        <v>16</v>
      </c>
      <c r="J127" s="4" t="s">
        <v>161</v>
      </c>
      <c r="K127" s="4" t="s">
        <v>13</v>
      </c>
      <c r="L127" s="4">
        <v>2019</v>
      </c>
      <c r="M127" s="4">
        <v>1</v>
      </c>
      <c r="N127" s="4">
        <v>1</v>
      </c>
    </row>
    <row r="128" spans="1:14">
      <c r="A128" s="4" t="s">
        <v>252</v>
      </c>
      <c r="B128" s="4" t="s">
        <v>275</v>
      </c>
      <c r="C128" s="9" t="s">
        <v>260</v>
      </c>
      <c r="D128" s="13">
        <v>1</v>
      </c>
      <c r="E128" s="13" t="s">
        <v>677</v>
      </c>
      <c r="F128" s="13">
        <v>1</v>
      </c>
      <c r="G128" s="13">
        <v>1</v>
      </c>
      <c r="H128" s="4">
        <v>9</v>
      </c>
      <c r="I128" s="4">
        <v>16</v>
      </c>
      <c r="J128" s="4" t="s">
        <v>161</v>
      </c>
      <c r="K128" s="4" t="s">
        <v>13</v>
      </c>
      <c r="L128" s="4">
        <v>2019</v>
      </c>
      <c r="M128" s="4">
        <v>1</v>
      </c>
      <c r="N128" s="4">
        <v>1</v>
      </c>
    </row>
    <row r="129" spans="1:14">
      <c r="A129" s="4" t="s">
        <v>252</v>
      </c>
      <c r="B129" s="4" t="s">
        <v>276</v>
      </c>
      <c r="C129" s="9" t="s">
        <v>261</v>
      </c>
      <c r="D129" s="13">
        <v>1</v>
      </c>
      <c r="E129" s="13" t="s">
        <v>677</v>
      </c>
      <c r="F129" s="13">
        <v>1</v>
      </c>
      <c r="G129" s="13">
        <v>1</v>
      </c>
      <c r="H129" s="4">
        <v>10</v>
      </c>
      <c r="I129" s="4">
        <v>16</v>
      </c>
      <c r="J129" s="4" t="s">
        <v>161</v>
      </c>
      <c r="K129" s="4" t="s">
        <v>13</v>
      </c>
      <c r="L129" s="4">
        <v>2019</v>
      </c>
      <c r="M129" s="4">
        <v>1</v>
      </c>
      <c r="N129" s="4">
        <v>1</v>
      </c>
    </row>
    <row r="130" spans="1:14">
      <c r="A130" s="4" t="s">
        <v>252</v>
      </c>
      <c r="B130" s="4" t="s">
        <v>277</v>
      </c>
      <c r="C130" s="9" t="s">
        <v>262</v>
      </c>
      <c r="D130" s="13">
        <v>1</v>
      </c>
      <c r="E130" s="13" t="s">
        <v>679</v>
      </c>
      <c r="F130" s="13">
        <v>1</v>
      </c>
      <c r="G130" s="13">
        <v>1</v>
      </c>
      <c r="H130" s="4">
        <v>11</v>
      </c>
      <c r="I130" s="4">
        <v>16</v>
      </c>
      <c r="J130" s="4" t="s">
        <v>161</v>
      </c>
      <c r="K130" s="4" t="s">
        <v>13</v>
      </c>
      <c r="L130" s="4">
        <v>2019</v>
      </c>
      <c r="M130" s="4">
        <v>1</v>
      </c>
      <c r="N130" s="4">
        <v>1</v>
      </c>
    </row>
    <row r="131" spans="1:14">
      <c r="A131" s="4" t="s">
        <v>252</v>
      </c>
      <c r="B131" s="4" t="s">
        <v>278</v>
      </c>
      <c r="C131" s="9" t="s">
        <v>263</v>
      </c>
      <c r="D131" s="13">
        <v>1</v>
      </c>
      <c r="E131" s="13" t="s">
        <v>677</v>
      </c>
      <c r="F131" s="13">
        <v>1</v>
      </c>
      <c r="G131" s="13">
        <v>1</v>
      </c>
      <c r="H131" s="4">
        <v>12</v>
      </c>
      <c r="I131" s="4">
        <v>16</v>
      </c>
      <c r="J131" s="4" t="s">
        <v>161</v>
      </c>
      <c r="K131" s="4" t="s">
        <v>13</v>
      </c>
      <c r="L131" s="4">
        <v>2019</v>
      </c>
      <c r="M131" s="4">
        <v>1</v>
      </c>
      <c r="N131" s="4">
        <v>1</v>
      </c>
    </row>
    <row r="132" spans="1:14">
      <c r="A132" s="4" t="s">
        <v>252</v>
      </c>
      <c r="B132" s="4" t="s">
        <v>279</v>
      </c>
      <c r="C132" s="9" t="s">
        <v>264</v>
      </c>
      <c r="D132" s="13">
        <v>1</v>
      </c>
      <c r="E132" s="13" t="s">
        <v>679</v>
      </c>
      <c r="F132" s="13">
        <v>1</v>
      </c>
      <c r="G132" s="13">
        <v>2</v>
      </c>
      <c r="H132" s="4">
        <v>13</v>
      </c>
      <c r="I132" s="4">
        <v>16</v>
      </c>
      <c r="J132" s="4" t="s">
        <v>161</v>
      </c>
      <c r="K132" s="4" t="s">
        <v>13</v>
      </c>
      <c r="L132" s="4">
        <v>2019</v>
      </c>
      <c r="M132" s="4">
        <v>1</v>
      </c>
      <c r="N132" s="4">
        <v>1</v>
      </c>
    </row>
    <row r="133" spans="1:14">
      <c r="A133" s="4" t="s">
        <v>252</v>
      </c>
      <c r="B133" s="4" t="s">
        <v>280</v>
      </c>
      <c r="C133" s="9" t="s">
        <v>265</v>
      </c>
      <c r="D133" s="13">
        <v>1</v>
      </c>
      <c r="E133" s="13" t="s">
        <v>677</v>
      </c>
      <c r="F133" s="13">
        <v>1</v>
      </c>
      <c r="G133" s="13">
        <v>1</v>
      </c>
      <c r="H133" s="4">
        <v>14</v>
      </c>
      <c r="I133" s="4">
        <v>16</v>
      </c>
      <c r="J133" s="4" t="s">
        <v>161</v>
      </c>
      <c r="K133" s="4" t="s">
        <v>13</v>
      </c>
      <c r="L133" s="4">
        <v>2019</v>
      </c>
      <c r="M133" s="4">
        <v>1</v>
      </c>
      <c r="N133" s="4">
        <v>1</v>
      </c>
    </row>
    <row r="134" spans="1:14">
      <c r="A134" s="4" t="s">
        <v>252</v>
      </c>
      <c r="B134" s="4" t="s">
        <v>281</v>
      </c>
      <c r="C134" s="9" t="s">
        <v>266</v>
      </c>
      <c r="D134" s="13">
        <v>0</v>
      </c>
      <c r="F134" s="13">
        <v>1</v>
      </c>
      <c r="G134" s="13">
        <v>1</v>
      </c>
      <c r="H134" s="4">
        <v>15</v>
      </c>
      <c r="I134" s="4">
        <v>16</v>
      </c>
      <c r="J134" s="4" t="s">
        <v>161</v>
      </c>
      <c r="K134" s="4" t="s">
        <v>13</v>
      </c>
      <c r="L134" s="4">
        <v>2019</v>
      </c>
      <c r="M134" s="4">
        <v>1</v>
      </c>
      <c r="N134" s="4">
        <v>1</v>
      </c>
    </row>
    <row r="135" spans="1:14">
      <c r="A135" s="4" t="s">
        <v>252</v>
      </c>
      <c r="B135" s="4" t="s">
        <v>282</v>
      </c>
      <c r="C135" s="9" t="s">
        <v>267</v>
      </c>
      <c r="D135" s="13">
        <v>0</v>
      </c>
      <c r="F135" s="13">
        <v>1</v>
      </c>
      <c r="G135" s="13">
        <v>1</v>
      </c>
      <c r="H135" s="4">
        <v>16</v>
      </c>
      <c r="I135" s="4">
        <v>16</v>
      </c>
      <c r="J135" s="4" t="s">
        <v>161</v>
      </c>
      <c r="K135" s="4" t="s">
        <v>13</v>
      </c>
      <c r="L135" s="4">
        <v>2019</v>
      </c>
      <c r="M135" s="4">
        <v>1</v>
      </c>
      <c r="N135" s="4">
        <v>1</v>
      </c>
    </row>
    <row r="136" spans="1:14">
      <c r="A136" s="4" t="s">
        <v>283</v>
      </c>
      <c r="B136" s="4" t="s">
        <v>284</v>
      </c>
      <c r="C136" s="9" t="s">
        <v>680</v>
      </c>
      <c r="D136" s="13">
        <v>0</v>
      </c>
      <c r="F136" s="13">
        <v>0</v>
      </c>
      <c r="G136" s="13">
        <v>0</v>
      </c>
      <c r="H136" s="4">
        <v>1</v>
      </c>
      <c r="I136" s="4">
        <v>17</v>
      </c>
      <c r="J136" s="4" t="s">
        <v>161</v>
      </c>
      <c r="K136" s="4" t="s">
        <v>13</v>
      </c>
      <c r="L136" s="4">
        <v>2020</v>
      </c>
      <c r="M136" s="4">
        <v>1</v>
      </c>
      <c r="N136" s="4">
        <v>1</v>
      </c>
    </row>
    <row r="137" spans="1:14">
      <c r="A137" s="4" t="s">
        <v>283</v>
      </c>
      <c r="B137" s="4" t="s">
        <v>302</v>
      </c>
      <c r="C137" s="11" t="s">
        <v>289</v>
      </c>
      <c r="D137" s="13">
        <v>1</v>
      </c>
      <c r="E137" s="13" t="s">
        <v>679</v>
      </c>
      <c r="F137" s="13">
        <v>1</v>
      </c>
      <c r="G137" s="13">
        <v>1</v>
      </c>
      <c r="H137" s="4">
        <v>2</v>
      </c>
      <c r="I137" s="4">
        <v>17</v>
      </c>
      <c r="J137" s="4" t="s">
        <v>161</v>
      </c>
      <c r="K137" s="4" t="s">
        <v>13</v>
      </c>
      <c r="L137" s="4">
        <v>2020</v>
      </c>
      <c r="M137" s="4">
        <v>1</v>
      </c>
      <c r="N137" s="4">
        <v>1</v>
      </c>
    </row>
    <row r="138" spans="1:14">
      <c r="A138" s="4" t="s">
        <v>283</v>
      </c>
      <c r="B138" s="4" t="s">
        <v>303</v>
      </c>
      <c r="C138" s="9" t="s">
        <v>290</v>
      </c>
      <c r="D138" s="13">
        <v>1</v>
      </c>
      <c r="E138" s="13" t="s">
        <v>679</v>
      </c>
      <c r="F138" s="13">
        <v>0</v>
      </c>
      <c r="G138" s="13">
        <v>0</v>
      </c>
      <c r="H138" s="4">
        <v>3</v>
      </c>
      <c r="I138" s="4">
        <v>17</v>
      </c>
      <c r="J138" s="4" t="s">
        <v>161</v>
      </c>
      <c r="K138" s="4" t="s">
        <v>13</v>
      </c>
      <c r="L138" s="4">
        <v>2020</v>
      </c>
      <c r="M138" s="4">
        <v>1</v>
      </c>
      <c r="N138" s="4">
        <v>1</v>
      </c>
    </row>
    <row r="139" spans="1:14">
      <c r="A139" s="4" t="s">
        <v>283</v>
      </c>
      <c r="B139" s="4" t="s">
        <v>304</v>
      </c>
      <c r="C139" s="11" t="s">
        <v>291</v>
      </c>
      <c r="D139" s="13">
        <v>1</v>
      </c>
      <c r="E139" s="13" t="s">
        <v>677</v>
      </c>
      <c r="F139" s="13">
        <v>0</v>
      </c>
      <c r="G139" s="13">
        <v>0</v>
      </c>
      <c r="H139" s="4">
        <v>4</v>
      </c>
      <c r="I139" s="4">
        <v>17</v>
      </c>
      <c r="J139" s="4" t="s">
        <v>161</v>
      </c>
      <c r="K139" s="4" t="s">
        <v>13</v>
      </c>
      <c r="L139" s="4">
        <v>2020</v>
      </c>
      <c r="M139" s="4">
        <v>1</v>
      </c>
      <c r="N139" s="4">
        <v>1</v>
      </c>
    </row>
    <row r="140" spans="1:14">
      <c r="A140" s="4" t="s">
        <v>283</v>
      </c>
      <c r="B140" s="4" t="s">
        <v>305</v>
      </c>
      <c r="C140" s="11" t="s">
        <v>683</v>
      </c>
      <c r="D140" s="13">
        <v>1</v>
      </c>
      <c r="E140" s="13" t="s">
        <v>677</v>
      </c>
      <c r="F140" s="13">
        <v>1</v>
      </c>
      <c r="G140" s="13">
        <v>1</v>
      </c>
      <c r="H140" s="4">
        <v>5</v>
      </c>
      <c r="I140" s="4">
        <v>17</v>
      </c>
      <c r="J140" s="4" t="s">
        <v>161</v>
      </c>
      <c r="K140" s="4" t="s">
        <v>13</v>
      </c>
      <c r="L140" s="4">
        <v>2020</v>
      </c>
      <c r="M140" s="4">
        <v>1</v>
      </c>
      <c r="N140" s="4">
        <v>1</v>
      </c>
    </row>
    <row r="141" spans="1:14">
      <c r="A141" s="4" t="s">
        <v>283</v>
      </c>
      <c r="B141" s="4" t="s">
        <v>306</v>
      </c>
      <c r="C141" s="11" t="s">
        <v>292</v>
      </c>
      <c r="D141" s="13">
        <v>1</v>
      </c>
      <c r="E141" s="13" t="s">
        <v>677</v>
      </c>
      <c r="F141" s="13">
        <v>1</v>
      </c>
      <c r="G141" s="13">
        <v>1</v>
      </c>
      <c r="H141" s="4">
        <v>6</v>
      </c>
      <c r="I141" s="4">
        <v>17</v>
      </c>
      <c r="J141" s="4" t="s">
        <v>161</v>
      </c>
      <c r="K141" s="4" t="s">
        <v>13</v>
      </c>
      <c r="L141" s="4">
        <v>2020</v>
      </c>
      <c r="M141" s="4">
        <v>1</v>
      </c>
      <c r="N141" s="4">
        <v>1</v>
      </c>
    </row>
    <row r="142" spans="1:14">
      <c r="A142" s="4" t="s">
        <v>283</v>
      </c>
      <c r="B142" s="4" t="s">
        <v>307</v>
      </c>
      <c r="C142" s="11" t="s">
        <v>293</v>
      </c>
      <c r="D142" s="13">
        <v>1</v>
      </c>
      <c r="E142" s="13" t="s">
        <v>677</v>
      </c>
      <c r="F142" s="13">
        <v>0</v>
      </c>
      <c r="G142" s="13">
        <v>0</v>
      </c>
      <c r="H142" s="4">
        <v>7</v>
      </c>
      <c r="I142" s="4">
        <v>17</v>
      </c>
      <c r="J142" s="4" t="s">
        <v>161</v>
      </c>
      <c r="K142" s="4" t="s">
        <v>13</v>
      </c>
      <c r="L142" s="4">
        <v>2020</v>
      </c>
      <c r="M142" s="4">
        <v>1</v>
      </c>
      <c r="N142" s="4">
        <v>1</v>
      </c>
    </row>
    <row r="143" spans="1:14">
      <c r="A143" s="4" t="s">
        <v>283</v>
      </c>
      <c r="B143" s="4" t="s">
        <v>308</v>
      </c>
      <c r="C143" s="9" t="s">
        <v>294</v>
      </c>
      <c r="D143" s="13">
        <v>1</v>
      </c>
      <c r="E143" s="13" t="s">
        <v>677</v>
      </c>
      <c r="F143" s="13">
        <v>0</v>
      </c>
      <c r="G143" s="13">
        <v>0</v>
      </c>
      <c r="H143" s="4">
        <v>8</v>
      </c>
      <c r="I143" s="4">
        <v>17</v>
      </c>
      <c r="J143" s="4" t="s">
        <v>161</v>
      </c>
      <c r="K143" s="4" t="s">
        <v>13</v>
      </c>
      <c r="L143" s="4">
        <v>2020</v>
      </c>
      <c r="M143" s="4">
        <v>1</v>
      </c>
      <c r="N143" s="4">
        <v>1</v>
      </c>
    </row>
    <row r="144" spans="1:14">
      <c r="A144" s="4" t="s">
        <v>283</v>
      </c>
      <c r="B144" s="4" t="s">
        <v>309</v>
      </c>
      <c r="C144" s="11" t="s">
        <v>295</v>
      </c>
      <c r="D144" s="13">
        <v>1</v>
      </c>
      <c r="E144" s="13" t="s">
        <v>677</v>
      </c>
      <c r="F144" s="13">
        <v>1</v>
      </c>
      <c r="G144" s="13">
        <v>1</v>
      </c>
      <c r="H144" s="4">
        <v>9</v>
      </c>
      <c r="I144" s="4">
        <v>17</v>
      </c>
      <c r="J144" s="4" t="s">
        <v>161</v>
      </c>
      <c r="K144" s="4" t="s">
        <v>13</v>
      </c>
      <c r="L144" s="4">
        <v>2020</v>
      </c>
      <c r="M144" s="4">
        <v>1</v>
      </c>
      <c r="N144" s="4">
        <v>1</v>
      </c>
    </row>
    <row r="145" spans="1:14">
      <c r="A145" s="4" t="s">
        <v>283</v>
      </c>
      <c r="B145" s="4" t="s">
        <v>310</v>
      </c>
      <c r="C145" s="11" t="s">
        <v>296</v>
      </c>
      <c r="D145" s="13">
        <v>1</v>
      </c>
      <c r="E145" s="13" t="s">
        <v>677</v>
      </c>
      <c r="F145" s="13">
        <v>0</v>
      </c>
      <c r="G145" s="13">
        <v>0</v>
      </c>
      <c r="H145" s="4">
        <v>10</v>
      </c>
      <c r="I145" s="4">
        <v>17</v>
      </c>
      <c r="J145" s="4" t="s">
        <v>161</v>
      </c>
      <c r="K145" s="4" t="s">
        <v>13</v>
      </c>
      <c r="L145" s="4">
        <v>2020</v>
      </c>
      <c r="M145" s="4">
        <v>1</v>
      </c>
      <c r="N145" s="4">
        <v>1</v>
      </c>
    </row>
    <row r="146" spans="1:14">
      <c r="A146" s="4" t="s">
        <v>283</v>
      </c>
      <c r="B146" s="4" t="s">
        <v>311</v>
      </c>
      <c r="C146" s="11" t="s">
        <v>224</v>
      </c>
      <c r="D146" s="13">
        <v>1</v>
      </c>
      <c r="E146" s="13" t="s">
        <v>677</v>
      </c>
      <c r="F146" s="13">
        <v>1</v>
      </c>
      <c r="G146" s="13">
        <v>1</v>
      </c>
      <c r="H146" s="4">
        <v>11</v>
      </c>
      <c r="I146" s="4">
        <v>17</v>
      </c>
      <c r="J146" s="4" t="s">
        <v>161</v>
      </c>
      <c r="K146" s="4" t="s">
        <v>13</v>
      </c>
      <c r="L146" s="4">
        <v>2020</v>
      </c>
      <c r="M146" s="4">
        <v>1</v>
      </c>
      <c r="N146" s="4">
        <v>1</v>
      </c>
    </row>
    <row r="147" spans="1:14">
      <c r="A147" s="4" t="s">
        <v>283</v>
      </c>
      <c r="B147" s="4" t="s">
        <v>312</v>
      </c>
      <c r="C147" s="11" t="s">
        <v>297</v>
      </c>
      <c r="D147" s="13">
        <v>1</v>
      </c>
      <c r="E147" s="13" t="s">
        <v>679</v>
      </c>
      <c r="F147" s="13">
        <v>1</v>
      </c>
      <c r="G147" s="13">
        <v>1</v>
      </c>
      <c r="H147" s="4">
        <v>12</v>
      </c>
      <c r="I147" s="4">
        <v>17</v>
      </c>
      <c r="J147" s="4" t="s">
        <v>161</v>
      </c>
      <c r="K147" s="4" t="s">
        <v>13</v>
      </c>
      <c r="L147" s="4">
        <v>2020</v>
      </c>
      <c r="M147" s="4">
        <v>1</v>
      </c>
      <c r="N147" s="4">
        <v>1</v>
      </c>
    </row>
    <row r="148" spans="1:14">
      <c r="A148" s="4" t="s">
        <v>283</v>
      </c>
      <c r="B148" s="4" t="s">
        <v>313</v>
      </c>
      <c r="C148" s="11" t="s">
        <v>298</v>
      </c>
      <c r="D148" s="13">
        <v>1</v>
      </c>
      <c r="E148" s="13" t="s">
        <v>679</v>
      </c>
      <c r="F148" s="13">
        <v>1</v>
      </c>
      <c r="G148" s="13">
        <v>1</v>
      </c>
      <c r="H148" s="4">
        <v>13</v>
      </c>
      <c r="I148" s="4">
        <v>17</v>
      </c>
      <c r="J148" s="4" t="s">
        <v>161</v>
      </c>
      <c r="K148" s="4" t="s">
        <v>13</v>
      </c>
      <c r="L148" s="4">
        <v>2020</v>
      </c>
      <c r="M148" s="4">
        <v>1</v>
      </c>
      <c r="N148" s="4">
        <v>1</v>
      </c>
    </row>
    <row r="149" spans="1:14">
      <c r="A149" s="4" t="s">
        <v>283</v>
      </c>
      <c r="B149" s="4" t="s">
        <v>314</v>
      </c>
      <c r="C149" s="11" t="s">
        <v>227</v>
      </c>
      <c r="D149" s="13">
        <v>1</v>
      </c>
      <c r="E149" s="13" t="s">
        <v>679</v>
      </c>
      <c r="F149" s="13">
        <v>1</v>
      </c>
      <c r="G149" s="13">
        <v>2</v>
      </c>
      <c r="H149" s="4">
        <v>14</v>
      </c>
      <c r="I149" s="4">
        <v>17</v>
      </c>
      <c r="J149" s="4" t="s">
        <v>161</v>
      </c>
      <c r="K149" s="4" t="s">
        <v>13</v>
      </c>
      <c r="L149" s="4">
        <v>2020</v>
      </c>
      <c r="M149" s="4">
        <v>1</v>
      </c>
      <c r="N149" s="4">
        <v>1</v>
      </c>
    </row>
    <row r="150" spans="1:14">
      <c r="A150" s="4" t="s">
        <v>283</v>
      </c>
      <c r="B150" s="4" t="s">
        <v>315</v>
      </c>
      <c r="C150" s="11" t="s">
        <v>299</v>
      </c>
      <c r="D150" s="13">
        <v>1</v>
      </c>
      <c r="E150" s="13" t="s">
        <v>677</v>
      </c>
      <c r="F150" s="13">
        <v>1</v>
      </c>
      <c r="G150" s="13">
        <v>1</v>
      </c>
      <c r="H150" s="4">
        <v>15</v>
      </c>
      <c r="I150" s="4">
        <v>17</v>
      </c>
      <c r="J150" s="4" t="s">
        <v>161</v>
      </c>
      <c r="K150" s="4" t="s">
        <v>13</v>
      </c>
      <c r="L150" s="4">
        <v>2020</v>
      </c>
      <c r="M150" s="4">
        <v>1</v>
      </c>
      <c r="N150" s="4">
        <v>1</v>
      </c>
    </row>
    <row r="151" spans="1:14">
      <c r="A151" s="4" t="s">
        <v>283</v>
      </c>
      <c r="B151" s="4" t="s">
        <v>316</v>
      </c>
      <c r="C151" s="11" t="s">
        <v>300</v>
      </c>
      <c r="D151" s="13">
        <v>0</v>
      </c>
      <c r="F151" s="13">
        <v>1</v>
      </c>
      <c r="G151" s="13">
        <v>1</v>
      </c>
      <c r="H151" s="4">
        <v>16</v>
      </c>
      <c r="I151" s="4">
        <v>17</v>
      </c>
      <c r="J151" s="4" t="s">
        <v>161</v>
      </c>
      <c r="K151" s="4" t="s">
        <v>13</v>
      </c>
      <c r="L151" s="4">
        <v>2020</v>
      </c>
      <c r="M151" s="4">
        <v>1</v>
      </c>
      <c r="N151" s="4">
        <v>1</v>
      </c>
    </row>
    <row r="152" spans="1:14">
      <c r="A152" s="4" t="s">
        <v>283</v>
      </c>
      <c r="B152" s="4" t="s">
        <v>317</v>
      </c>
      <c r="C152" s="11" t="s">
        <v>301</v>
      </c>
      <c r="D152" s="13">
        <v>0</v>
      </c>
      <c r="F152" s="13">
        <v>1</v>
      </c>
      <c r="G152" s="13">
        <v>1</v>
      </c>
      <c r="H152" s="4">
        <v>17</v>
      </c>
      <c r="I152" s="4">
        <v>17</v>
      </c>
      <c r="J152" s="4" t="s">
        <v>161</v>
      </c>
      <c r="K152" s="4" t="s">
        <v>13</v>
      </c>
      <c r="L152" s="4">
        <v>2020</v>
      </c>
      <c r="M152" s="4">
        <v>1</v>
      </c>
      <c r="N152" s="4">
        <v>1</v>
      </c>
    </row>
    <row r="153" spans="1:14">
      <c r="A153" s="4" t="s">
        <v>320</v>
      </c>
      <c r="B153" s="4" t="s">
        <v>321</v>
      </c>
      <c r="C153" s="11" t="s">
        <v>322</v>
      </c>
      <c r="D153" s="13">
        <v>0</v>
      </c>
      <c r="F153" s="13">
        <v>0</v>
      </c>
      <c r="G153" s="13">
        <v>0</v>
      </c>
      <c r="H153" s="4">
        <v>1</v>
      </c>
      <c r="I153" s="4">
        <v>22</v>
      </c>
      <c r="J153" s="4" t="s">
        <v>161</v>
      </c>
      <c r="K153" s="4" t="s">
        <v>13</v>
      </c>
      <c r="L153" s="4">
        <v>2021</v>
      </c>
      <c r="M153" s="4">
        <v>1</v>
      </c>
      <c r="N153" s="4">
        <v>1</v>
      </c>
    </row>
    <row r="154" spans="1:14">
      <c r="A154" s="4" t="s">
        <v>320</v>
      </c>
      <c r="B154" s="4" t="s">
        <v>343</v>
      </c>
      <c r="C154" s="11" t="s">
        <v>323</v>
      </c>
      <c r="D154" s="13">
        <v>0</v>
      </c>
      <c r="F154" s="13">
        <v>0</v>
      </c>
      <c r="G154" s="13">
        <v>0</v>
      </c>
      <c r="H154" s="4">
        <v>2</v>
      </c>
      <c r="I154" s="4">
        <v>22</v>
      </c>
      <c r="J154" s="4" t="s">
        <v>161</v>
      </c>
      <c r="K154" s="4" t="s">
        <v>13</v>
      </c>
      <c r="L154" s="4">
        <v>2021</v>
      </c>
      <c r="M154" s="4">
        <v>1</v>
      </c>
      <c r="N154" s="4">
        <v>1</v>
      </c>
    </row>
    <row r="155" spans="1:14">
      <c r="A155" s="4" t="s">
        <v>320</v>
      </c>
      <c r="B155" s="4" t="s">
        <v>344</v>
      </c>
      <c r="C155" s="11" t="s">
        <v>324</v>
      </c>
      <c r="D155" s="13">
        <v>0</v>
      </c>
      <c r="F155" s="13">
        <v>0</v>
      </c>
      <c r="G155" s="13">
        <v>0</v>
      </c>
      <c r="H155" s="4">
        <v>3</v>
      </c>
      <c r="I155" s="4">
        <v>22</v>
      </c>
      <c r="J155" s="4" t="s">
        <v>161</v>
      </c>
      <c r="K155" s="4" t="s">
        <v>13</v>
      </c>
      <c r="L155" s="4">
        <v>2021</v>
      </c>
      <c r="M155" s="4">
        <v>1</v>
      </c>
      <c r="N155" s="4">
        <v>1</v>
      </c>
    </row>
    <row r="156" spans="1:14">
      <c r="A156" s="4" t="s">
        <v>320</v>
      </c>
      <c r="B156" s="4" t="s">
        <v>345</v>
      </c>
      <c r="C156" s="11" t="s">
        <v>325</v>
      </c>
      <c r="D156" s="13">
        <v>0</v>
      </c>
      <c r="F156" s="13">
        <v>0</v>
      </c>
      <c r="G156" s="13">
        <v>0</v>
      </c>
      <c r="H156" s="4">
        <v>4</v>
      </c>
      <c r="I156" s="4">
        <v>22</v>
      </c>
      <c r="J156" s="4" t="s">
        <v>161</v>
      </c>
      <c r="K156" s="4" t="s">
        <v>13</v>
      </c>
      <c r="L156" s="4">
        <v>2021</v>
      </c>
      <c r="M156" s="4">
        <v>1</v>
      </c>
      <c r="N156" s="4">
        <v>1</v>
      </c>
    </row>
    <row r="157" spans="1:14">
      <c r="A157" s="4" t="s">
        <v>320</v>
      </c>
      <c r="B157" s="4" t="s">
        <v>346</v>
      </c>
      <c r="C157" s="11" t="s">
        <v>326</v>
      </c>
      <c r="D157" s="13">
        <v>0</v>
      </c>
      <c r="F157" s="13">
        <v>0</v>
      </c>
      <c r="G157" s="13">
        <v>0</v>
      </c>
      <c r="H157" s="4">
        <v>5</v>
      </c>
      <c r="I157" s="4">
        <v>22</v>
      </c>
      <c r="J157" s="4" t="s">
        <v>161</v>
      </c>
      <c r="K157" s="4" t="s">
        <v>13</v>
      </c>
      <c r="L157" s="4">
        <v>2021</v>
      </c>
      <c r="M157" s="4">
        <v>1</v>
      </c>
      <c r="N157" s="4">
        <v>1</v>
      </c>
    </row>
    <row r="158" spans="1:14">
      <c r="A158" s="4" t="s">
        <v>320</v>
      </c>
      <c r="B158" s="4" t="s">
        <v>347</v>
      </c>
      <c r="C158" s="11" t="s">
        <v>327</v>
      </c>
      <c r="D158" s="13">
        <v>1</v>
      </c>
      <c r="E158" s="13" t="s">
        <v>677</v>
      </c>
      <c r="F158" s="13">
        <v>1</v>
      </c>
      <c r="G158" s="13">
        <v>1</v>
      </c>
      <c r="H158" s="4">
        <v>6</v>
      </c>
      <c r="I158" s="4">
        <v>22</v>
      </c>
      <c r="J158" s="4" t="s">
        <v>161</v>
      </c>
      <c r="K158" s="4" t="s">
        <v>13</v>
      </c>
      <c r="L158" s="4">
        <v>2021</v>
      </c>
      <c r="M158" s="4">
        <v>1</v>
      </c>
      <c r="N158" s="4">
        <v>1</v>
      </c>
    </row>
    <row r="159" spans="1:14">
      <c r="A159" s="4" t="s">
        <v>320</v>
      </c>
      <c r="B159" s="4" t="s">
        <v>348</v>
      </c>
      <c r="C159" s="11" t="s">
        <v>328</v>
      </c>
      <c r="D159" s="13">
        <v>1</v>
      </c>
      <c r="E159" s="13" t="s">
        <v>677</v>
      </c>
      <c r="F159" s="13">
        <v>0</v>
      </c>
      <c r="G159" s="13">
        <v>0</v>
      </c>
      <c r="H159" s="4">
        <v>7</v>
      </c>
      <c r="I159" s="4">
        <v>22</v>
      </c>
      <c r="J159" s="4" t="s">
        <v>161</v>
      </c>
      <c r="K159" s="4" t="s">
        <v>13</v>
      </c>
      <c r="L159" s="4">
        <v>2021</v>
      </c>
      <c r="M159" s="4">
        <v>1</v>
      </c>
      <c r="N159" s="4">
        <v>1</v>
      </c>
    </row>
    <row r="160" spans="1:14">
      <c r="A160" s="4" t="s">
        <v>320</v>
      </c>
      <c r="B160" s="4" t="s">
        <v>349</v>
      </c>
      <c r="C160" s="11" t="s">
        <v>329</v>
      </c>
      <c r="D160" s="13">
        <v>1</v>
      </c>
      <c r="E160" s="13" t="s">
        <v>677</v>
      </c>
      <c r="F160" s="13">
        <v>1</v>
      </c>
      <c r="G160" s="13">
        <v>1</v>
      </c>
      <c r="H160" s="4">
        <v>8</v>
      </c>
      <c r="I160" s="4">
        <v>22</v>
      </c>
      <c r="J160" s="4" t="s">
        <v>161</v>
      </c>
      <c r="K160" s="4" t="s">
        <v>13</v>
      </c>
      <c r="L160" s="4">
        <v>2021</v>
      </c>
      <c r="M160" s="4">
        <v>1</v>
      </c>
      <c r="N160" s="4">
        <v>1</v>
      </c>
    </row>
    <row r="161" spans="1:14">
      <c r="A161" s="4" t="s">
        <v>320</v>
      </c>
      <c r="B161" s="4" t="s">
        <v>350</v>
      </c>
      <c r="C161" s="11" t="s">
        <v>330</v>
      </c>
      <c r="D161" s="13">
        <v>1</v>
      </c>
      <c r="E161" s="13" t="s">
        <v>677</v>
      </c>
      <c r="F161" s="13">
        <v>1</v>
      </c>
      <c r="G161" s="13">
        <v>1</v>
      </c>
      <c r="H161" s="4">
        <v>9</v>
      </c>
      <c r="I161" s="4">
        <v>22</v>
      </c>
      <c r="J161" s="4" t="s">
        <v>161</v>
      </c>
      <c r="K161" s="4" t="s">
        <v>13</v>
      </c>
      <c r="L161" s="4">
        <v>2021</v>
      </c>
      <c r="M161" s="4">
        <v>1</v>
      </c>
      <c r="N161" s="4">
        <v>1</v>
      </c>
    </row>
    <row r="162" spans="1:14">
      <c r="A162" s="4" t="s">
        <v>320</v>
      </c>
      <c r="B162" s="4" t="s">
        <v>351</v>
      </c>
      <c r="C162" s="11" t="s">
        <v>331</v>
      </c>
      <c r="D162" s="13">
        <v>1</v>
      </c>
      <c r="E162" s="13" t="s">
        <v>677</v>
      </c>
      <c r="F162" s="13">
        <v>0</v>
      </c>
      <c r="G162" s="13">
        <v>0</v>
      </c>
      <c r="H162" s="4">
        <v>10</v>
      </c>
      <c r="I162" s="4">
        <v>22</v>
      </c>
      <c r="J162" s="4" t="s">
        <v>161</v>
      </c>
      <c r="K162" s="4" t="s">
        <v>13</v>
      </c>
      <c r="L162" s="4">
        <v>2021</v>
      </c>
      <c r="M162" s="4">
        <v>1</v>
      </c>
      <c r="N162" s="4">
        <v>1</v>
      </c>
    </row>
    <row r="163" spans="1:14">
      <c r="A163" s="4" t="s">
        <v>320</v>
      </c>
      <c r="B163" s="4" t="s">
        <v>352</v>
      </c>
      <c r="C163" s="11" t="s">
        <v>332</v>
      </c>
      <c r="D163" s="13">
        <v>1</v>
      </c>
      <c r="E163" s="13" t="s">
        <v>677</v>
      </c>
      <c r="F163" s="13">
        <v>0</v>
      </c>
      <c r="G163" s="13">
        <v>0</v>
      </c>
      <c r="H163" s="4">
        <v>11</v>
      </c>
      <c r="I163" s="4">
        <v>22</v>
      </c>
      <c r="J163" s="4" t="s">
        <v>161</v>
      </c>
      <c r="K163" s="4" t="s">
        <v>13</v>
      </c>
      <c r="L163" s="4">
        <v>2021</v>
      </c>
      <c r="M163" s="4">
        <v>1</v>
      </c>
      <c r="N163" s="4">
        <v>1</v>
      </c>
    </row>
    <row r="164" spans="1:14">
      <c r="A164" s="4" t="s">
        <v>320</v>
      </c>
      <c r="B164" s="4" t="s">
        <v>353</v>
      </c>
      <c r="C164" s="11" t="s">
        <v>333</v>
      </c>
      <c r="D164" s="13">
        <v>1</v>
      </c>
      <c r="E164" s="13" t="s">
        <v>677</v>
      </c>
      <c r="F164" s="13">
        <v>1</v>
      </c>
      <c r="G164" s="13">
        <v>1</v>
      </c>
      <c r="H164" s="4">
        <v>12</v>
      </c>
      <c r="I164" s="4">
        <v>22</v>
      </c>
      <c r="J164" s="4" t="s">
        <v>161</v>
      </c>
      <c r="K164" s="4" t="s">
        <v>13</v>
      </c>
      <c r="L164" s="4">
        <v>2021</v>
      </c>
      <c r="M164" s="4">
        <v>1</v>
      </c>
      <c r="N164" s="4">
        <v>1</v>
      </c>
    </row>
    <row r="165" spans="1:14">
      <c r="A165" s="4" t="s">
        <v>320</v>
      </c>
      <c r="B165" s="4" t="s">
        <v>354</v>
      </c>
      <c r="C165" s="11" t="s">
        <v>334</v>
      </c>
      <c r="D165" s="13">
        <v>1</v>
      </c>
      <c r="E165" s="13" t="s">
        <v>675</v>
      </c>
      <c r="F165" s="13">
        <v>1</v>
      </c>
      <c r="G165" s="13">
        <v>2</v>
      </c>
      <c r="H165" s="4">
        <v>13</v>
      </c>
      <c r="I165" s="4">
        <v>22</v>
      </c>
      <c r="J165" s="4" t="s">
        <v>161</v>
      </c>
      <c r="K165" s="4" t="s">
        <v>13</v>
      </c>
      <c r="L165" s="4">
        <v>2021</v>
      </c>
      <c r="M165" s="4">
        <v>1</v>
      </c>
      <c r="N165" s="4">
        <v>1</v>
      </c>
    </row>
    <row r="166" spans="1:14">
      <c r="A166" s="4" t="s">
        <v>320</v>
      </c>
      <c r="B166" s="4" t="s">
        <v>355</v>
      </c>
      <c r="C166" s="9" t="s">
        <v>335</v>
      </c>
      <c r="D166" s="13">
        <v>1</v>
      </c>
      <c r="E166" s="13" t="s">
        <v>677</v>
      </c>
      <c r="F166" s="13">
        <v>0</v>
      </c>
      <c r="G166" s="13">
        <v>0</v>
      </c>
      <c r="H166" s="4">
        <v>14</v>
      </c>
      <c r="I166" s="4">
        <v>22</v>
      </c>
      <c r="J166" s="4" t="s">
        <v>161</v>
      </c>
      <c r="K166" s="4" t="s">
        <v>13</v>
      </c>
      <c r="L166" s="4">
        <v>2021</v>
      </c>
      <c r="M166" s="4">
        <v>1</v>
      </c>
      <c r="N166" s="4">
        <v>1</v>
      </c>
    </row>
    <row r="167" spans="1:14">
      <c r="A167" s="4" t="s">
        <v>320</v>
      </c>
      <c r="B167" s="4" t="s">
        <v>356</v>
      </c>
      <c r="C167" s="9" t="s">
        <v>336</v>
      </c>
      <c r="D167" s="13">
        <v>1</v>
      </c>
      <c r="E167" s="13" t="s">
        <v>677</v>
      </c>
      <c r="F167" s="13">
        <v>1</v>
      </c>
      <c r="G167" s="13">
        <v>1</v>
      </c>
      <c r="H167" s="4">
        <v>15</v>
      </c>
      <c r="I167" s="4">
        <v>22</v>
      </c>
      <c r="J167" s="4" t="s">
        <v>161</v>
      </c>
      <c r="K167" s="4" t="s">
        <v>13</v>
      </c>
      <c r="L167" s="4">
        <v>2021</v>
      </c>
      <c r="M167" s="4">
        <v>1</v>
      </c>
      <c r="N167" s="4">
        <v>1</v>
      </c>
    </row>
    <row r="168" spans="1:14">
      <c r="A168" s="4" t="s">
        <v>320</v>
      </c>
      <c r="B168" s="4" t="s">
        <v>357</v>
      </c>
      <c r="C168" s="9" t="s">
        <v>337</v>
      </c>
      <c r="D168" s="13">
        <v>1</v>
      </c>
      <c r="E168" s="13" t="s">
        <v>679</v>
      </c>
      <c r="F168" s="13">
        <v>1</v>
      </c>
      <c r="G168" s="13">
        <v>2</v>
      </c>
      <c r="H168" s="4">
        <v>16</v>
      </c>
      <c r="I168" s="4">
        <v>22</v>
      </c>
      <c r="J168" s="4" t="s">
        <v>161</v>
      </c>
      <c r="K168" s="4" t="s">
        <v>13</v>
      </c>
      <c r="L168" s="4">
        <v>2021</v>
      </c>
      <c r="M168" s="4">
        <v>1</v>
      </c>
      <c r="N168" s="4">
        <v>1</v>
      </c>
    </row>
    <row r="169" spans="1:14">
      <c r="A169" s="4" t="s">
        <v>320</v>
      </c>
      <c r="B169" s="4" t="s">
        <v>358</v>
      </c>
      <c r="C169" s="9" t="s">
        <v>338</v>
      </c>
      <c r="D169" s="13">
        <v>1</v>
      </c>
      <c r="E169" s="13" t="s">
        <v>677</v>
      </c>
      <c r="F169" s="13">
        <v>0</v>
      </c>
      <c r="G169" s="13">
        <v>0</v>
      </c>
      <c r="H169" s="4">
        <v>17</v>
      </c>
      <c r="I169" s="4">
        <v>22</v>
      </c>
      <c r="J169" s="4" t="s">
        <v>161</v>
      </c>
      <c r="K169" s="4" t="s">
        <v>13</v>
      </c>
      <c r="L169" s="4">
        <v>2021</v>
      </c>
      <c r="M169" s="4">
        <v>1</v>
      </c>
      <c r="N169" s="4">
        <v>1</v>
      </c>
    </row>
    <row r="170" spans="1:14">
      <c r="A170" s="4" t="s">
        <v>320</v>
      </c>
      <c r="B170" s="4" t="s">
        <v>359</v>
      </c>
      <c r="C170" s="9" t="s">
        <v>339</v>
      </c>
      <c r="D170" s="13">
        <v>1</v>
      </c>
      <c r="E170" s="13" t="s">
        <v>679</v>
      </c>
      <c r="F170" s="13">
        <v>1</v>
      </c>
      <c r="G170" s="13">
        <v>1</v>
      </c>
      <c r="H170" s="4">
        <v>18</v>
      </c>
      <c r="I170" s="4">
        <v>22</v>
      </c>
      <c r="J170" s="4" t="s">
        <v>161</v>
      </c>
      <c r="K170" s="4" t="s">
        <v>13</v>
      </c>
      <c r="L170" s="4">
        <v>2021</v>
      </c>
      <c r="M170" s="4">
        <v>1</v>
      </c>
      <c r="N170" s="4">
        <v>1</v>
      </c>
    </row>
    <row r="171" spans="1:14">
      <c r="A171" s="4" t="s">
        <v>320</v>
      </c>
      <c r="B171" s="4" t="s">
        <v>360</v>
      </c>
      <c r="C171" s="9" t="s">
        <v>340</v>
      </c>
      <c r="D171" s="13">
        <v>1</v>
      </c>
      <c r="E171" s="13" t="s">
        <v>679</v>
      </c>
      <c r="F171" s="13">
        <v>1</v>
      </c>
      <c r="G171" s="13">
        <v>2</v>
      </c>
      <c r="H171" s="4">
        <v>19</v>
      </c>
      <c r="I171" s="4">
        <v>22</v>
      </c>
      <c r="J171" s="4" t="s">
        <v>161</v>
      </c>
      <c r="K171" s="4" t="s">
        <v>13</v>
      </c>
      <c r="L171" s="4">
        <v>2021</v>
      </c>
      <c r="M171" s="4">
        <v>1</v>
      </c>
      <c r="N171" s="4">
        <v>1</v>
      </c>
    </row>
    <row r="172" spans="1:14">
      <c r="A172" s="4" t="s">
        <v>320</v>
      </c>
      <c r="B172" s="4" t="s">
        <v>361</v>
      </c>
      <c r="C172" s="9" t="s">
        <v>341</v>
      </c>
      <c r="D172" s="13">
        <v>1</v>
      </c>
      <c r="E172" s="13" t="s">
        <v>677</v>
      </c>
      <c r="F172" s="13">
        <v>1</v>
      </c>
      <c r="G172" s="13">
        <v>1</v>
      </c>
      <c r="H172" s="4">
        <v>20</v>
      </c>
      <c r="I172" s="4">
        <v>22</v>
      </c>
      <c r="J172" s="4" t="s">
        <v>161</v>
      </c>
      <c r="K172" s="4" t="s">
        <v>13</v>
      </c>
      <c r="L172" s="4">
        <v>2021</v>
      </c>
      <c r="M172" s="4">
        <v>1</v>
      </c>
      <c r="N172" s="4">
        <v>1</v>
      </c>
    </row>
    <row r="173" spans="1:14">
      <c r="A173" s="4" t="s">
        <v>320</v>
      </c>
      <c r="B173" s="4" t="s">
        <v>362</v>
      </c>
      <c r="C173" s="9" t="s">
        <v>684</v>
      </c>
      <c r="D173" s="13">
        <v>0</v>
      </c>
      <c r="F173" s="13">
        <v>1</v>
      </c>
      <c r="G173" s="13">
        <v>1</v>
      </c>
      <c r="H173" s="4">
        <v>21</v>
      </c>
      <c r="I173" s="4">
        <v>22</v>
      </c>
      <c r="J173" s="4" t="s">
        <v>161</v>
      </c>
      <c r="K173" s="4" t="s">
        <v>13</v>
      </c>
      <c r="L173" s="4">
        <v>2021</v>
      </c>
      <c r="M173" s="4">
        <v>1</v>
      </c>
      <c r="N173" s="4">
        <v>1</v>
      </c>
    </row>
    <row r="174" spans="1:14">
      <c r="A174" s="4" t="s">
        <v>320</v>
      </c>
      <c r="B174" s="4" t="s">
        <v>363</v>
      </c>
      <c r="C174" s="9" t="s">
        <v>342</v>
      </c>
      <c r="D174" s="13">
        <v>0</v>
      </c>
      <c r="F174" s="13">
        <v>1</v>
      </c>
      <c r="G174" s="13">
        <v>1</v>
      </c>
      <c r="H174" s="4">
        <v>22</v>
      </c>
      <c r="I174" s="4">
        <v>22</v>
      </c>
      <c r="J174" s="4" t="s">
        <v>161</v>
      </c>
      <c r="K174" s="4" t="s">
        <v>13</v>
      </c>
      <c r="L174" s="4">
        <v>2021</v>
      </c>
      <c r="M174" s="4">
        <v>1</v>
      </c>
      <c r="N174" s="4">
        <v>1</v>
      </c>
    </row>
    <row r="175" spans="1:14">
      <c r="A175" s="4" t="s">
        <v>364</v>
      </c>
      <c r="B175" s="4" t="s">
        <v>365</v>
      </c>
      <c r="C175" s="9" t="s">
        <v>366</v>
      </c>
      <c r="D175" s="13">
        <v>0</v>
      </c>
      <c r="F175" s="13">
        <v>0</v>
      </c>
      <c r="G175" s="13">
        <v>0</v>
      </c>
      <c r="H175" s="4">
        <v>1</v>
      </c>
      <c r="I175" s="4">
        <v>29</v>
      </c>
      <c r="J175" s="4" t="s">
        <v>161</v>
      </c>
      <c r="K175" s="4" t="s">
        <v>13</v>
      </c>
      <c r="L175" s="4">
        <v>2022</v>
      </c>
      <c r="M175" s="4">
        <v>1</v>
      </c>
      <c r="N175" s="4">
        <v>1</v>
      </c>
    </row>
    <row r="176" spans="1:14">
      <c r="A176" s="4" t="s">
        <v>364</v>
      </c>
      <c r="B176" s="4" t="s">
        <v>390</v>
      </c>
      <c r="C176" s="9" t="s">
        <v>367</v>
      </c>
      <c r="D176" s="13">
        <v>0</v>
      </c>
      <c r="F176" s="13">
        <v>0</v>
      </c>
      <c r="G176" s="13">
        <v>0</v>
      </c>
      <c r="H176" s="4">
        <v>2</v>
      </c>
      <c r="I176" s="4">
        <v>29</v>
      </c>
      <c r="J176" s="4" t="s">
        <v>161</v>
      </c>
      <c r="K176" s="4" t="s">
        <v>13</v>
      </c>
      <c r="L176" s="4">
        <v>2022</v>
      </c>
      <c r="M176" s="4">
        <v>1</v>
      </c>
      <c r="N176" s="4">
        <v>1</v>
      </c>
    </row>
    <row r="177" spans="1:14">
      <c r="A177" s="4" t="s">
        <v>364</v>
      </c>
      <c r="B177" s="4" t="s">
        <v>391</v>
      </c>
      <c r="C177" s="9" t="s">
        <v>368</v>
      </c>
      <c r="D177" s="13">
        <v>0</v>
      </c>
      <c r="F177" s="13">
        <v>0</v>
      </c>
      <c r="G177" s="13">
        <v>0</v>
      </c>
      <c r="H177" s="4">
        <v>3</v>
      </c>
      <c r="I177" s="4">
        <v>29</v>
      </c>
      <c r="J177" s="4" t="s">
        <v>161</v>
      </c>
      <c r="K177" s="4" t="s">
        <v>13</v>
      </c>
      <c r="L177" s="4">
        <v>2022</v>
      </c>
      <c r="M177" s="4">
        <v>1</v>
      </c>
      <c r="N177" s="4">
        <v>1</v>
      </c>
    </row>
    <row r="178" spans="1:14">
      <c r="A178" s="4" t="s">
        <v>364</v>
      </c>
      <c r="B178" s="4" t="s">
        <v>392</v>
      </c>
      <c r="C178" s="9" t="s">
        <v>369</v>
      </c>
      <c r="D178" s="13">
        <v>0</v>
      </c>
      <c r="F178" s="13">
        <v>0</v>
      </c>
      <c r="G178" s="13">
        <v>0</v>
      </c>
      <c r="H178" s="4">
        <v>4</v>
      </c>
      <c r="I178" s="4">
        <v>29</v>
      </c>
      <c r="J178" s="4" t="s">
        <v>161</v>
      </c>
      <c r="K178" s="4" t="s">
        <v>13</v>
      </c>
      <c r="L178" s="4">
        <v>2022</v>
      </c>
      <c r="M178" s="4">
        <v>1</v>
      </c>
      <c r="N178" s="4">
        <v>1</v>
      </c>
    </row>
    <row r="179" spans="1:14">
      <c r="A179" s="4" t="s">
        <v>364</v>
      </c>
      <c r="B179" s="4" t="s">
        <v>393</v>
      </c>
      <c r="C179" s="9" t="s">
        <v>370</v>
      </c>
      <c r="D179" s="13">
        <v>0</v>
      </c>
      <c r="F179" s="13">
        <v>0</v>
      </c>
      <c r="G179" s="13">
        <v>0</v>
      </c>
      <c r="H179" s="4">
        <v>5</v>
      </c>
      <c r="I179" s="4">
        <v>29</v>
      </c>
      <c r="J179" s="4" t="s">
        <v>161</v>
      </c>
      <c r="K179" s="4" t="s">
        <v>13</v>
      </c>
      <c r="L179" s="4">
        <v>2022</v>
      </c>
      <c r="M179" s="4">
        <v>1</v>
      </c>
      <c r="N179" s="4">
        <v>1</v>
      </c>
    </row>
    <row r="180" spans="1:14">
      <c r="A180" s="4" t="s">
        <v>364</v>
      </c>
      <c r="B180" s="4" t="s">
        <v>394</v>
      </c>
      <c r="C180" s="9" t="s">
        <v>371</v>
      </c>
      <c r="D180" s="13">
        <v>0</v>
      </c>
      <c r="F180" s="13">
        <v>0</v>
      </c>
      <c r="G180" s="13">
        <v>0</v>
      </c>
      <c r="H180" s="4">
        <v>6</v>
      </c>
      <c r="I180" s="4">
        <v>29</v>
      </c>
      <c r="J180" s="4" t="s">
        <v>161</v>
      </c>
      <c r="K180" s="4" t="s">
        <v>13</v>
      </c>
      <c r="L180" s="4">
        <v>2022</v>
      </c>
      <c r="M180" s="4">
        <v>1</v>
      </c>
      <c r="N180" s="4">
        <v>1</v>
      </c>
    </row>
    <row r="181" spans="1:14">
      <c r="A181" s="4" t="s">
        <v>364</v>
      </c>
      <c r="B181" s="4" t="s">
        <v>395</v>
      </c>
      <c r="C181" s="9" t="s">
        <v>372</v>
      </c>
      <c r="D181" s="13">
        <v>0</v>
      </c>
      <c r="F181" s="13">
        <v>0</v>
      </c>
      <c r="G181" s="13">
        <v>0</v>
      </c>
      <c r="H181" s="4">
        <v>7</v>
      </c>
      <c r="I181" s="4">
        <v>29</v>
      </c>
      <c r="J181" s="4" t="s">
        <v>161</v>
      </c>
      <c r="K181" s="4" t="s">
        <v>13</v>
      </c>
      <c r="L181" s="4">
        <v>2022</v>
      </c>
      <c r="M181" s="4">
        <v>1</v>
      </c>
      <c r="N181" s="4">
        <v>1</v>
      </c>
    </row>
    <row r="182" spans="1:14">
      <c r="A182" s="4" t="s">
        <v>364</v>
      </c>
      <c r="B182" s="4" t="s">
        <v>396</v>
      </c>
      <c r="C182" s="9" t="s">
        <v>685</v>
      </c>
      <c r="D182" s="13">
        <v>1</v>
      </c>
      <c r="E182" s="13" t="s">
        <v>677</v>
      </c>
      <c r="F182" s="13">
        <v>1</v>
      </c>
      <c r="G182" s="13">
        <v>1</v>
      </c>
      <c r="H182" s="4">
        <v>8</v>
      </c>
      <c r="I182" s="4">
        <v>29</v>
      </c>
      <c r="J182" s="4" t="s">
        <v>161</v>
      </c>
      <c r="K182" s="4" t="s">
        <v>13</v>
      </c>
      <c r="L182" s="4">
        <v>2022</v>
      </c>
      <c r="M182" s="4">
        <v>1</v>
      </c>
      <c r="N182" s="4">
        <v>1</v>
      </c>
    </row>
    <row r="183" spans="1:14">
      <c r="A183" s="4" t="s">
        <v>364</v>
      </c>
      <c r="B183" s="4" t="s">
        <v>397</v>
      </c>
      <c r="C183" s="9" t="s">
        <v>373</v>
      </c>
      <c r="D183" s="13">
        <v>1</v>
      </c>
      <c r="E183" s="13" t="s">
        <v>677</v>
      </c>
      <c r="F183" s="13">
        <v>0</v>
      </c>
      <c r="G183" s="13">
        <v>0</v>
      </c>
      <c r="H183" s="4">
        <v>9</v>
      </c>
      <c r="I183" s="4">
        <v>29</v>
      </c>
      <c r="J183" s="4" t="s">
        <v>161</v>
      </c>
      <c r="K183" s="4" t="s">
        <v>13</v>
      </c>
      <c r="L183" s="4">
        <v>2022</v>
      </c>
      <c r="M183" s="4">
        <v>1</v>
      </c>
      <c r="N183" s="4">
        <v>1</v>
      </c>
    </row>
    <row r="184" spans="1:14">
      <c r="A184" s="4" t="s">
        <v>364</v>
      </c>
      <c r="B184" s="4" t="s">
        <v>398</v>
      </c>
      <c r="C184" s="9" t="s">
        <v>329</v>
      </c>
      <c r="D184" s="13">
        <v>1</v>
      </c>
      <c r="E184" s="13" t="s">
        <v>677</v>
      </c>
      <c r="F184" s="13">
        <v>1</v>
      </c>
      <c r="G184" s="13">
        <v>1</v>
      </c>
      <c r="H184" s="4">
        <v>10</v>
      </c>
      <c r="I184" s="4">
        <v>29</v>
      </c>
      <c r="J184" s="4" t="s">
        <v>161</v>
      </c>
      <c r="K184" s="4" t="s">
        <v>13</v>
      </c>
      <c r="L184" s="4">
        <v>2022</v>
      </c>
      <c r="M184" s="4">
        <v>1</v>
      </c>
      <c r="N184" s="4">
        <v>1</v>
      </c>
    </row>
    <row r="185" spans="1:14">
      <c r="A185" s="4" t="s">
        <v>364</v>
      </c>
      <c r="B185" s="4" t="s">
        <v>399</v>
      </c>
      <c r="C185" s="9" t="s">
        <v>330</v>
      </c>
      <c r="D185" s="13">
        <v>1</v>
      </c>
      <c r="E185" s="13" t="s">
        <v>677</v>
      </c>
      <c r="F185" s="13">
        <v>1</v>
      </c>
      <c r="G185" s="13">
        <v>1</v>
      </c>
      <c r="H185" s="4">
        <v>11</v>
      </c>
      <c r="I185" s="4">
        <v>29</v>
      </c>
      <c r="J185" s="4" t="s">
        <v>161</v>
      </c>
      <c r="K185" s="4" t="s">
        <v>13</v>
      </c>
      <c r="L185" s="4">
        <v>2022</v>
      </c>
      <c r="M185" s="4">
        <v>1</v>
      </c>
      <c r="N185" s="4">
        <v>1</v>
      </c>
    </row>
    <row r="186" spans="1:14">
      <c r="A186" s="4" t="s">
        <v>364</v>
      </c>
      <c r="B186" s="4" t="s">
        <v>400</v>
      </c>
      <c r="C186" s="9" t="s">
        <v>374</v>
      </c>
      <c r="D186" s="13">
        <v>1</v>
      </c>
      <c r="E186" s="13" t="s">
        <v>677</v>
      </c>
      <c r="F186" s="13">
        <v>0</v>
      </c>
      <c r="G186" s="13">
        <v>0</v>
      </c>
      <c r="H186" s="4">
        <v>12</v>
      </c>
      <c r="I186" s="4">
        <v>29</v>
      </c>
      <c r="J186" s="4" t="s">
        <v>161</v>
      </c>
      <c r="K186" s="4" t="s">
        <v>13</v>
      </c>
      <c r="L186" s="4">
        <v>2022</v>
      </c>
      <c r="M186" s="4">
        <v>1</v>
      </c>
      <c r="N186" s="4">
        <v>1</v>
      </c>
    </row>
    <row r="187" spans="1:14">
      <c r="A187" s="4" t="s">
        <v>364</v>
      </c>
      <c r="B187" s="4" t="s">
        <v>401</v>
      </c>
      <c r="C187" s="9" t="s">
        <v>331</v>
      </c>
      <c r="D187" s="13">
        <v>1</v>
      </c>
      <c r="E187" s="13" t="s">
        <v>677</v>
      </c>
      <c r="F187" s="13">
        <v>0</v>
      </c>
      <c r="G187" s="13">
        <v>0</v>
      </c>
      <c r="H187" s="4">
        <v>13</v>
      </c>
      <c r="I187" s="4">
        <v>29</v>
      </c>
      <c r="J187" s="4" t="s">
        <v>161</v>
      </c>
      <c r="K187" s="4" t="s">
        <v>13</v>
      </c>
      <c r="L187" s="4">
        <v>2022</v>
      </c>
      <c r="M187" s="4">
        <v>1</v>
      </c>
      <c r="N187" s="4">
        <v>1</v>
      </c>
    </row>
    <row r="188" spans="1:14">
      <c r="A188" s="4" t="s">
        <v>364</v>
      </c>
      <c r="B188" s="4" t="s">
        <v>402</v>
      </c>
      <c r="C188" s="9" t="s">
        <v>375</v>
      </c>
      <c r="D188" s="13">
        <v>1</v>
      </c>
      <c r="E188" s="13" t="s">
        <v>677</v>
      </c>
      <c r="F188" s="13">
        <v>1</v>
      </c>
      <c r="G188" s="13">
        <v>2</v>
      </c>
      <c r="H188" s="4">
        <v>14</v>
      </c>
      <c r="I188" s="4">
        <v>29</v>
      </c>
      <c r="J188" s="4" t="s">
        <v>161</v>
      </c>
      <c r="K188" s="4" t="s">
        <v>13</v>
      </c>
      <c r="L188" s="4">
        <v>2022</v>
      </c>
      <c r="M188" s="4">
        <v>1</v>
      </c>
      <c r="N188" s="4">
        <v>1</v>
      </c>
    </row>
    <row r="189" spans="1:14">
      <c r="A189" s="4" t="s">
        <v>364</v>
      </c>
      <c r="B189" s="4" t="s">
        <v>403</v>
      </c>
      <c r="C189" s="9" t="s">
        <v>376</v>
      </c>
      <c r="D189" s="13">
        <v>1</v>
      </c>
      <c r="E189" s="13" t="s">
        <v>677</v>
      </c>
      <c r="F189" s="13">
        <v>0</v>
      </c>
      <c r="G189" s="13">
        <v>0</v>
      </c>
      <c r="H189" s="4">
        <v>15</v>
      </c>
      <c r="I189" s="4">
        <v>29</v>
      </c>
      <c r="J189" s="4" t="s">
        <v>161</v>
      </c>
      <c r="K189" s="4" t="s">
        <v>13</v>
      </c>
      <c r="L189" s="4">
        <v>2022</v>
      </c>
      <c r="M189" s="4">
        <v>1</v>
      </c>
      <c r="N189" s="4">
        <v>1</v>
      </c>
    </row>
    <row r="190" spans="1:14">
      <c r="A190" s="4" t="s">
        <v>364</v>
      </c>
      <c r="B190" s="4" t="s">
        <v>404</v>
      </c>
      <c r="C190" s="9" t="s">
        <v>377</v>
      </c>
      <c r="D190" s="13">
        <v>1</v>
      </c>
      <c r="E190" s="13" t="s">
        <v>677</v>
      </c>
      <c r="F190" s="13">
        <v>1</v>
      </c>
      <c r="G190" s="13">
        <v>1</v>
      </c>
      <c r="H190" s="4">
        <v>16</v>
      </c>
      <c r="I190" s="4">
        <v>29</v>
      </c>
      <c r="J190" s="4" t="s">
        <v>161</v>
      </c>
      <c r="K190" s="4" t="s">
        <v>13</v>
      </c>
      <c r="L190" s="4">
        <v>2022</v>
      </c>
      <c r="M190" s="4">
        <v>1</v>
      </c>
      <c r="N190" s="4">
        <v>1</v>
      </c>
    </row>
    <row r="191" spans="1:14">
      <c r="A191" s="4" t="s">
        <v>364</v>
      </c>
      <c r="B191" s="4" t="s">
        <v>405</v>
      </c>
      <c r="C191" s="9" t="s">
        <v>378</v>
      </c>
      <c r="D191" s="13">
        <v>1</v>
      </c>
      <c r="E191" s="13" t="s">
        <v>675</v>
      </c>
      <c r="F191" s="13">
        <v>1</v>
      </c>
      <c r="G191" s="13">
        <v>2</v>
      </c>
      <c r="H191" s="4">
        <v>17</v>
      </c>
      <c r="I191" s="4">
        <v>29</v>
      </c>
      <c r="J191" s="4" t="s">
        <v>161</v>
      </c>
      <c r="K191" s="4" t="s">
        <v>13</v>
      </c>
      <c r="L191" s="4">
        <v>2022</v>
      </c>
      <c r="M191" s="4">
        <v>1</v>
      </c>
      <c r="N191" s="4">
        <v>1</v>
      </c>
    </row>
    <row r="192" spans="1:14">
      <c r="A192" s="4" t="s">
        <v>364</v>
      </c>
      <c r="B192" s="4" t="s">
        <v>406</v>
      </c>
      <c r="C192" s="9" t="s">
        <v>379</v>
      </c>
      <c r="D192" s="13">
        <v>1</v>
      </c>
      <c r="E192" s="13" t="s">
        <v>679</v>
      </c>
      <c r="F192" s="13">
        <v>0</v>
      </c>
      <c r="G192" s="13">
        <v>0</v>
      </c>
      <c r="H192" s="4">
        <v>18</v>
      </c>
      <c r="I192" s="4">
        <v>29</v>
      </c>
      <c r="J192" s="4" t="s">
        <v>161</v>
      </c>
      <c r="K192" s="4" t="s">
        <v>13</v>
      </c>
      <c r="L192" s="4">
        <v>2022</v>
      </c>
      <c r="M192" s="4">
        <v>1</v>
      </c>
      <c r="N192" s="4">
        <v>1</v>
      </c>
    </row>
    <row r="193" spans="1:15">
      <c r="A193" s="4" t="s">
        <v>364</v>
      </c>
      <c r="B193" s="4" t="s">
        <v>407</v>
      </c>
      <c r="C193" s="9" t="s">
        <v>380</v>
      </c>
      <c r="D193" s="13">
        <v>1</v>
      </c>
      <c r="E193" s="13" t="s">
        <v>677</v>
      </c>
      <c r="F193" s="13">
        <v>1</v>
      </c>
      <c r="G193" s="13">
        <v>1</v>
      </c>
      <c r="H193" s="4">
        <v>19</v>
      </c>
      <c r="I193" s="4">
        <v>29</v>
      </c>
      <c r="J193" s="4" t="s">
        <v>161</v>
      </c>
      <c r="K193" s="4" t="s">
        <v>13</v>
      </c>
      <c r="L193" s="4">
        <v>2022</v>
      </c>
      <c r="M193" s="4">
        <v>1</v>
      </c>
      <c r="N193" s="4">
        <v>1</v>
      </c>
    </row>
    <row r="194" spans="1:15">
      <c r="A194" s="4" t="s">
        <v>364</v>
      </c>
      <c r="B194" s="4" t="s">
        <v>408</v>
      </c>
      <c r="C194" s="9" t="s">
        <v>381</v>
      </c>
      <c r="D194" s="13">
        <v>0</v>
      </c>
      <c r="F194" s="13">
        <v>0</v>
      </c>
      <c r="G194" s="13">
        <v>0</v>
      </c>
      <c r="H194" s="4">
        <v>20</v>
      </c>
      <c r="I194" s="4">
        <v>29</v>
      </c>
      <c r="J194" s="4" t="s">
        <v>161</v>
      </c>
      <c r="K194" s="4" t="s">
        <v>13</v>
      </c>
      <c r="L194" s="4">
        <v>2022</v>
      </c>
      <c r="M194" s="4">
        <v>1</v>
      </c>
      <c r="N194" s="4">
        <v>1</v>
      </c>
    </row>
    <row r="195" spans="1:15">
      <c r="A195" s="4" t="s">
        <v>364</v>
      </c>
      <c r="B195" s="4" t="s">
        <v>409</v>
      </c>
      <c r="C195" s="9" t="s">
        <v>382</v>
      </c>
      <c r="D195" s="13">
        <v>1</v>
      </c>
      <c r="E195" s="13" t="s">
        <v>677</v>
      </c>
      <c r="F195" s="13">
        <v>1</v>
      </c>
      <c r="G195" s="13">
        <v>1</v>
      </c>
      <c r="H195" s="4">
        <v>21</v>
      </c>
      <c r="I195" s="4">
        <v>29</v>
      </c>
      <c r="J195" s="4" t="s">
        <v>161</v>
      </c>
      <c r="K195" s="4" t="s">
        <v>13</v>
      </c>
      <c r="L195" s="4">
        <v>2022</v>
      </c>
      <c r="M195" s="4">
        <v>1</v>
      </c>
      <c r="N195" s="4">
        <v>1</v>
      </c>
    </row>
    <row r="196" spans="1:15">
      <c r="A196" s="4" t="s">
        <v>364</v>
      </c>
      <c r="B196" s="4" t="s">
        <v>410</v>
      </c>
      <c r="C196" s="9" t="s">
        <v>383</v>
      </c>
      <c r="D196" s="13">
        <v>1</v>
      </c>
      <c r="E196" s="13" t="s">
        <v>679</v>
      </c>
      <c r="F196" s="13">
        <v>1</v>
      </c>
      <c r="G196" s="13">
        <v>2</v>
      </c>
      <c r="H196" s="4">
        <v>22</v>
      </c>
      <c r="I196" s="4">
        <v>29</v>
      </c>
      <c r="J196" s="4" t="s">
        <v>161</v>
      </c>
      <c r="K196" s="4" t="s">
        <v>13</v>
      </c>
      <c r="L196" s="4">
        <v>2022</v>
      </c>
      <c r="M196" s="4">
        <v>1</v>
      </c>
      <c r="N196" s="4">
        <v>1</v>
      </c>
    </row>
    <row r="197" spans="1:15">
      <c r="A197" s="4" t="s">
        <v>364</v>
      </c>
      <c r="B197" s="4" t="s">
        <v>411</v>
      </c>
      <c r="C197" s="9" t="s">
        <v>384</v>
      </c>
      <c r="D197" s="13">
        <v>1</v>
      </c>
      <c r="E197" s="13" t="s">
        <v>677</v>
      </c>
      <c r="F197" s="13">
        <v>0</v>
      </c>
      <c r="G197" s="13">
        <v>0</v>
      </c>
      <c r="H197" s="4">
        <v>23</v>
      </c>
      <c r="I197" s="4">
        <v>29</v>
      </c>
      <c r="J197" s="4" t="s">
        <v>161</v>
      </c>
      <c r="K197" s="4" t="s">
        <v>13</v>
      </c>
      <c r="L197" s="4">
        <v>2022</v>
      </c>
      <c r="M197" s="4">
        <v>1</v>
      </c>
      <c r="N197" s="4">
        <v>1</v>
      </c>
    </row>
    <row r="198" spans="1:15">
      <c r="A198" s="4" t="s">
        <v>364</v>
      </c>
      <c r="B198" s="4" t="s">
        <v>412</v>
      </c>
      <c r="C198" s="9" t="s">
        <v>385</v>
      </c>
      <c r="D198" s="13">
        <v>1</v>
      </c>
      <c r="E198" s="13" t="s">
        <v>679</v>
      </c>
      <c r="F198" s="13">
        <v>1</v>
      </c>
      <c r="G198" s="13">
        <v>2</v>
      </c>
      <c r="H198" s="4">
        <v>24</v>
      </c>
      <c r="I198" s="4">
        <v>29</v>
      </c>
      <c r="J198" s="4" t="s">
        <v>161</v>
      </c>
      <c r="K198" s="4" t="s">
        <v>13</v>
      </c>
      <c r="L198" s="4">
        <v>2022</v>
      </c>
      <c r="M198" s="4">
        <v>1</v>
      </c>
      <c r="N198" s="4">
        <v>1</v>
      </c>
    </row>
    <row r="199" spans="1:15">
      <c r="A199" s="4" t="s">
        <v>364</v>
      </c>
      <c r="B199" s="4" t="s">
        <v>413</v>
      </c>
      <c r="C199" s="9" t="s">
        <v>386</v>
      </c>
      <c r="D199" s="13">
        <v>1</v>
      </c>
      <c r="E199" s="13" t="s">
        <v>677</v>
      </c>
      <c r="F199" s="13">
        <v>1</v>
      </c>
      <c r="G199" s="13">
        <v>1</v>
      </c>
      <c r="H199" s="4">
        <v>25</v>
      </c>
      <c r="I199" s="4">
        <v>29</v>
      </c>
      <c r="J199" s="4" t="s">
        <v>161</v>
      </c>
      <c r="K199" s="4" t="s">
        <v>13</v>
      </c>
      <c r="L199" s="4">
        <v>2022</v>
      </c>
      <c r="M199" s="4">
        <v>1</v>
      </c>
      <c r="N199" s="4">
        <v>1</v>
      </c>
    </row>
    <row r="200" spans="1:15">
      <c r="A200" s="4" t="s">
        <v>364</v>
      </c>
      <c r="B200" s="4" t="s">
        <v>414</v>
      </c>
      <c r="C200" s="9" t="s">
        <v>387</v>
      </c>
      <c r="D200" s="13">
        <v>1</v>
      </c>
      <c r="E200" s="13" t="s">
        <v>679</v>
      </c>
      <c r="F200" s="13">
        <v>1</v>
      </c>
      <c r="G200" s="13">
        <v>2</v>
      </c>
      <c r="H200" s="4">
        <v>26</v>
      </c>
      <c r="I200" s="4">
        <v>29</v>
      </c>
      <c r="J200" s="4" t="s">
        <v>161</v>
      </c>
      <c r="K200" s="4" t="s">
        <v>13</v>
      </c>
      <c r="L200" s="4">
        <v>2022</v>
      </c>
      <c r="M200" s="4">
        <v>1</v>
      </c>
      <c r="N200" s="4">
        <v>1</v>
      </c>
    </row>
    <row r="201" spans="1:15">
      <c r="A201" s="4" t="s">
        <v>364</v>
      </c>
      <c r="B201" s="4" t="s">
        <v>415</v>
      </c>
      <c r="C201" s="9" t="s">
        <v>388</v>
      </c>
      <c r="D201" s="13">
        <v>1</v>
      </c>
      <c r="E201" s="13" t="s">
        <v>677</v>
      </c>
      <c r="F201" s="13">
        <v>1</v>
      </c>
      <c r="G201" s="13">
        <v>1</v>
      </c>
      <c r="H201" s="4">
        <v>27</v>
      </c>
      <c r="I201" s="4">
        <v>29</v>
      </c>
      <c r="J201" s="4" t="s">
        <v>161</v>
      </c>
      <c r="K201" s="4" t="s">
        <v>13</v>
      </c>
      <c r="L201" s="4">
        <v>2022</v>
      </c>
      <c r="M201" s="4">
        <v>1</v>
      </c>
      <c r="N201" s="4">
        <v>1</v>
      </c>
    </row>
    <row r="202" spans="1:15">
      <c r="A202" s="4" t="s">
        <v>364</v>
      </c>
      <c r="B202" s="4" t="s">
        <v>416</v>
      </c>
      <c r="C202" s="9" t="s">
        <v>686</v>
      </c>
      <c r="D202" s="13">
        <v>0</v>
      </c>
      <c r="F202" s="13">
        <v>1</v>
      </c>
      <c r="G202" s="13">
        <v>1</v>
      </c>
      <c r="H202" s="4">
        <v>28</v>
      </c>
      <c r="I202" s="4">
        <v>29</v>
      </c>
      <c r="J202" s="4" t="s">
        <v>161</v>
      </c>
      <c r="K202" s="4" t="s">
        <v>13</v>
      </c>
      <c r="L202" s="4">
        <v>2022</v>
      </c>
      <c r="M202" s="4">
        <v>1</v>
      </c>
      <c r="N202" s="4">
        <v>1</v>
      </c>
    </row>
    <row r="203" spans="1:15">
      <c r="A203" s="4" t="s">
        <v>364</v>
      </c>
      <c r="B203" s="4" t="s">
        <v>417</v>
      </c>
      <c r="C203" s="9" t="s">
        <v>389</v>
      </c>
      <c r="D203" s="13">
        <v>0</v>
      </c>
      <c r="F203" s="13">
        <v>1</v>
      </c>
      <c r="G203" s="13">
        <v>1</v>
      </c>
      <c r="H203" s="4">
        <v>29</v>
      </c>
      <c r="I203" s="4">
        <v>29</v>
      </c>
      <c r="J203" s="4" t="s">
        <v>161</v>
      </c>
      <c r="K203" s="4" t="s">
        <v>13</v>
      </c>
      <c r="L203" s="4">
        <v>2022</v>
      </c>
      <c r="M203" s="4">
        <v>1</v>
      </c>
      <c r="N203" s="4">
        <v>1</v>
      </c>
    </row>
    <row r="204" spans="1:15">
      <c r="A204" s="4" t="s">
        <v>425</v>
      </c>
      <c r="B204" s="4" t="s">
        <v>426</v>
      </c>
      <c r="C204" s="9" t="s">
        <v>427</v>
      </c>
      <c r="D204" s="13">
        <v>0</v>
      </c>
      <c r="F204" s="13">
        <v>0</v>
      </c>
      <c r="G204" s="13">
        <v>0</v>
      </c>
      <c r="H204" s="4">
        <v>1</v>
      </c>
      <c r="I204" s="4">
        <v>38</v>
      </c>
      <c r="J204" s="4" t="s">
        <v>161</v>
      </c>
      <c r="K204" s="4" t="s">
        <v>13</v>
      </c>
      <c r="L204" s="4">
        <v>2023</v>
      </c>
      <c r="M204" s="4">
        <v>1</v>
      </c>
      <c r="N204" s="4">
        <v>1</v>
      </c>
      <c r="O204" s="4"/>
    </row>
    <row r="205" spans="1:15">
      <c r="A205" s="4" t="s">
        <v>425</v>
      </c>
      <c r="B205" s="4" t="s">
        <v>428</v>
      </c>
      <c r="C205" s="9" t="s">
        <v>429</v>
      </c>
      <c r="D205" s="13">
        <v>0</v>
      </c>
      <c r="F205" s="13">
        <v>0</v>
      </c>
      <c r="G205" s="13">
        <v>0</v>
      </c>
      <c r="H205" s="4">
        <v>2</v>
      </c>
      <c r="I205" s="4">
        <v>38</v>
      </c>
      <c r="J205" s="4" t="s">
        <v>161</v>
      </c>
      <c r="K205" s="4" t="s">
        <v>13</v>
      </c>
      <c r="L205" s="4">
        <v>2023</v>
      </c>
      <c r="M205" s="4">
        <v>1</v>
      </c>
      <c r="N205" s="4">
        <v>1</v>
      </c>
      <c r="O205" s="4"/>
    </row>
    <row r="206" spans="1:15">
      <c r="A206" s="4" t="s">
        <v>425</v>
      </c>
      <c r="B206" s="4" t="s">
        <v>430</v>
      </c>
      <c r="C206" s="9" t="s">
        <v>431</v>
      </c>
      <c r="D206" s="13">
        <v>0</v>
      </c>
      <c r="F206" s="13">
        <v>0</v>
      </c>
      <c r="G206" s="13">
        <v>0</v>
      </c>
      <c r="H206" s="4">
        <v>3</v>
      </c>
      <c r="I206" s="4">
        <v>38</v>
      </c>
      <c r="J206" s="4" t="s">
        <v>161</v>
      </c>
      <c r="K206" s="4" t="s">
        <v>13</v>
      </c>
      <c r="L206" s="4">
        <v>2023</v>
      </c>
      <c r="M206" s="4">
        <v>1</v>
      </c>
      <c r="N206" s="4">
        <v>1</v>
      </c>
      <c r="O206" s="4"/>
    </row>
    <row r="207" spans="1:15">
      <c r="A207" s="4" t="s">
        <v>425</v>
      </c>
      <c r="B207" s="4" t="s">
        <v>432</v>
      </c>
      <c r="C207" s="9" t="s">
        <v>433</v>
      </c>
      <c r="D207" s="13">
        <v>0</v>
      </c>
      <c r="F207" s="13">
        <v>0</v>
      </c>
      <c r="G207" s="13">
        <v>0</v>
      </c>
      <c r="H207" s="4">
        <v>4</v>
      </c>
      <c r="I207" s="4">
        <v>38</v>
      </c>
      <c r="J207" s="4" t="s">
        <v>161</v>
      </c>
      <c r="K207" s="4" t="s">
        <v>13</v>
      </c>
      <c r="L207" s="4">
        <v>2023</v>
      </c>
      <c r="M207" s="4">
        <v>1</v>
      </c>
      <c r="N207" s="4">
        <v>1</v>
      </c>
      <c r="O207" s="4"/>
    </row>
    <row r="208" spans="1:15">
      <c r="A208" s="4" t="s">
        <v>425</v>
      </c>
      <c r="B208" s="4" t="s">
        <v>434</v>
      </c>
      <c r="C208" s="9" t="s">
        <v>435</v>
      </c>
      <c r="D208" s="13">
        <v>0</v>
      </c>
      <c r="F208" s="13">
        <v>0</v>
      </c>
      <c r="G208" s="13">
        <v>0</v>
      </c>
      <c r="H208" s="4">
        <v>5</v>
      </c>
      <c r="I208" s="4">
        <v>38</v>
      </c>
      <c r="J208" s="4" t="s">
        <v>161</v>
      </c>
      <c r="K208" s="4" t="s">
        <v>13</v>
      </c>
      <c r="L208" s="4">
        <v>2023</v>
      </c>
      <c r="M208" s="4">
        <v>1</v>
      </c>
      <c r="N208" s="4">
        <v>1</v>
      </c>
      <c r="O208" s="4"/>
    </row>
    <row r="209" spans="1:15">
      <c r="A209" s="4" t="s">
        <v>425</v>
      </c>
      <c r="B209" s="4" t="s">
        <v>436</v>
      </c>
      <c r="C209" s="9" t="s">
        <v>437</v>
      </c>
      <c r="D209" s="13">
        <v>1</v>
      </c>
      <c r="E209" s="13" t="s">
        <v>679</v>
      </c>
      <c r="F209" s="13">
        <v>1</v>
      </c>
      <c r="G209" s="13">
        <v>1</v>
      </c>
      <c r="H209" s="4">
        <v>6</v>
      </c>
      <c r="I209" s="4">
        <v>38</v>
      </c>
      <c r="J209" s="4" t="s">
        <v>161</v>
      </c>
      <c r="K209" s="4" t="s">
        <v>13</v>
      </c>
      <c r="L209" s="4">
        <v>2023</v>
      </c>
      <c r="M209" s="4">
        <v>1</v>
      </c>
      <c r="N209" s="4">
        <v>1</v>
      </c>
      <c r="O209" s="4"/>
    </row>
    <row r="210" spans="1:15">
      <c r="A210" s="4" t="s">
        <v>425</v>
      </c>
      <c r="B210" s="4" t="s">
        <v>438</v>
      </c>
      <c r="C210" s="9" t="s">
        <v>439</v>
      </c>
      <c r="D210" s="13">
        <v>0</v>
      </c>
      <c r="F210" s="13">
        <v>0</v>
      </c>
      <c r="G210" s="13">
        <v>0</v>
      </c>
      <c r="H210" s="4">
        <v>7</v>
      </c>
      <c r="I210" s="4">
        <v>38</v>
      </c>
      <c r="J210" s="4" t="s">
        <v>161</v>
      </c>
      <c r="K210" s="4" t="s">
        <v>13</v>
      </c>
      <c r="L210" s="4">
        <v>2023</v>
      </c>
      <c r="M210" s="4">
        <v>1</v>
      </c>
      <c r="N210" s="4">
        <v>1</v>
      </c>
      <c r="O210" s="4"/>
    </row>
    <row r="211" spans="1:15">
      <c r="A211" s="4" t="s">
        <v>425</v>
      </c>
      <c r="B211" s="4" t="s">
        <v>440</v>
      </c>
      <c r="C211" s="9" t="s">
        <v>441</v>
      </c>
      <c r="D211" s="13">
        <v>0</v>
      </c>
      <c r="F211" s="13">
        <v>0</v>
      </c>
      <c r="G211" s="13">
        <v>0</v>
      </c>
      <c r="H211" s="4">
        <v>8</v>
      </c>
      <c r="I211" s="4">
        <v>38</v>
      </c>
      <c r="J211" s="4" t="s">
        <v>161</v>
      </c>
      <c r="K211" s="4" t="s">
        <v>13</v>
      </c>
      <c r="L211" s="4">
        <v>2023</v>
      </c>
      <c r="M211" s="4">
        <v>1</v>
      </c>
      <c r="N211" s="4">
        <v>1</v>
      </c>
      <c r="O211" s="4"/>
    </row>
    <row r="212" spans="1:15">
      <c r="A212" s="4" t="s">
        <v>425</v>
      </c>
      <c r="B212" s="4" t="s">
        <v>442</v>
      </c>
      <c r="C212" s="9" t="s">
        <v>443</v>
      </c>
      <c r="D212" s="13">
        <v>0</v>
      </c>
      <c r="F212" s="13">
        <v>0</v>
      </c>
      <c r="G212" s="13">
        <v>0</v>
      </c>
      <c r="H212" s="4">
        <v>9</v>
      </c>
      <c r="I212" s="4">
        <v>38</v>
      </c>
      <c r="J212" s="4" t="s">
        <v>161</v>
      </c>
      <c r="K212" s="4" t="s">
        <v>13</v>
      </c>
      <c r="L212" s="4">
        <v>2023</v>
      </c>
      <c r="M212" s="4">
        <v>1</v>
      </c>
      <c r="N212" s="4">
        <v>1</v>
      </c>
      <c r="O212" s="4"/>
    </row>
    <row r="213" spans="1:15">
      <c r="A213" s="4" t="s">
        <v>425</v>
      </c>
      <c r="B213" s="4" t="s">
        <v>444</v>
      </c>
      <c r="C213" s="9" t="s">
        <v>445</v>
      </c>
      <c r="D213" s="13">
        <v>0</v>
      </c>
      <c r="F213" s="13">
        <v>0</v>
      </c>
      <c r="G213" s="13">
        <v>0</v>
      </c>
      <c r="H213" s="4">
        <v>10</v>
      </c>
      <c r="I213" s="4">
        <v>38</v>
      </c>
      <c r="J213" s="4" t="s">
        <v>161</v>
      </c>
      <c r="K213" s="4" t="s">
        <v>13</v>
      </c>
      <c r="L213" s="4">
        <v>2023</v>
      </c>
      <c r="M213" s="4">
        <v>1</v>
      </c>
      <c r="N213" s="4">
        <v>1</v>
      </c>
      <c r="O213" s="4"/>
    </row>
    <row r="214" spans="1:15">
      <c r="A214" s="4" t="s">
        <v>425</v>
      </c>
      <c r="B214" s="4" t="s">
        <v>446</v>
      </c>
      <c r="C214" s="9" t="s">
        <v>447</v>
      </c>
      <c r="D214" s="13">
        <v>0</v>
      </c>
      <c r="F214" s="13">
        <v>0</v>
      </c>
      <c r="G214" s="13">
        <v>0</v>
      </c>
      <c r="H214" s="4">
        <v>11</v>
      </c>
      <c r="I214" s="4">
        <v>38</v>
      </c>
      <c r="J214" s="4" t="s">
        <v>161</v>
      </c>
      <c r="K214" s="4" t="s">
        <v>13</v>
      </c>
      <c r="L214" s="4">
        <v>2023</v>
      </c>
      <c r="M214" s="4">
        <v>1</v>
      </c>
      <c r="N214" s="4">
        <v>1</v>
      </c>
      <c r="O214" s="4"/>
    </row>
    <row r="215" spans="1:15">
      <c r="A215" s="4" t="s">
        <v>425</v>
      </c>
      <c r="B215" s="4" t="s">
        <v>448</v>
      </c>
      <c r="C215" s="14" t="s">
        <v>687</v>
      </c>
      <c r="D215" s="13">
        <v>1</v>
      </c>
      <c r="E215" s="13" t="s">
        <v>677</v>
      </c>
      <c r="F215" s="13">
        <v>1</v>
      </c>
      <c r="G215" s="13">
        <v>1</v>
      </c>
      <c r="H215" s="4">
        <v>12</v>
      </c>
      <c r="I215" s="4">
        <v>38</v>
      </c>
      <c r="J215" s="4" t="s">
        <v>161</v>
      </c>
      <c r="K215" s="4" t="s">
        <v>13</v>
      </c>
      <c r="L215" s="4">
        <v>2023</v>
      </c>
      <c r="M215" s="4">
        <v>1</v>
      </c>
      <c r="N215" s="4">
        <v>1</v>
      </c>
      <c r="O215" s="4"/>
    </row>
    <row r="216" spans="1:15">
      <c r="A216" s="4" t="s">
        <v>425</v>
      </c>
      <c r="B216" s="4" t="s">
        <v>449</v>
      </c>
      <c r="C216" s="9" t="s">
        <v>450</v>
      </c>
      <c r="D216" s="13">
        <v>1</v>
      </c>
      <c r="E216" s="13" t="s">
        <v>677</v>
      </c>
      <c r="F216" s="13">
        <v>0</v>
      </c>
      <c r="G216" s="13">
        <v>0</v>
      </c>
      <c r="H216" s="4">
        <v>13</v>
      </c>
      <c r="I216" s="4">
        <v>38</v>
      </c>
      <c r="J216" s="4" t="s">
        <v>161</v>
      </c>
      <c r="K216" s="4" t="s">
        <v>13</v>
      </c>
      <c r="L216" s="4">
        <v>2023</v>
      </c>
      <c r="M216" s="4">
        <v>1</v>
      </c>
      <c r="N216" s="4">
        <v>1</v>
      </c>
      <c r="O216" s="4"/>
    </row>
    <row r="217" spans="1:15">
      <c r="A217" s="4" t="s">
        <v>425</v>
      </c>
      <c r="B217" s="4" t="s">
        <v>451</v>
      </c>
      <c r="C217" s="9" t="s">
        <v>452</v>
      </c>
      <c r="D217" s="13">
        <v>1</v>
      </c>
      <c r="E217" s="13" t="s">
        <v>677</v>
      </c>
      <c r="F217" s="13">
        <v>1</v>
      </c>
      <c r="G217" s="13">
        <v>1</v>
      </c>
      <c r="H217" s="4">
        <v>14</v>
      </c>
      <c r="I217" s="4">
        <v>38</v>
      </c>
      <c r="J217" s="4" t="s">
        <v>161</v>
      </c>
      <c r="K217" s="4" t="s">
        <v>13</v>
      </c>
      <c r="L217" s="4">
        <v>2023</v>
      </c>
      <c r="M217" s="4">
        <v>1</v>
      </c>
      <c r="N217" s="4">
        <v>1</v>
      </c>
      <c r="O217" s="4"/>
    </row>
    <row r="218" spans="1:15">
      <c r="A218" s="4" t="s">
        <v>425</v>
      </c>
      <c r="B218" s="4" t="s">
        <v>453</v>
      </c>
      <c r="C218" s="9" t="s">
        <v>454</v>
      </c>
      <c r="D218" s="13">
        <v>1</v>
      </c>
      <c r="E218" s="13" t="s">
        <v>677</v>
      </c>
      <c r="F218" s="13">
        <v>1</v>
      </c>
      <c r="G218" s="13">
        <v>1</v>
      </c>
      <c r="H218" s="4">
        <v>15</v>
      </c>
      <c r="I218" s="4">
        <v>38</v>
      </c>
      <c r="J218" s="4" t="s">
        <v>161</v>
      </c>
      <c r="K218" s="4" t="s">
        <v>13</v>
      </c>
      <c r="L218" s="4">
        <v>2023</v>
      </c>
      <c r="M218" s="4">
        <v>1</v>
      </c>
      <c r="N218" s="4">
        <v>1</v>
      </c>
      <c r="O218" s="4"/>
    </row>
    <row r="219" spans="1:15">
      <c r="A219" s="4" t="s">
        <v>425</v>
      </c>
      <c r="B219" s="4" t="s">
        <v>455</v>
      </c>
      <c r="C219" s="9" t="s">
        <v>456</v>
      </c>
      <c r="D219" s="13">
        <v>1</v>
      </c>
      <c r="E219" s="13" t="s">
        <v>677</v>
      </c>
      <c r="F219" s="13">
        <v>0</v>
      </c>
      <c r="G219" s="13">
        <v>0</v>
      </c>
      <c r="H219" s="4">
        <v>16</v>
      </c>
      <c r="I219" s="4">
        <v>38</v>
      </c>
      <c r="J219" s="4" t="s">
        <v>161</v>
      </c>
      <c r="K219" s="4" t="s">
        <v>13</v>
      </c>
      <c r="L219" s="4">
        <v>2023</v>
      </c>
      <c r="M219" s="4">
        <v>1</v>
      </c>
      <c r="N219" s="4">
        <v>1</v>
      </c>
      <c r="O219" s="4"/>
    </row>
    <row r="220" spans="1:15">
      <c r="A220" s="4" t="s">
        <v>425</v>
      </c>
      <c r="B220" s="4" t="s">
        <v>457</v>
      </c>
      <c r="C220" s="9" t="s">
        <v>458</v>
      </c>
      <c r="D220" s="13">
        <v>1</v>
      </c>
      <c r="E220" s="13" t="s">
        <v>677</v>
      </c>
      <c r="F220" s="13">
        <v>0</v>
      </c>
      <c r="G220" s="13">
        <v>0</v>
      </c>
      <c r="H220" s="4">
        <v>17</v>
      </c>
      <c r="I220" s="4">
        <v>38</v>
      </c>
      <c r="J220" s="4" t="s">
        <v>161</v>
      </c>
      <c r="K220" s="4" t="s">
        <v>13</v>
      </c>
      <c r="L220" s="4">
        <v>2023</v>
      </c>
      <c r="M220" s="4">
        <v>1</v>
      </c>
      <c r="N220" s="4">
        <v>1</v>
      </c>
      <c r="O220" s="4"/>
    </row>
    <row r="221" spans="1:15">
      <c r="A221" s="4" t="s">
        <v>425</v>
      </c>
      <c r="B221" s="4" t="s">
        <v>459</v>
      </c>
      <c r="C221" s="9" t="s">
        <v>460</v>
      </c>
      <c r="D221" s="13">
        <v>1</v>
      </c>
      <c r="E221" s="13" t="s">
        <v>677</v>
      </c>
      <c r="F221" s="13">
        <v>0</v>
      </c>
      <c r="G221" s="13">
        <v>0</v>
      </c>
      <c r="H221" s="4">
        <v>18</v>
      </c>
      <c r="I221" s="4">
        <v>38</v>
      </c>
      <c r="J221" s="4" t="s">
        <v>161</v>
      </c>
      <c r="K221" s="4" t="s">
        <v>13</v>
      </c>
      <c r="L221" s="4">
        <v>2023</v>
      </c>
      <c r="M221" s="4">
        <v>1</v>
      </c>
      <c r="N221" s="4">
        <v>1</v>
      </c>
      <c r="O221" s="4"/>
    </row>
    <row r="222" spans="1:15">
      <c r="A222" s="4" t="s">
        <v>425</v>
      </c>
      <c r="B222" s="4" t="s">
        <v>461</v>
      </c>
      <c r="C222" s="9" t="s">
        <v>462</v>
      </c>
      <c r="D222" s="13">
        <v>1</v>
      </c>
      <c r="E222" s="13" t="s">
        <v>677</v>
      </c>
      <c r="F222" s="13">
        <v>1</v>
      </c>
      <c r="G222" s="13">
        <v>1</v>
      </c>
      <c r="H222" s="4">
        <v>19</v>
      </c>
      <c r="I222" s="4">
        <v>38</v>
      </c>
      <c r="J222" s="4" t="s">
        <v>161</v>
      </c>
      <c r="K222" s="4" t="s">
        <v>13</v>
      </c>
      <c r="L222" s="4">
        <v>2023</v>
      </c>
      <c r="M222" s="4">
        <v>1</v>
      </c>
      <c r="N222" s="4">
        <v>1</v>
      </c>
      <c r="O222" s="4"/>
    </row>
    <row r="223" spans="1:15">
      <c r="A223" s="4" t="s">
        <v>425</v>
      </c>
      <c r="B223" s="4" t="s">
        <v>463</v>
      </c>
      <c r="C223" s="9" t="s">
        <v>464</v>
      </c>
      <c r="D223" s="13">
        <v>1</v>
      </c>
      <c r="E223" s="13" t="s">
        <v>677</v>
      </c>
      <c r="F223" s="13">
        <v>0</v>
      </c>
      <c r="G223" s="13">
        <v>0</v>
      </c>
      <c r="H223" s="4">
        <v>20</v>
      </c>
      <c r="I223" s="4">
        <v>38</v>
      </c>
      <c r="J223" s="4" t="s">
        <v>161</v>
      </c>
      <c r="K223" s="4" t="s">
        <v>13</v>
      </c>
      <c r="L223" s="4">
        <v>2023</v>
      </c>
      <c r="M223" s="4">
        <v>1</v>
      </c>
      <c r="N223" s="4">
        <v>1</v>
      </c>
      <c r="O223" s="4"/>
    </row>
    <row r="224" spans="1:15">
      <c r="A224" s="4" t="s">
        <v>425</v>
      </c>
      <c r="B224" s="4" t="s">
        <v>465</v>
      </c>
      <c r="C224" s="14" t="s">
        <v>466</v>
      </c>
      <c r="D224" s="13">
        <v>1</v>
      </c>
      <c r="E224" s="13" t="s">
        <v>677</v>
      </c>
      <c r="F224" s="13">
        <v>0</v>
      </c>
      <c r="G224" s="13">
        <v>0</v>
      </c>
      <c r="H224" s="4">
        <v>21</v>
      </c>
      <c r="I224" s="4">
        <v>38</v>
      </c>
      <c r="J224" s="4" t="s">
        <v>161</v>
      </c>
      <c r="K224" s="4" t="s">
        <v>13</v>
      </c>
      <c r="L224" s="4">
        <v>2023</v>
      </c>
      <c r="M224" s="4">
        <v>1</v>
      </c>
      <c r="N224" s="4">
        <v>1</v>
      </c>
      <c r="O224" s="4"/>
    </row>
    <row r="225" spans="1:15">
      <c r="A225" s="4" t="s">
        <v>425</v>
      </c>
      <c r="B225" s="4" t="s">
        <v>467</v>
      </c>
      <c r="C225" s="14" t="s">
        <v>468</v>
      </c>
      <c r="D225" s="13">
        <v>0</v>
      </c>
      <c r="F225" s="13">
        <v>0</v>
      </c>
      <c r="G225" s="13">
        <v>0</v>
      </c>
      <c r="H225" s="4">
        <v>22</v>
      </c>
      <c r="I225" s="4">
        <v>38</v>
      </c>
      <c r="J225" s="4" t="s">
        <v>161</v>
      </c>
      <c r="K225" s="4" t="s">
        <v>13</v>
      </c>
      <c r="L225" s="4">
        <v>2023</v>
      </c>
      <c r="M225" s="4">
        <v>1</v>
      </c>
      <c r="N225" s="4">
        <v>1</v>
      </c>
      <c r="O225" s="4"/>
    </row>
    <row r="226" spans="1:15">
      <c r="A226" s="4" t="s">
        <v>425</v>
      </c>
      <c r="B226" s="4" t="s">
        <v>469</v>
      </c>
      <c r="C226" s="14" t="s">
        <v>470</v>
      </c>
      <c r="D226" s="13">
        <v>1</v>
      </c>
      <c r="E226" s="13" t="s">
        <v>677</v>
      </c>
      <c r="F226" s="13">
        <v>1</v>
      </c>
      <c r="G226" s="13">
        <v>1</v>
      </c>
      <c r="H226" s="4">
        <v>23</v>
      </c>
      <c r="I226" s="4">
        <v>38</v>
      </c>
      <c r="J226" s="4" t="s">
        <v>161</v>
      </c>
      <c r="K226" s="4" t="s">
        <v>13</v>
      </c>
      <c r="L226" s="4">
        <v>2023</v>
      </c>
      <c r="M226" s="4">
        <v>1</v>
      </c>
      <c r="N226" s="4">
        <v>1</v>
      </c>
      <c r="O226" s="4"/>
    </row>
    <row r="227" spans="1:15">
      <c r="A227" s="4" t="s">
        <v>425</v>
      </c>
      <c r="B227" s="4" t="s">
        <v>471</v>
      </c>
      <c r="C227" s="14" t="s">
        <v>472</v>
      </c>
      <c r="D227" s="13">
        <v>1</v>
      </c>
      <c r="E227" s="13" t="s">
        <v>677</v>
      </c>
      <c r="F227" s="13">
        <v>0</v>
      </c>
      <c r="G227" s="13">
        <v>0</v>
      </c>
      <c r="H227" s="4">
        <v>24</v>
      </c>
      <c r="I227" s="4">
        <v>38</v>
      </c>
      <c r="J227" s="4" t="s">
        <v>161</v>
      </c>
      <c r="K227" s="4" t="s">
        <v>13</v>
      </c>
      <c r="L227" s="4">
        <v>2023</v>
      </c>
      <c r="M227" s="4">
        <v>1</v>
      </c>
      <c r="N227" s="4">
        <v>1</v>
      </c>
      <c r="O227" s="4"/>
    </row>
    <row r="228" spans="1:15">
      <c r="A228" s="4" t="s">
        <v>425</v>
      </c>
      <c r="B228" s="4" t="s">
        <v>473</v>
      </c>
      <c r="C228" s="14" t="s">
        <v>474</v>
      </c>
      <c r="D228" s="13">
        <v>1</v>
      </c>
      <c r="E228" s="13" t="s">
        <v>677</v>
      </c>
      <c r="F228" s="13">
        <v>0</v>
      </c>
      <c r="G228" s="13">
        <v>0</v>
      </c>
      <c r="H228" s="4">
        <v>25</v>
      </c>
      <c r="I228" s="4">
        <v>38</v>
      </c>
      <c r="J228" s="4" t="s">
        <v>161</v>
      </c>
      <c r="K228" s="4" t="s">
        <v>13</v>
      </c>
      <c r="L228" s="4">
        <v>2023</v>
      </c>
      <c r="M228" s="4">
        <v>1</v>
      </c>
      <c r="N228" s="4">
        <v>1</v>
      </c>
      <c r="O228" s="4"/>
    </row>
    <row r="229" spans="1:15">
      <c r="A229" s="4" t="s">
        <v>425</v>
      </c>
      <c r="B229" s="4" t="s">
        <v>475</v>
      </c>
      <c r="C229" s="14" t="s">
        <v>476</v>
      </c>
      <c r="D229" s="13">
        <v>1</v>
      </c>
      <c r="E229" s="13" t="s">
        <v>675</v>
      </c>
      <c r="F229" s="13">
        <v>1</v>
      </c>
      <c r="G229" s="13">
        <v>2</v>
      </c>
      <c r="H229" s="4">
        <v>26</v>
      </c>
      <c r="I229" s="4">
        <v>38</v>
      </c>
      <c r="J229" s="4" t="s">
        <v>161</v>
      </c>
      <c r="K229" s="4" t="s">
        <v>13</v>
      </c>
      <c r="L229" s="4">
        <v>2023</v>
      </c>
      <c r="M229" s="4">
        <v>1</v>
      </c>
      <c r="N229" s="4">
        <v>1</v>
      </c>
      <c r="O229" s="4"/>
    </row>
    <row r="230" spans="1:15">
      <c r="A230" s="4" t="s">
        <v>425</v>
      </c>
      <c r="B230" s="4" t="s">
        <v>477</v>
      </c>
      <c r="C230" s="14" t="s">
        <v>478</v>
      </c>
      <c r="D230" s="13">
        <v>1</v>
      </c>
      <c r="E230" s="13" t="s">
        <v>675</v>
      </c>
      <c r="F230" s="13">
        <v>1</v>
      </c>
      <c r="G230" s="13">
        <v>2</v>
      </c>
      <c r="H230" s="4">
        <v>27</v>
      </c>
      <c r="I230" s="4">
        <v>38</v>
      </c>
      <c r="J230" s="4" t="s">
        <v>161</v>
      </c>
      <c r="K230" s="4" t="s">
        <v>13</v>
      </c>
      <c r="L230" s="4">
        <v>2023</v>
      </c>
      <c r="M230" s="4">
        <v>1</v>
      </c>
      <c r="N230" s="4">
        <v>1</v>
      </c>
      <c r="O230" s="4"/>
    </row>
    <row r="231" spans="1:15">
      <c r="A231" s="4" t="s">
        <v>425</v>
      </c>
      <c r="B231" s="4" t="s">
        <v>479</v>
      </c>
      <c r="C231" s="14" t="s">
        <v>480</v>
      </c>
      <c r="D231" s="13">
        <v>1</v>
      </c>
      <c r="E231" s="13" t="s">
        <v>677</v>
      </c>
      <c r="F231" s="13">
        <v>1</v>
      </c>
      <c r="G231" s="13">
        <v>1</v>
      </c>
      <c r="H231" s="4">
        <v>28</v>
      </c>
      <c r="I231" s="4">
        <v>38</v>
      </c>
      <c r="J231" s="4" t="s">
        <v>161</v>
      </c>
      <c r="K231" s="4" t="s">
        <v>13</v>
      </c>
      <c r="L231" s="4">
        <v>2023</v>
      </c>
      <c r="M231" s="4">
        <v>1</v>
      </c>
      <c r="N231" s="4">
        <v>1</v>
      </c>
      <c r="O231" s="4"/>
    </row>
    <row r="232" spans="1:15">
      <c r="A232" s="4" t="s">
        <v>425</v>
      </c>
      <c r="B232" s="4" t="s">
        <v>481</v>
      </c>
      <c r="C232" s="14" t="s">
        <v>482</v>
      </c>
      <c r="D232" s="13">
        <v>1</v>
      </c>
      <c r="E232" s="13" t="s">
        <v>679</v>
      </c>
      <c r="F232" s="13">
        <v>1</v>
      </c>
      <c r="G232" s="13">
        <v>1</v>
      </c>
      <c r="H232" s="4">
        <v>29</v>
      </c>
      <c r="I232" s="4">
        <v>38</v>
      </c>
      <c r="J232" s="4" t="s">
        <v>161</v>
      </c>
      <c r="K232" s="4" t="s">
        <v>13</v>
      </c>
      <c r="L232" s="4">
        <v>2023</v>
      </c>
      <c r="M232" s="4">
        <v>1</v>
      </c>
      <c r="N232" s="4">
        <v>1</v>
      </c>
      <c r="O232" s="4"/>
    </row>
    <row r="233" spans="1:15">
      <c r="A233" s="4" t="s">
        <v>425</v>
      </c>
      <c r="B233" s="4" t="s">
        <v>483</v>
      </c>
      <c r="C233" s="14" t="s">
        <v>484</v>
      </c>
      <c r="D233" s="13">
        <v>1</v>
      </c>
      <c r="E233" s="13" t="s">
        <v>677</v>
      </c>
      <c r="F233" s="13">
        <v>1</v>
      </c>
      <c r="G233" s="13">
        <v>1</v>
      </c>
      <c r="H233" s="4">
        <v>30</v>
      </c>
      <c r="I233" s="4">
        <v>38</v>
      </c>
      <c r="J233" s="4" t="s">
        <v>161</v>
      </c>
      <c r="K233" s="4" t="s">
        <v>13</v>
      </c>
      <c r="L233" s="4">
        <v>2023</v>
      </c>
      <c r="M233" s="4">
        <v>1</v>
      </c>
      <c r="N233" s="4">
        <v>1</v>
      </c>
      <c r="O233" s="4"/>
    </row>
    <row r="234" spans="1:15">
      <c r="A234" s="4" t="s">
        <v>425</v>
      </c>
      <c r="B234" s="4" t="s">
        <v>485</v>
      </c>
      <c r="C234" s="14" t="s">
        <v>486</v>
      </c>
      <c r="D234" s="13">
        <v>1</v>
      </c>
      <c r="E234" s="13" t="s">
        <v>677</v>
      </c>
      <c r="F234" s="13">
        <v>1</v>
      </c>
      <c r="G234" s="13">
        <v>1</v>
      </c>
      <c r="H234" s="4">
        <v>31</v>
      </c>
      <c r="I234" s="4">
        <v>38</v>
      </c>
      <c r="J234" s="4" t="s">
        <v>161</v>
      </c>
      <c r="K234" s="4" t="s">
        <v>13</v>
      </c>
      <c r="L234" s="4">
        <v>2023</v>
      </c>
      <c r="M234" s="4">
        <v>1</v>
      </c>
      <c r="N234" s="4">
        <v>1</v>
      </c>
      <c r="O234" s="4"/>
    </row>
    <row r="235" spans="1:15">
      <c r="A235" s="4" t="s">
        <v>425</v>
      </c>
      <c r="B235" s="4" t="s">
        <v>487</v>
      </c>
      <c r="C235" s="14" t="s">
        <v>488</v>
      </c>
      <c r="D235" s="13">
        <v>1</v>
      </c>
      <c r="E235" s="13" t="s">
        <v>679</v>
      </c>
      <c r="F235" s="13">
        <v>1</v>
      </c>
      <c r="G235" s="13">
        <v>1</v>
      </c>
      <c r="H235" s="4">
        <v>32</v>
      </c>
      <c r="I235" s="4">
        <v>38</v>
      </c>
      <c r="J235" s="4" t="s">
        <v>161</v>
      </c>
      <c r="K235" s="4" t="s">
        <v>13</v>
      </c>
      <c r="L235" s="4">
        <v>2023</v>
      </c>
      <c r="M235" s="4">
        <v>1</v>
      </c>
      <c r="N235" s="4">
        <v>1</v>
      </c>
      <c r="O235" s="4"/>
    </row>
    <row r="236" spans="1:15">
      <c r="A236" s="4" t="s">
        <v>425</v>
      </c>
      <c r="B236" s="4" t="s">
        <v>489</v>
      </c>
      <c r="C236" s="9" t="s">
        <v>490</v>
      </c>
      <c r="D236" s="13">
        <v>1</v>
      </c>
      <c r="E236" s="13" t="s">
        <v>679</v>
      </c>
      <c r="F236" s="13">
        <v>1</v>
      </c>
      <c r="G236" s="13">
        <v>1</v>
      </c>
      <c r="H236" s="4">
        <v>33</v>
      </c>
      <c r="I236" s="4">
        <v>38</v>
      </c>
      <c r="J236" s="4" t="s">
        <v>161</v>
      </c>
      <c r="K236" s="4" t="s">
        <v>13</v>
      </c>
      <c r="L236" s="4">
        <v>2023</v>
      </c>
      <c r="M236" s="4">
        <v>1</v>
      </c>
      <c r="N236" s="4">
        <v>1</v>
      </c>
      <c r="O236" s="4"/>
    </row>
    <row r="237" spans="1:15">
      <c r="A237" s="4" t="s">
        <v>425</v>
      </c>
      <c r="B237" s="4" t="s">
        <v>491</v>
      </c>
      <c r="C237" s="14" t="s">
        <v>492</v>
      </c>
      <c r="D237" s="13">
        <v>1</v>
      </c>
      <c r="E237" s="13" t="s">
        <v>679</v>
      </c>
      <c r="F237" s="13">
        <v>1</v>
      </c>
      <c r="G237" s="13">
        <v>2</v>
      </c>
      <c r="H237" s="4">
        <v>34</v>
      </c>
      <c r="I237" s="4">
        <v>38</v>
      </c>
      <c r="J237" s="4" t="s">
        <v>161</v>
      </c>
      <c r="K237" s="4" t="s">
        <v>13</v>
      </c>
      <c r="L237" s="4">
        <v>2023</v>
      </c>
      <c r="M237" s="4">
        <v>1</v>
      </c>
      <c r="N237" s="4">
        <v>1</v>
      </c>
      <c r="O237" s="4"/>
    </row>
    <row r="238" spans="1:15">
      <c r="A238" s="4" t="s">
        <v>425</v>
      </c>
      <c r="B238" s="4" t="s">
        <v>493</v>
      </c>
      <c r="C238" s="14" t="s">
        <v>494</v>
      </c>
      <c r="D238" s="13">
        <v>1</v>
      </c>
      <c r="E238" s="13" t="s">
        <v>677</v>
      </c>
      <c r="F238" s="13">
        <v>1</v>
      </c>
      <c r="G238" s="13">
        <v>1</v>
      </c>
      <c r="H238" s="4">
        <v>35</v>
      </c>
      <c r="I238" s="4">
        <v>38</v>
      </c>
      <c r="J238" s="4" t="s">
        <v>161</v>
      </c>
      <c r="K238" s="4" t="s">
        <v>13</v>
      </c>
      <c r="L238" s="4">
        <v>2023</v>
      </c>
      <c r="M238" s="4">
        <v>1</v>
      </c>
      <c r="N238" s="4">
        <v>1</v>
      </c>
      <c r="O238" s="4"/>
    </row>
    <row r="239" spans="1:15">
      <c r="A239" s="4" t="s">
        <v>425</v>
      </c>
      <c r="B239" s="4" t="s">
        <v>495</v>
      </c>
      <c r="C239" s="14" t="s">
        <v>496</v>
      </c>
      <c r="D239" s="13">
        <v>0</v>
      </c>
      <c r="F239" s="13">
        <v>1</v>
      </c>
      <c r="G239" s="13">
        <v>1</v>
      </c>
      <c r="H239" s="4">
        <v>36</v>
      </c>
      <c r="I239" s="4">
        <v>38</v>
      </c>
      <c r="J239" s="4" t="s">
        <v>161</v>
      </c>
      <c r="K239" s="4" t="s">
        <v>13</v>
      </c>
      <c r="L239" s="4">
        <v>2023</v>
      </c>
      <c r="M239" s="4">
        <v>1</v>
      </c>
      <c r="N239" s="4">
        <v>1</v>
      </c>
      <c r="O239" s="4"/>
    </row>
    <row r="240" spans="1:15">
      <c r="A240" s="4" t="s">
        <v>425</v>
      </c>
      <c r="B240" s="4" t="s">
        <v>497</v>
      </c>
      <c r="C240" s="14" t="s">
        <v>498</v>
      </c>
      <c r="D240" s="13">
        <v>0</v>
      </c>
      <c r="F240" s="13">
        <v>1</v>
      </c>
      <c r="G240" s="13">
        <v>1</v>
      </c>
      <c r="H240" s="4">
        <v>37</v>
      </c>
      <c r="I240" s="4">
        <v>38</v>
      </c>
      <c r="J240" s="4" t="s">
        <v>161</v>
      </c>
      <c r="K240" s="4" t="s">
        <v>13</v>
      </c>
      <c r="L240" s="4">
        <v>2023</v>
      </c>
      <c r="M240" s="4">
        <v>1</v>
      </c>
      <c r="N240" s="4">
        <v>1</v>
      </c>
      <c r="O240" s="4"/>
    </row>
    <row r="241" spans="1:15">
      <c r="A241" s="4" t="s">
        <v>425</v>
      </c>
      <c r="B241" s="4" t="s">
        <v>499</v>
      </c>
      <c r="C241" s="14" t="s">
        <v>500</v>
      </c>
      <c r="D241" s="13">
        <v>0</v>
      </c>
      <c r="F241" s="13">
        <v>1</v>
      </c>
      <c r="G241" s="13">
        <v>1</v>
      </c>
      <c r="H241" s="4">
        <v>38</v>
      </c>
      <c r="I241" s="4">
        <v>38</v>
      </c>
      <c r="J241" s="4" t="s">
        <v>161</v>
      </c>
      <c r="K241" s="4" t="s">
        <v>13</v>
      </c>
      <c r="L241" s="4">
        <v>2023</v>
      </c>
      <c r="M241" s="4">
        <v>1</v>
      </c>
      <c r="N241" s="4">
        <v>1</v>
      </c>
      <c r="O241" s="4"/>
    </row>
    <row r="242" spans="1:15">
      <c r="A242" s="4" t="s">
        <v>501</v>
      </c>
      <c r="B242" s="4" t="s">
        <v>502</v>
      </c>
      <c r="C242" s="14" t="s">
        <v>503</v>
      </c>
      <c r="D242" s="13">
        <v>0</v>
      </c>
      <c r="F242" s="13">
        <v>0</v>
      </c>
      <c r="G242" s="13">
        <v>0</v>
      </c>
      <c r="H242" s="4">
        <v>1</v>
      </c>
      <c r="I242" s="4">
        <v>41</v>
      </c>
      <c r="J242" s="4" t="s">
        <v>161</v>
      </c>
      <c r="K242" s="4" t="s">
        <v>13</v>
      </c>
      <c r="L242" s="4">
        <v>2024</v>
      </c>
      <c r="M242" s="4">
        <v>1</v>
      </c>
      <c r="N242" s="4">
        <v>1</v>
      </c>
      <c r="O242" s="4"/>
    </row>
    <row r="243" spans="1:15">
      <c r="A243" s="4" t="s">
        <v>501</v>
      </c>
      <c r="B243" s="4" t="s">
        <v>504</v>
      </c>
      <c r="C243" s="14" t="s">
        <v>505</v>
      </c>
      <c r="D243" s="13">
        <v>0</v>
      </c>
      <c r="F243" s="13">
        <v>0</v>
      </c>
      <c r="G243" s="13">
        <v>0</v>
      </c>
      <c r="H243" s="4">
        <v>2</v>
      </c>
      <c r="I243" s="4">
        <v>41</v>
      </c>
      <c r="J243" s="4" t="s">
        <v>161</v>
      </c>
      <c r="K243" s="4" t="s">
        <v>13</v>
      </c>
      <c r="L243" s="4">
        <v>2024</v>
      </c>
      <c r="M243" s="4">
        <v>1</v>
      </c>
      <c r="N243" s="4">
        <v>1</v>
      </c>
      <c r="O243" s="4"/>
    </row>
    <row r="244" spans="1:15">
      <c r="A244" s="4" t="s">
        <v>501</v>
      </c>
      <c r="B244" s="4" t="s">
        <v>506</v>
      </c>
      <c r="C244" s="14" t="s">
        <v>507</v>
      </c>
      <c r="D244" s="13">
        <v>1</v>
      </c>
      <c r="E244" s="13" t="s">
        <v>679</v>
      </c>
      <c r="F244" s="13">
        <v>1</v>
      </c>
      <c r="G244" s="13">
        <v>1</v>
      </c>
      <c r="H244" s="4">
        <v>3</v>
      </c>
      <c r="I244" s="4">
        <v>41</v>
      </c>
      <c r="J244" s="4" t="s">
        <v>161</v>
      </c>
      <c r="K244" s="4" t="s">
        <v>13</v>
      </c>
      <c r="L244" s="4">
        <v>2024</v>
      </c>
      <c r="M244" s="4">
        <v>1</v>
      </c>
      <c r="N244" s="4">
        <v>1</v>
      </c>
      <c r="O244" s="4"/>
    </row>
    <row r="245" spans="1:15">
      <c r="A245" s="4" t="s">
        <v>501</v>
      </c>
      <c r="B245" s="4" t="s">
        <v>508</v>
      </c>
      <c r="C245" s="14" t="s">
        <v>509</v>
      </c>
      <c r="D245" s="13">
        <v>1</v>
      </c>
      <c r="E245" s="13" t="s">
        <v>679</v>
      </c>
      <c r="F245" s="13">
        <v>1</v>
      </c>
      <c r="G245" s="13">
        <v>1</v>
      </c>
      <c r="H245" s="4">
        <v>4</v>
      </c>
      <c r="I245" s="4">
        <v>41</v>
      </c>
      <c r="J245" s="4" t="s">
        <v>161</v>
      </c>
      <c r="K245" s="4" t="s">
        <v>13</v>
      </c>
      <c r="L245" s="4">
        <v>2024</v>
      </c>
      <c r="M245" s="4">
        <v>1</v>
      </c>
      <c r="N245" s="4">
        <v>1</v>
      </c>
      <c r="O245" s="4"/>
    </row>
    <row r="246" spans="1:15">
      <c r="A246" s="4" t="s">
        <v>501</v>
      </c>
      <c r="B246" s="4" t="s">
        <v>510</v>
      </c>
      <c r="C246" s="14" t="s">
        <v>511</v>
      </c>
      <c r="D246" s="13">
        <v>0</v>
      </c>
      <c r="F246" s="13">
        <v>0</v>
      </c>
      <c r="G246" s="13">
        <v>0</v>
      </c>
      <c r="H246" s="4">
        <v>5</v>
      </c>
      <c r="I246" s="4">
        <v>41</v>
      </c>
      <c r="J246" s="4" t="s">
        <v>161</v>
      </c>
      <c r="K246" s="4" t="s">
        <v>13</v>
      </c>
      <c r="L246" s="4">
        <v>2024</v>
      </c>
      <c r="M246" s="4">
        <v>1</v>
      </c>
      <c r="N246" s="4">
        <v>1</v>
      </c>
      <c r="O246" s="4"/>
    </row>
    <row r="247" spans="1:15">
      <c r="A247" s="4" t="s">
        <v>501</v>
      </c>
      <c r="B247" s="4" t="s">
        <v>512</v>
      </c>
      <c r="C247" s="14" t="s">
        <v>513</v>
      </c>
      <c r="D247" s="13">
        <v>0</v>
      </c>
      <c r="F247" s="13">
        <v>0</v>
      </c>
      <c r="G247" s="13">
        <v>0</v>
      </c>
      <c r="H247" s="4">
        <v>6</v>
      </c>
      <c r="I247" s="4">
        <v>41</v>
      </c>
      <c r="J247" s="4" t="s">
        <v>161</v>
      </c>
      <c r="K247" s="4" t="s">
        <v>13</v>
      </c>
      <c r="L247" s="4">
        <v>2024</v>
      </c>
      <c r="M247" s="4">
        <v>1</v>
      </c>
      <c r="N247" s="4">
        <v>1</v>
      </c>
      <c r="O247" s="4"/>
    </row>
    <row r="248" spans="1:15">
      <c r="A248" s="4" t="s">
        <v>501</v>
      </c>
      <c r="B248" s="4" t="s">
        <v>514</v>
      </c>
      <c r="C248" s="14" t="s">
        <v>515</v>
      </c>
      <c r="D248" s="13">
        <v>0</v>
      </c>
      <c r="F248" s="13">
        <v>0</v>
      </c>
      <c r="G248" s="13">
        <v>0</v>
      </c>
      <c r="H248" s="4">
        <v>7</v>
      </c>
      <c r="I248" s="4">
        <v>41</v>
      </c>
      <c r="J248" s="4" t="s">
        <v>161</v>
      </c>
      <c r="K248" s="4" t="s">
        <v>13</v>
      </c>
      <c r="L248" s="4">
        <v>2024</v>
      </c>
      <c r="M248" s="4">
        <v>1</v>
      </c>
      <c r="N248" s="4">
        <v>1</v>
      </c>
      <c r="O248" s="4"/>
    </row>
    <row r="249" spans="1:15">
      <c r="A249" s="4" t="s">
        <v>501</v>
      </c>
      <c r="B249" s="4" t="s">
        <v>516</v>
      </c>
      <c r="C249" s="14" t="s">
        <v>517</v>
      </c>
      <c r="D249" s="13">
        <v>1</v>
      </c>
      <c r="E249" s="13" t="s">
        <v>679</v>
      </c>
      <c r="F249" s="13">
        <v>1</v>
      </c>
      <c r="G249" s="13">
        <v>2</v>
      </c>
      <c r="H249" s="4">
        <v>8</v>
      </c>
      <c r="I249" s="4">
        <v>41</v>
      </c>
      <c r="J249" s="4" t="s">
        <v>161</v>
      </c>
      <c r="K249" s="4" t="s">
        <v>13</v>
      </c>
      <c r="L249" s="4">
        <v>2024</v>
      </c>
      <c r="M249" s="4">
        <v>1</v>
      </c>
      <c r="N249" s="4">
        <v>1</v>
      </c>
      <c r="O249" s="4"/>
    </row>
    <row r="250" spans="1:15">
      <c r="A250" s="4" t="s">
        <v>501</v>
      </c>
      <c r="B250" s="4" t="s">
        <v>518</v>
      </c>
      <c r="C250" s="9" t="s">
        <v>519</v>
      </c>
      <c r="D250" s="13">
        <v>1</v>
      </c>
      <c r="E250" s="13" t="s">
        <v>679</v>
      </c>
      <c r="F250" s="13">
        <v>0</v>
      </c>
      <c r="G250" s="13">
        <v>0</v>
      </c>
      <c r="H250" s="4">
        <v>9</v>
      </c>
      <c r="I250" s="4">
        <v>41</v>
      </c>
      <c r="J250" s="4" t="s">
        <v>161</v>
      </c>
      <c r="K250" s="4" t="s">
        <v>13</v>
      </c>
      <c r="L250" s="4">
        <v>2024</v>
      </c>
      <c r="M250" s="4">
        <v>1</v>
      </c>
      <c r="N250" s="4">
        <v>1</v>
      </c>
      <c r="O250" s="4"/>
    </row>
    <row r="251" spans="1:15">
      <c r="A251" s="4" t="s">
        <v>501</v>
      </c>
      <c r="B251" s="4" t="s">
        <v>520</v>
      </c>
      <c r="C251" s="14" t="s">
        <v>521</v>
      </c>
      <c r="D251" s="13">
        <v>1</v>
      </c>
      <c r="E251" s="13" t="s">
        <v>679</v>
      </c>
      <c r="F251" s="13">
        <v>0</v>
      </c>
      <c r="G251" s="13">
        <v>0</v>
      </c>
      <c r="H251" s="4">
        <v>10</v>
      </c>
      <c r="I251" s="4">
        <v>41</v>
      </c>
      <c r="J251" s="4" t="s">
        <v>161</v>
      </c>
      <c r="K251" s="4" t="s">
        <v>13</v>
      </c>
      <c r="L251" s="4">
        <v>2024</v>
      </c>
      <c r="M251" s="4">
        <v>1</v>
      </c>
      <c r="N251" s="4">
        <v>1</v>
      </c>
      <c r="O251" s="4"/>
    </row>
    <row r="252" spans="1:15">
      <c r="A252" s="4" t="s">
        <v>501</v>
      </c>
      <c r="B252" s="4" t="s">
        <v>522</v>
      </c>
      <c r="C252" s="14" t="s">
        <v>523</v>
      </c>
      <c r="D252" s="13">
        <v>1</v>
      </c>
      <c r="E252" s="13" t="s">
        <v>675</v>
      </c>
      <c r="F252" s="13">
        <v>1</v>
      </c>
      <c r="G252" s="13">
        <v>2</v>
      </c>
      <c r="H252" s="4">
        <v>11</v>
      </c>
      <c r="I252" s="4">
        <v>41</v>
      </c>
      <c r="J252" s="4" t="s">
        <v>161</v>
      </c>
      <c r="K252" s="4" t="s">
        <v>13</v>
      </c>
      <c r="L252" s="4">
        <v>2024</v>
      </c>
      <c r="M252" s="4">
        <v>1</v>
      </c>
      <c r="N252" s="4">
        <v>1</v>
      </c>
      <c r="O252" s="4"/>
    </row>
    <row r="253" spans="1:15">
      <c r="A253" s="4" t="s">
        <v>501</v>
      </c>
      <c r="B253" s="4" t="s">
        <v>524</v>
      </c>
      <c r="C253" s="9" t="s">
        <v>525</v>
      </c>
      <c r="D253" s="13">
        <v>1</v>
      </c>
      <c r="E253" s="13" t="s">
        <v>679</v>
      </c>
      <c r="F253" s="13">
        <v>1</v>
      </c>
      <c r="G253" s="13">
        <v>1</v>
      </c>
      <c r="H253" s="4">
        <v>12</v>
      </c>
      <c r="I253" s="4">
        <v>41</v>
      </c>
      <c r="J253" s="4" t="s">
        <v>161</v>
      </c>
      <c r="K253" s="4" t="s">
        <v>13</v>
      </c>
      <c r="L253" s="4">
        <v>2024</v>
      </c>
      <c r="M253" s="4">
        <v>1</v>
      </c>
      <c r="N253" s="4">
        <v>1</v>
      </c>
      <c r="O253" s="4"/>
    </row>
    <row r="254" spans="1:15">
      <c r="A254" s="4" t="s">
        <v>501</v>
      </c>
      <c r="B254" s="4" t="s">
        <v>526</v>
      </c>
      <c r="C254" s="14" t="s">
        <v>527</v>
      </c>
      <c r="D254" s="13">
        <v>1</v>
      </c>
      <c r="E254" s="13" t="s">
        <v>679</v>
      </c>
      <c r="F254" s="13">
        <v>0</v>
      </c>
      <c r="G254" s="13">
        <v>0</v>
      </c>
      <c r="H254" s="4">
        <v>13</v>
      </c>
      <c r="I254" s="4">
        <v>41</v>
      </c>
      <c r="J254" s="4" t="s">
        <v>161</v>
      </c>
      <c r="K254" s="4" t="s">
        <v>13</v>
      </c>
      <c r="L254" s="4">
        <v>2024</v>
      </c>
      <c r="M254" s="4">
        <v>1</v>
      </c>
      <c r="N254" s="4">
        <v>1</v>
      </c>
      <c r="O254" s="4"/>
    </row>
    <row r="255" spans="1:15">
      <c r="A255" s="4" t="s">
        <v>501</v>
      </c>
      <c r="B255" s="4" t="s">
        <v>528</v>
      </c>
      <c r="C255" s="14" t="s">
        <v>529</v>
      </c>
      <c r="D255" s="13">
        <v>1</v>
      </c>
      <c r="E255" s="13" t="s">
        <v>679</v>
      </c>
      <c r="F255" s="13">
        <v>1</v>
      </c>
      <c r="G255" s="13">
        <v>2</v>
      </c>
      <c r="H255" s="4">
        <v>14</v>
      </c>
      <c r="I255" s="4">
        <v>41</v>
      </c>
      <c r="J255" s="4" t="s">
        <v>161</v>
      </c>
      <c r="K255" s="4" t="s">
        <v>13</v>
      </c>
      <c r="L255" s="4">
        <v>2024</v>
      </c>
      <c r="M255" s="4">
        <v>1</v>
      </c>
      <c r="N255" s="4">
        <v>1</v>
      </c>
      <c r="O255" s="4"/>
    </row>
    <row r="256" spans="1:15">
      <c r="A256" s="4" t="s">
        <v>501</v>
      </c>
      <c r="B256" s="4" t="s">
        <v>530</v>
      </c>
      <c r="C256" s="14" t="s">
        <v>531</v>
      </c>
      <c r="D256" s="13">
        <v>1</v>
      </c>
      <c r="E256" s="13" t="s">
        <v>677</v>
      </c>
      <c r="F256" s="13">
        <v>1</v>
      </c>
      <c r="G256" s="13">
        <v>1</v>
      </c>
      <c r="H256" s="4">
        <v>15</v>
      </c>
      <c r="I256" s="4">
        <v>41</v>
      </c>
      <c r="J256" s="4" t="s">
        <v>161</v>
      </c>
      <c r="K256" s="4" t="s">
        <v>13</v>
      </c>
      <c r="L256" s="4">
        <v>2024</v>
      </c>
      <c r="M256" s="4">
        <v>1</v>
      </c>
      <c r="N256" s="4">
        <v>1</v>
      </c>
      <c r="O256" s="4"/>
    </row>
    <row r="257" spans="1:15">
      <c r="A257" s="4" t="s">
        <v>501</v>
      </c>
      <c r="B257" s="4" t="s">
        <v>532</v>
      </c>
      <c r="C257" s="14" t="s">
        <v>534</v>
      </c>
      <c r="D257" s="13">
        <v>1</v>
      </c>
      <c r="E257" s="13" t="s">
        <v>677</v>
      </c>
      <c r="F257" s="13">
        <v>0</v>
      </c>
      <c r="G257" s="13">
        <v>0</v>
      </c>
      <c r="H257" s="4">
        <v>16</v>
      </c>
      <c r="I257" s="4">
        <v>41</v>
      </c>
      <c r="J257" s="4" t="s">
        <v>161</v>
      </c>
      <c r="K257" s="4" t="s">
        <v>13</v>
      </c>
      <c r="L257" s="4">
        <v>2024</v>
      </c>
      <c r="M257" s="4">
        <v>1</v>
      </c>
      <c r="N257" s="4">
        <v>1</v>
      </c>
      <c r="O257" s="4"/>
    </row>
    <row r="258" spans="1:15">
      <c r="A258" s="4" t="s">
        <v>501</v>
      </c>
      <c r="B258" s="4" t="s">
        <v>533</v>
      </c>
      <c r="C258" s="14" t="s">
        <v>536</v>
      </c>
      <c r="D258" s="13">
        <v>1</v>
      </c>
      <c r="E258" s="13" t="s">
        <v>677</v>
      </c>
      <c r="F258" s="13">
        <v>1</v>
      </c>
      <c r="G258" s="13">
        <v>1</v>
      </c>
      <c r="H258" s="4">
        <v>17</v>
      </c>
      <c r="I258" s="4">
        <v>41</v>
      </c>
      <c r="J258" s="4" t="s">
        <v>161</v>
      </c>
      <c r="K258" s="4" t="s">
        <v>13</v>
      </c>
      <c r="L258" s="4">
        <v>2024</v>
      </c>
      <c r="M258" s="4">
        <v>1</v>
      </c>
      <c r="N258" s="4">
        <v>1</v>
      </c>
      <c r="O258" s="4"/>
    </row>
    <row r="259" spans="1:15">
      <c r="A259" s="4" t="s">
        <v>501</v>
      </c>
      <c r="B259" s="4" t="s">
        <v>535</v>
      </c>
      <c r="C259" s="14" t="s">
        <v>538</v>
      </c>
      <c r="D259" s="13">
        <v>1</v>
      </c>
      <c r="E259" s="13" t="s">
        <v>677</v>
      </c>
      <c r="F259" s="13">
        <v>1</v>
      </c>
      <c r="G259" s="13">
        <v>1</v>
      </c>
      <c r="H259" s="4">
        <v>18</v>
      </c>
      <c r="I259" s="4">
        <v>41</v>
      </c>
      <c r="J259" s="4" t="s">
        <v>161</v>
      </c>
      <c r="K259" s="4" t="s">
        <v>13</v>
      </c>
      <c r="L259" s="4">
        <v>2024</v>
      </c>
      <c r="M259" s="4">
        <v>1</v>
      </c>
      <c r="N259" s="4">
        <v>1</v>
      </c>
      <c r="O259" s="4"/>
    </row>
    <row r="260" spans="1:15">
      <c r="A260" s="4" t="s">
        <v>501</v>
      </c>
      <c r="B260" s="4" t="s">
        <v>537</v>
      </c>
      <c r="C260" s="14" t="s">
        <v>540</v>
      </c>
      <c r="D260" s="13">
        <v>1</v>
      </c>
      <c r="E260" s="13" t="s">
        <v>677</v>
      </c>
      <c r="F260" s="13">
        <v>0</v>
      </c>
      <c r="G260" s="13">
        <v>0</v>
      </c>
      <c r="H260" s="4">
        <v>19</v>
      </c>
      <c r="I260" s="4">
        <v>41</v>
      </c>
      <c r="J260" s="4" t="s">
        <v>161</v>
      </c>
      <c r="K260" s="4" t="s">
        <v>13</v>
      </c>
      <c r="L260" s="4">
        <v>2024</v>
      </c>
      <c r="M260" s="4">
        <v>1</v>
      </c>
      <c r="N260" s="4">
        <v>1</v>
      </c>
      <c r="O260" s="4"/>
    </row>
    <row r="261" spans="1:15">
      <c r="A261" s="4" t="s">
        <v>501</v>
      </c>
      <c r="B261" s="4" t="s">
        <v>539</v>
      </c>
      <c r="C261" s="14" t="s">
        <v>542</v>
      </c>
      <c r="D261" s="13">
        <v>1</v>
      </c>
      <c r="E261" s="13" t="s">
        <v>677</v>
      </c>
      <c r="F261" s="13">
        <v>0</v>
      </c>
      <c r="G261" s="13">
        <v>0</v>
      </c>
      <c r="H261" s="4">
        <v>20</v>
      </c>
      <c r="I261" s="4">
        <v>41</v>
      </c>
      <c r="J261" s="4" t="s">
        <v>161</v>
      </c>
      <c r="K261" s="4" t="s">
        <v>13</v>
      </c>
      <c r="L261" s="4">
        <v>2024</v>
      </c>
      <c r="M261" s="4">
        <v>1</v>
      </c>
      <c r="N261" s="4">
        <v>1</v>
      </c>
      <c r="O261" s="4"/>
    </row>
    <row r="262" spans="1:15">
      <c r="A262" s="4" t="s">
        <v>501</v>
      </c>
      <c r="B262" s="4" t="s">
        <v>541</v>
      </c>
      <c r="C262" s="14" t="s">
        <v>544</v>
      </c>
      <c r="D262" s="13">
        <v>0</v>
      </c>
      <c r="F262" s="13">
        <v>1</v>
      </c>
      <c r="G262" s="13">
        <v>1</v>
      </c>
      <c r="H262" s="4">
        <v>21</v>
      </c>
      <c r="I262" s="4">
        <v>41</v>
      </c>
      <c r="J262" s="4" t="s">
        <v>161</v>
      </c>
      <c r="K262" s="4" t="s">
        <v>13</v>
      </c>
      <c r="L262" s="4">
        <v>2024</v>
      </c>
      <c r="M262" s="4">
        <v>1</v>
      </c>
      <c r="N262" s="4">
        <v>1</v>
      </c>
      <c r="O262" s="4"/>
    </row>
    <row r="263" spans="1:15">
      <c r="A263" s="4" t="s">
        <v>501</v>
      </c>
      <c r="B263" s="4" t="s">
        <v>543</v>
      </c>
      <c r="C263" s="9" t="s">
        <v>546</v>
      </c>
      <c r="D263" s="13">
        <v>1</v>
      </c>
      <c r="E263" s="13" t="s">
        <v>677</v>
      </c>
      <c r="F263" s="13">
        <v>0</v>
      </c>
      <c r="G263" s="13">
        <v>0</v>
      </c>
      <c r="H263" s="4">
        <v>22</v>
      </c>
      <c r="I263" s="4">
        <v>41</v>
      </c>
      <c r="J263" s="4" t="s">
        <v>161</v>
      </c>
      <c r="K263" s="4" t="s">
        <v>13</v>
      </c>
      <c r="L263" s="4">
        <v>2024</v>
      </c>
      <c r="M263" s="4">
        <v>1</v>
      </c>
      <c r="N263" s="4">
        <v>1</v>
      </c>
      <c r="O263" s="4"/>
    </row>
    <row r="264" spans="1:15">
      <c r="A264" s="4" t="s">
        <v>501</v>
      </c>
      <c r="B264" s="4" t="s">
        <v>545</v>
      </c>
      <c r="C264" s="14" t="s">
        <v>548</v>
      </c>
      <c r="D264" s="13">
        <v>0</v>
      </c>
      <c r="F264" s="13">
        <v>0</v>
      </c>
      <c r="G264" s="13">
        <v>0</v>
      </c>
      <c r="H264" s="4">
        <v>23</v>
      </c>
      <c r="I264" s="4">
        <v>41</v>
      </c>
      <c r="J264" s="4" t="s">
        <v>161</v>
      </c>
      <c r="K264" s="4" t="s">
        <v>13</v>
      </c>
      <c r="L264" s="4">
        <v>2024</v>
      </c>
      <c r="M264" s="4">
        <v>1</v>
      </c>
      <c r="N264" s="4">
        <v>1</v>
      </c>
      <c r="O264" s="4"/>
    </row>
    <row r="265" spans="1:15">
      <c r="A265" s="4" t="s">
        <v>501</v>
      </c>
      <c r="B265" s="4" t="s">
        <v>547</v>
      </c>
      <c r="C265" s="14" t="s">
        <v>468</v>
      </c>
      <c r="D265" s="13">
        <v>0</v>
      </c>
      <c r="F265" s="13">
        <v>0</v>
      </c>
      <c r="G265" s="13">
        <v>0</v>
      </c>
      <c r="H265" s="4">
        <v>24</v>
      </c>
      <c r="I265" s="4">
        <v>41</v>
      </c>
      <c r="J265" s="4" t="s">
        <v>161</v>
      </c>
      <c r="K265" s="4" t="s">
        <v>13</v>
      </c>
      <c r="L265" s="4">
        <v>2024</v>
      </c>
      <c r="M265" s="4">
        <v>1</v>
      </c>
      <c r="N265" s="4">
        <v>1</v>
      </c>
      <c r="O265" s="4"/>
    </row>
    <row r="266" spans="1:15">
      <c r="A266" s="4" t="s">
        <v>501</v>
      </c>
      <c r="B266" s="4" t="s">
        <v>549</v>
      </c>
      <c r="C266" s="14" t="s">
        <v>551</v>
      </c>
      <c r="D266" s="13">
        <v>1</v>
      </c>
      <c r="E266" s="13" t="s">
        <v>677</v>
      </c>
      <c r="F266" s="13">
        <v>0</v>
      </c>
      <c r="G266" s="13">
        <v>0</v>
      </c>
      <c r="H266" s="4">
        <v>25</v>
      </c>
      <c r="I266" s="4">
        <v>41</v>
      </c>
      <c r="J266" s="4" t="s">
        <v>161</v>
      </c>
      <c r="K266" s="4" t="s">
        <v>13</v>
      </c>
      <c r="L266" s="4">
        <v>2024</v>
      </c>
      <c r="M266" s="4">
        <v>1</v>
      </c>
      <c r="N266" s="4">
        <v>1</v>
      </c>
      <c r="O266" s="4"/>
    </row>
    <row r="267" spans="1:15">
      <c r="A267" s="4" t="s">
        <v>501</v>
      </c>
      <c r="B267" s="4" t="s">
        <v>550</v>
      </c>
      <c r="C267" s="14" t="s">
        <v>553</v>
      </c>
      <c r="D267" s="13">
        <v>1</v>
      </c>
      <c r="E267" s="13" t="s">
        <v>677</v>
      </c>
      <c r="F267" s="13">
        <v>0</v>
      </c>
      <c r="G267" s="13">
        <v>0</v>
      </c>
      <c r="H267" s="4">
        <v>26</v>
      </c>
      <c r="I267" s="4">
        <v>41</v>
      </c>
      <c r="J267" s="4" t="s">
        <v>161</v>
      </c>
      <c r="K267" s="4" t="s">
        <v>13</v>
      </c>
      <c r="L267" s="4">
        <v>2024</v>
      </c>
      <c r="M267" s="4">
        <v>1</v>
      </c>
      <c r="N267" s="4">
        <v>1</v>
      </c>
      <c r="O267" s="4"/>
    </row>
    <row r="268" spans="1:15">
      <c r="A268" s="4" t="s">
        <v>501</v>
      </c>
      <c r="B268" s="4" t="s">
        <v>552</v>
      </c>
      <c r="C268" s="14" t="s">
        <v>472</v>
      </c>
      <c r="D268" s="13">
        <v>1</v>
      </c>
      <c r="E268" s="13" t="s">
        <v>679</v>
      </c>
      <c r="F268" s="13">
        <v>0</v>
      </c>
      <c r="G268" s="13">
        <v>0</v>
      </c>
      <c r="H268" s="4">
        <v>27</v>
      </c>
      <c r="I268" s="4">
        <v>41</v>
      </c>
      <c r="J268" s="4" t="s">
        <v>161</v>
      </c>
      <c r="K268" s="4" t="s">
        <v>13</v>
      </c>
      <c r="L268" s="4">
        <v>2024</v>
      </c>
      <c r="M268" s="4">
        <v>1</v>
      </c>
      <c r="N268" s="4">
        <v>1</v>
      </c>
      <c r="O268" s="4"/>
    </row>
    <row r="269" spans="1:15">
      <c r="A269" s="4" t="s">
        <v>501</v>
      </c>
      <c r="B269" s="4" t="s">
        <v>554</v>
      </c>
      <c r="C269" s="14" t="s">
        <v>556</v>
      </c>
      <c r="D269" s="13">
        <v>1</v>
      </c>
      <c r="E269" s="13" t="s">
        <v>679</v>
      </c>
      <c r="F269" s="13">
        <v>0</v>
      </c>
      <c r="G269" s="13">
        <v>0</v>
      </c>
      <c r="H269" s="4">
        <v>28</v>
      </c>
      <c r="I269" s="4">
        <v>41</v>
      </c>
      <c r="J269" s="4" t="s">
        <v>161</v>
      </c>
      <c r="K269" s="4" t="s">
        <v>13</v>
      </c>
      <c r="L269" s="4">
        <v>2024</v>
      </c>
      <c r="M269" s="4">
        <v>1</v>
      </c>
      <c r="N269" s="4">
        <v>1</v>
      </c>
      <c r="O269" s="4"/>
    </row>
    <row r="270" spans="1:15">
      <c r="A270" s="4" t="s">
        <v>501</v>
      </c>
      <c r="B270" s="4" t="s">
        <v>555</v>
      </c>
      <c r="C270" s="14" t="s">
        <v>558</v>
      </c>
      <c r="D270" s="13">
        <v>1</v>
      </c>
      <c r="E270" s="13" t="s">
        <v>679</v>
      </c>
      <c r="F270" s="13">
        <v>1</v>
      </c>
      <c r="G270" s="13">
        <v>2</v>
      </c>
      <c r="H270" s="4">
        <v>29</v>
      </c>
      <c r="I270" s="4">
        <v>41</v>
      </c>
      <c r="J270" s="4" t="s">
        <v>161</v>
      </c>
      <c r="K270" s="4" t="s">
        <v>13</v>
      </c>
      <c r="L270" s="4">
        <v>2024</v>
      </c>
      <c r="M270" s="4">
        <v>1</v>
      </c>
      <c r="N270" s="4">
        <v>1</v>
      </c>
      <c r="O270" s="4"/>
    </row>
    <row r="271" spans="1:15">
      <c r="A271" s="4" t="s">
        <v>501</v>
      </c>
      <c r="B271" s="4" t="s">
        <v>557</v>
      </c>
      <c r="C271" s="14" t="s">
        <v>560</v>
      </c>
      <c r="D271" s="13">
        <v>1</v>
      </c>
      <c r="E271" s="13" t="s">
        <v>677</v>
      </c>
      <c r="F271" s="13">
        <v>0</v>
      </c>
      <c r="G271" s="13">
        <v>0</v>
      </c>
      <c r="H271" s="4">
        <v>30</v>
      </c>
      <c r="I271" s="4">
        <v>41</v>
      </c>
      <c r="J271" s="4" t="s">
        <v>161</v>
      </c>
      <c r="K271" s="4" t="s">
        <v>13</v>
      </c>
      <c r="L271" s="4">
        <v>2024</v>
      </c>
      <c r="M271" s="4">
        <v>1</v>
      </c>
      <c r="N271" s="4">
        <v>1</v>
      </c>
      <c r="O271" s="4"/>
    </row>
    <row r="272" spans="1:15">
      <c r="A272" s="4" t="s">
        <v>501</v>
      </c>
      <c r="B272" s="4" t="s">
        <v>559</v>
      </c>
      <c r="C272" s="14" t="s">
        <v>486</v>
      </c>
      <c r="D272" s="13">
        <v>1</v>
      </c>
      <c r="E272" s="13" t="s">
        <v>677</v>
      </c>
      <c r="F272" s="13">
        <v>1</v>
      </c>
      <c r="G272" s="13">
        <v>1</v>
      </c>
      <c r="H272" s="4">
        <v>31</v>
      </c>
      <c r="I272" s="4">
        <v>41</v>
      </c>
      <c r="J272" s="4" t="s">
        <v>161</v>
      </c>
      <c r="K272" s="4" t="s">
        <v>13</v>
      </c>
      <c r="L272" s="4">
        <v>2024</v>
      </c>
      <c r="M272" s="4">
        <v>1</v>
      </c>
      <c r="N272" s="4">
        <v>1</v>
      </c>
      <c r="O272" s="4"/>
    </row>
    <row r="273" spans="1:15">
      <c r="A273" s="4" t="s">
        <v>501</v>
      </c>
      <c r="B273" s="4" t="s">
        <v>561</v>
      </c>
      <c r="C273" s="14" t="s">
        <v>563</v>
      </c>
      <c r="D273" s="13">
        <v>1</v>
      </c>
      <c r="E273" s="13" t="s">
        <v>679</v>
      </c>
      <c r="F273" s="13">
        <v>1</v>
      </c>
      <c r="G273" s="13">
        <v>1</v>
      </c>
      <c r="H273" s="4">
        <v>32</v>
      </c>
      <c r="I273" s="4">
        <v>41</v>
      </c>
      <c r="J273" s="4" t="s">
        <v>161</v>
      </c>
      <c r="K273" s="4" t="s">
        <v>13</v>
      </c>
      <c r="L273" s="4">
        <v>2024</v>
      </c>
      <c r="M273" s="4">
        <v>1</v>
      </c>
      <c r="N273" s="4">
        <v>1</v>
      </c>
      <c r="O273" s="4"/>
    </row>
    <row r="274" spans="1:15">
      <c r="A274" s="4" t="s">
        <v>501</v>
      </c>
      <c r="B274" s="4" t="s">
        <v>562</v>
      </c>
      <c r="C274" s="14" t="s">
        <v>564</v>
      </c>
      <c r="D274" s="13">
        <v>1</v>
      </c>
      <c r="E274" s="13" t="s">
        <v>679</v>
      </c>
      <c r="F274" s="13">
        <v>1</v>
      </c>
      <c r="G274" s="13">
        <v>2</v>
      </c>
      <c r="H274" s="4">
        <v>33</v>
      </c>
      <c r="I274" s="4">
        <v>41</v>
      </c>
      <c r="J274" s="4" t="s">
        <v>161</v>
      </c>
      <c r="K274" s="4" t="s">
        <v>13</v>
      </c>
      <c r="L274" s="4">
        <v>2024</v>
      </c>
      <c r="M274" s="4">
        <v>1</v>
      </c>
      <c r="N274" s="4">
        <v>1</v>
      </c>
      <c r="O274" s="4"/>
    </row>
    <row r="275" spans="1:15">
      <c r="A275" s="4" t="s">
        <v>501</v>
      </c>
      <c r="B275" s="4" t="s">
        <v>688</v>
      </c>
      <c r="C275" s="14" t="s">
        <v>492</v>
      </c>
      <c r="D275" s="13">
        <v>1</v>
      </c>
      <c r="E275" s="13" t="s">
        <v>679</v>
      </c>
      <c r="F275" s="13">
        <v>1</v>
      </c>
      <c r="G275" s="13">
        <v>2</v>
      </c>
      <c r="H275" s="4">
        <v>34</v>
      </c>
      <c r="I275" s="4">
        <v>41</v>
      </c>
      <c r="J275" s="4" t="s">
        <v>161</v>
      </c>
      <c r="K275" s="4" t="s">
        <v>13</v>
      </c>
      <c r="L275" s="4">
        <v>2024</v>
      </c>
      <c r="M275" s="4">
        <v>1</v>
      </c>
      <c r="N275" s="4">
        <v>1</v>
      </c>
      <c r="O275" s="4"/>
    </row>
    <row r="276" spans="1:15">
      <c r="A276" s="4" t="s">
        <v>501</v>
      </c>
      <c r="B276" s="4" t="s">
        <v>565</v>
      </c>
      <c r="C276" s="14" t="s">
        <v>567</v>
      </c>
      <c r="D276" s="13">
        <v>0</v>
      </c>
      <c r="F276" s="13">
        <v>0</v>
      </c>
      <c r="G276" s="13">
        <v>0</v>
      </c>
      <c r="H276" s="4">
        <v>35</v>
      </c>
      <c r="I276" s="4">
        <v>41</v>
      </c>
      <c r="J276" s="4" t="s">
        <v>161</v>
      </c>
      <c r="K276" s="4" t="s">
        <v>13</v>
      </c>
      <c r="L276" s="4">
        <v>2024</v>
      </c>
      <c r="M276" s="4">
        <v>1</v>
      </c>
      <c r="N276" s="4">
        <v>1</v>
      </c>
      <c r="O276" s="4"/>
    </row>
    <row r="277" spans="1:15">
      <c r="A277" s="4" t="s">
        <v>501</v>
      </c>
      <c r="B277" s="4" t="s">
        <v>566</v>
      </c>
      <c r="C277" s="9" t="s">
        <v>569</v>
      </c>
      <c r="D277" s="13">
        <v>0</v>
      </c>
      <c r="F277" s="13">
        <v>0</v>
      </c>
      <c r="G277" s="13">
        <v>0</v>
      </c>
      <c r="H277" s="4">
        <v>36</v>
      </c>
      <c r="I277" s="4">
        <v>41</v>
      </c>
      <c r="J277" s="4" t="s">
        <v>161</v>
      </c>
      <c r="K277" s="4" t="s">
        <v>13</v>
      </c>
      <c r="L277" s="4">
        <v>2024</v>
      </c>
      <c r="M277" s="4">
        <v>1</v>
      </c>
      <c r="N277" s="4">
        <v>1</v>
      </c>
      <c r="O277" s="4"/>
    </row>
    <row r="278" spans="1:15">
      <c r="A278" s="4" t="s">
        <v>501</v>
      </c>
      <c r="B278" s="4" t="s">
        <v>568</v>
      </c>
      <c r="C278" s="14" t="s">
        <v>571</v>
      </c>
      <c r="D278" s="13">
        <v>0</v>
      </c>
      <c r="F278" s="13">
        <v>0</v>
      </c>
      <c r="G278" s="13">
        <v>0</v>
      </c>
      <c r="H278" s="4">
        <v>37</v>
      </c>
      <c r="I278" s="4">
        <v>41</v>
      </c>
      <c r="J278" s="4" t="s">
        <v>161</v>
      </c>
      <c r="K278" s="4" t="s">
        <v>13</v>
      </c>
      <c r="L278" s="4">
        <v>2024</v>
      </c>
      <c r="M278" s="4">
        <v>1</v>
      </c>
      <c r="N278" s="4">
        <v>1</v>
      </c>
      <c r="O278" s="4"/>
    </row>
    <row r="279" spans="1:15">
      <c r="A279" s="4" t="s">
        <v>501</v>
      </c>
      <c r="B279" s="4" t="s">
        <v>570</v>
      </c>
      <c r="C279" s="14" t="s">
        <v>494</v>
      </c>
      <c r="D279" s="13">
        <v>1</v>
      </c>
      <c r="E279" s="13" t="s">
        <v>677</v>
      </c>
      <c r="F279" s="13">
        <v>1</v>
      </c>
      <c r="G279" s="13">
        <v>1</v>
      </c>
      <c r="H279" s="4">
        <v>38</v>
      </c>
      <c r="I279" s="4">
        <v>41</v>
      </c>
      <c r="J279" s="4" t="s">
        <v>161</v>
      </c>
      <c r="K279" s="4" t="s">
        <v>13</v>
      </c>
      <c r="L279" s="4">
        <v>2024</v>
      </c>
      <c r="M279" s="4">
        <v>1</v>
      </c>
      <c r="N279" s="4">
        <v>1</v>
      </c>
      <c r="O279" s="4"/>
    </row>
    <row r="280" spans="1:15">
      <c r="A280" s="4" t="s">
        <v>501</v>
      </c>
      <c r="B280" s="4" t="s">
        <v>572</v>
      </c>
      <c r="C280" s="14" t="s">
        <v>574</v>
      </c>
      <c r="D280" s="13">
        <v>0</v>
      </c>
      <c r="F280" s="13">
        <v>1</v>
      </c>
      <c r="G280" s="13">
        <v>1</v>
      </c>
      <c r="H280" s="4">
        <v>39</v>
      </c>
      <c r="I280" s="4">
        <v>41</v>
      </c>
      <c r="J280" s="4" t="s">
        <v>161</v>
      </c>
      <c r="K280" s="4" t="s">
        <v>13</v>
      </c>
      <c r="L280" s="4">
        <v>2024</v>
      </c>
      <c r="M280" s="4">
        <v>1</v>
      </c>
      <c r="N280" s="4">
        <v>1</v>
      </c>
      <c r="O280" s="4"/>
    </row>
    <row r="281" spans="1:15">
      <c r="A281" s="4" t="s">
        <v>501</v>
      </c>
      <c r="B281" s="4" t="s">
        <v>573</v>
      </c>
      <c r="C281" s="14" t="s">
        <v>498</v>
      </c>
      <c r="D281" s="13">
        <v>0</v>
      </c>
      <c r="F281" s="13">
        <v>1</v>
      </c>
      <c r="G281" s="13">
        <v>1</v>
      </c>
      <c r="H281" s="4">
        <v>40</v>
      </c>
      <c r="I281" s="4">
        <v>41</v>
      </c>
      <c r="J281" s="4" t="s">
        <v>161</v>
      </c>
      <c r="K281" s="4" t="s">
        <v>13</v>
      </c>
      <c r="L281" s="4">
        <v>2024</v>
      </c>
      <c r="M281" s="4">
        <v>1</v>
      </c>
      <c r="N281" s="4">
        <v>1</v>
      </c>
      <c r="O281" s="4"/>
    </row>
    <row r="282" spans="1:15">
      <c r="A282" s="4" t="s">
        <v>501</v>
      </c>
      <c r="B282" s="4" t="s">
        <v>575</v>
      </c>
      <c r="C282" s="14" t="s">
        <v>576</v>
      </c>
      <c r="D282" s="13">
        <v>0</v>
      </c>
      <c r="F282" s="13">
        <v>1</v>
      </c>
      <c r="G282" s="13">
        <v>1</v>
      </c>
      <c r="H282" s="4">
        <v>41</v>
      </c>
      <c r="I282" s="4">
        <v>41</v>
      </c>
      <c r="J282" s="4" t="s">
        <v>161</v>
      </c>
      <c r="K282" s="4" t="s">
        <v>13</v>
      </c>
      <c r="L282" s="4">
        <v>2024</v>
      </c>
      <c r="M282" s="4">
        <v>1</v>
      </c>
      <c r="N282" s="4">
        <v>1</v>
      </c>
      <c r="O282" s="4"/>
    </row>
    <row r="283" spans="1:15">
      <c r="A283" s="4" t="s">
        <v>577</v>
      </c>
      <c r="B283" s="4" t="s">
        <v>578</v>
      </c>
      <c r="C283" s="9" t="s">
        <v>579</v>
      </c>
      <c r="D283" s="13">
        <v>0</v>
      </c>
      <c r="F283" s="13">
        <v>1</v>
      </c>
      <c r="G283" s="13">
        <v>1</v>
      </c>
      <c r="H283" s="4">
        <v>1</v>
      </c>
      <c r="I283" s="4">
        <v>46</v>
      </c>
      <c r="J283" s="4" t="s">
        <v>161</v>
      </c>
      <c r="K283" s="4" t="s">
        <v>13</v>
      </c>
      <c r="L283" s="4">
        <v>2025</v>
      </c>
      <c r="M283" s="4">
        <v>1</v>
      </c>
      <c r="N283" s="4">
        <v>1</v>
      </c>
      <c r="O283" s="4"/>
    </row>
    <row r="284" spans="1:15">
      <c r="A284" s="4" t="s">
        <v>577</v>
      </c>
      <c r="B284" s="4" t="s">
        <v>580</v>
      </c>
      <c r="C284" s="14" t="s">
        <v>581</v>
      </c>
      <c r="D284" s="13">
        <v>0</v>
      </c>
      <c r="F284" s="13">
        <v>1</v>
      </c>
      <c r="G284" s="13">
        <v>1</v>
      </c>
      <c r="H284" s="4">
        <v>2</v>
      </c>
      <c r="I284" s="4">
        <v>46</v>
      </c>
      <c r="J284" s="4" t="s">
        <v>161</v>
      </c>
      <c r="K284" s="4" t="s">
        <v>13</v>
      </c>
      <c r="L284" s="4">
        <v>2025</v>
      </c>
      <c r="M284" s="4">
        <v>1</v>
      </c>
      <c r="N284" s="4">
        <v>1</v>
      </c>
      <c r="O284" s="4"/>
    </row>
    <row r="285" spans="1:15">
      <c r="A285" s="4" t="s">
        <v>577</v>
      </c>
      <c r="B285" s="4" t="s">
        <v>582</v>
      </c>
      <c r="C285" s="14" t="s">
        <v>583</v>
      </c>
      <c r="D285" s="13">
        <v>0</v>
      </c>
      <c r="F285" s="13">
        <v>1</v>
      </c>
      <c r="G285" s="13">
        <v>1</v>
      </c>
      <c r="H285" s="4">
        <v>3</v>
      </c>
      <c r="I285" s="4">
        <v>46</v>
      </c>
      <c r="J285" s="4" t="s">
        <v>161</v>
      </c>
      <c r="K285" s="4" t="s">
        <v>13</v>
      </c>
      <c r="L285" s="4">
        <v>2025</v>
      </c>
      <c r="M285" s="4">
        <v>1</v>
      </c>
      <c r="N285" s="4">
        <v>1</v>
      </c>
      <c r="O285" s="4"/>
    </row>
    <row r="286" spans="1:15">
      <c r="A286" s="4" t="s">
        <v>577</v>
      </c>
      <c r="B286" s="4" t="s">
        <v>584</v>
      </c>
      <c r="C286" s="14" t="s">
        <v>585</v>
      </c>
      <c r="D286" s="13">
        <v>1</v>
      </c>
      <c r="E286" s="13" t="s">
        <v>679</v>
      </c>
      <c r="F286" s="13">
        <v>1</v>
      </c>
      <c r="G286" s="13">
        <v>1</v>
      </c>
      <c r="H286" s="4">
        <v>4</v>
      </c>
      <c r="I286" s="4">
        <v>46</v>
      </c>
      <c r="J286" s="4" t="s">
        <v>161</v>
      </c>
      <c r="K286" s="4" t="s">
        <v>13</v>
      </c>
      <c r="L286" s="4">
        <v>2025</v>
      </c>
      <c r="M286" s="4">
        <v>1</v>
      </c>
      <c r="N286" s="4">
        <v>1</v>
      </c>
      <c r="O286" s="4"/>
    </row>
    <row r="287" spans="1:15">
      <c r="A287" s="4" t="s">
        <v>577</v>
      </c>
      <c r="B287" s="4" t="s">
        <v>586</v>
      </c>
      <c r="C287" s="14" t="s">
        <v>587</v>
      </c>
      <c r="D287" s="13">
        <v>1</v>
      </c>
      <c r="E287" s="13" t="s">
        <v>677</v>
      </c>
      <c r="F287" s="13">
        <v>1</v>
      </c>
      <c r="G287" s="13">
        <v>1</v>
      </c>
      <c r="H287" s="4">
        <v>5</v>
      </c>
      <c r="I287" s="4">
        <v>46</v>
      </c>
      <c r="J287" s="4" t="s">
        <v>161</v>
      </c>
      <c r="K287" s="4" t="s">
        <v>13</v>
      </c>
      <c r="L287" s="4">
        <v>2025</v>
      </c>
      <c r="M287" s="4">
        <v>1</v>
      </c>
      <c r="N287" s="4">
        <v>1</v>
      </c>
      <c r="O287" s="4"/>
    </row>
    <row r="288" spans="1:15">
      <c r="A288" s="4" t="s">
        <v>577</v>
      </c>
      <c r="B288" s="4" t="s">
        <v>588</v>
      </c>
      <c r="C288" s="14" t="s">
        <v>589</v>
      </c>
      <c r="D288" s="13">
        <v>1</v>
      </c>
      <c r="E288" s="13" t="s">
        <v>679</v>
      </c>
      <c r="F288" s="13">
        <v>1</v>
      </c>
      <c r="G288" s="13">
        <v>1</v>
      </c>
      <c r="H288" s="4">
        <v>6</v>
      </c>
      <c r="I288" s="4">
        <v>46</v>
      </c>
      <c r="J288" s="4" t="s">
        <v>161</v>
      </c>
      <c r="K288" s="4" t="s">
        <v>13</v>
      </c>
      <c r="L288" s="4">
        <v>2025</v>
      </c>
      <c r="M288" s="4">
        <v>1</v>
      </c>
      <c r="N288" s="4">
        <v>1</v>
      </c>
      <c r="O288" s="4"/>
    </row>
    <row r="289" spans="1:15">
      <c r="A289" s="4" t="s">
        <v>577</v>
      </c>
      <c r="B289" s="4" t="s">
        <v>590</v>
      </c>
      <c r="C289" s="14" t="s">
        <v>591</v>
      </c>
      <c r="D289" s="13">
        <v>1</v>
      </c>
      <c r="E289" s="13" t="s">
        <v>679</v>
      </c>
      <c r="F289" s="13">
        <v>1</v>
      </c>
      <c r="G289" s="13">
        <v>1</v>
      </c>
      <c r="H289" s="4">
        <v>7</v>
      </c>
      <c r="I289" s="4">
        <v>46</v>
      </c>
      <c r="J289" s="4" t="s">
        <v>161</v>
      </c>
      <c r="K289" s="4" t="s">
        <v>13</v>
      </c>
      <c r="L289" s="4">
        <v>2025</v>
      </c>
      <c r="M289" s="4">
        <v>1</v>
      </c>
      <c r="N289" s="4">
        <v>1</v>
      </c>
      <c r="O289" s="4"/>
    </row>
    <row r="290" spans="1:15">
      <c r="A290" s="4" t="s">
        <v>577</v>
      </c>
      <c r="B290" s="4" t="s">
        <v>592</v>
      </c>
      <c r="C290" s="14" t="s">
        <v>593</v>
      </c>
      <c r="D290" s="13">
        <v>0</v>
      </c>
      <c r="F290" s="13">
        <v>0</v>
      </c>
      <c r="G290" s="13">
        <v>0</v>
      </c>
      <c r="H290" s="4">
        <v>8</v>
      </c>
      <c r="I290" s="4">
        <v>46</v>
      </c>
      <c r="J290" s="4" t="s">
        <v>161</v>
      </c>
      <c r="K290" s="4" t="s">
        <v>13</v>
      </c>
      <c r="L290" s="4">
        <v>2025</v>
      </c>
      <c r="M290" s="4">
        <v>1</v>
      </c>
      <c r="N290" s="4">
        <v>1</v>
      </c>
      <c r="O290" s="4"/>
    </row>
    <row r="291" spans="1:15">
      <c r="A291" s="4" t="s">
        <v>577</v>
      </c>
      <c r="B291" s="4" t="s">
        <v>594</v>
      </c>
      <c r="C291" s="14" t="s">
        <v>595</v>
      </c>
      <c r="D291" s="13">
        <v>0</v>
      </c>
      <c r="F291" s="13">
        <v>0</v>
      </c>
      <c r="G291" s="13">
        <v>0</v>
      </c>
      <c r="H291" s="4">
        <v>9</v>
      </c>
      <c r="I291" s="4">
        <v>46</v>
      </c>
      <c r="J291" s="4" t="s">
        <v>161</v>
      </c>
      <c r="K291" s="4" t="s">
        <v>13</v>
      </c>
      <c r="L291" s="4">
        <v>2025</v>
      </c>
      <c r="M291" s="4">
        <v>1</v>
      </c>
      <c r="N291" s="4">
        <v>1</v>
      </c>
      <c r="O291" s="4"/>
    </row>
    <row r="292" spans="1:15">
      <c r="A292" s="4" t="s">
        <v>577</v>
      </c>
      <c r="B292" s="4" t="s">
        <v>596</v>
      </c>
      <c r="C292" s="14" t="s">
        <v>597</v>
      </c>
      <c r="D292" s="13">
        <v>0</v>
      </c>
      <c r="F292" s="13">
        <v>0</v>
      </c>
      <c r="G292" s="13">
        <v>0</v>
      </c>
      <c r="H292" s="4">
        <v>10</v>
      </c>
      <c r="I292" s="4">
        <v>46</v>
      </c>
      <c r="J292" s="4" t="s">
        <v>161</v>
      </c>
      <c r="K292" s="4" t="s">
        <v>13</v>
      </c>
      <c r="L292" s="4">
        <v>2025</v>
      </c>
      <c r="M292" s="4">
        <v>1</v>
      </c>
      <c r="N292" s="4">
        <v>1</v>
      </c>
      <c r="O292" s="4"/>
    </row>
    <row r="293" spans="1:15">
      <c r="A293" s="4" t="s">
        <v>577</v>
      </c>
      <c r="B293" s="4" t="s">
        <v>598</v>
      </c>
      <c r="C293" s="14" t="s">
        <v>599</v>
      </c>
      <c r="D293" s="13">
        <v>0</v>
      </c>
      <c r="F293" s="13">
        <v>0</v>
      </c>
      <c r="G293" s="13">
        <v>0</v>
      </c>
      <c r="H293" s="4">
        <v>11</v>
      </c>
      <c r="I293" s="4">
        <v>46</v>
      </c>
      <c r="J293" s="4" t="s">
        <v>161</v>
      </c>
      <c r="K293" s="4" t="s">
        <v>13</v>
      </c>
      <c r="L293" s="4">
        <v>2025</v>
      </c>
      <c r="M293" s="4">
        <v>1</v>
      </c>
      <c r="N293" s="4">
        <v>1</v>
      </c>
      <c r="O293" s="4"/>
    </row>
    <row r="294" spans="1:15">
      <c r="A294" s="4" t="s">
        <v>577</v>
      </c>
      <c r="B294" s="4" t="s">
        <v>600</v>
      </c>
      <c r="C294" s="14" t="s">
        <v>601</v>
      </c>
      <c r="D294" s="13">
        <v>1</v>
      </c>
      <c r="E294" s="13" t="s">
        <v>679</v>
      </c>
      <c r="F294" s="13">
        <v>0</v>
      </c>
      <c r="G294" s="13">
        <v>0</v>
      </c>
      <c r="H294" s="4">
        <v>12</v>
      </c>
      <c r="I294" s="4">
        <v>46</v>
      </c>
      <c r="J294" s="4" t="s">
        <v>161</v>
      </c>
      <c r="K294" s="4" t="s">
        <v>13</v>
      </c>
      <c r="L294" s="4">
        <v>2025</v>
      </c>
      <c r="M294" s="4">
        <v>1</v>
      </c>
      <c r="N294" s="4">
        <v>1</v>
      </c>
      <c r="O294" s="4"/>
    </row>
    <row r="295" spans="1:15">
      <c r="A295" s="4" t="s">
        <v>577</v>
      </c>
      <c r="B295" s="4" t="s">
        <v>602</v>
      </c>
      <c r="C295" s="14" t="s">
        <v>603</v>
      </c>
      <c r="D295" s="13">
        <v>1</v>
      </c>
      <c r="E295" s="13" t="s">
        <v>679</v>
      </c>
      <c r="F295" s="13">
        <v>0</v>
      </c>
      <c r="G295" s="13">
        <v>0</v>
      </c>
      <c r="H295" s="4">
        <v>13</v>
      </c>
      <c r="I295" s="4">
        <v>46</v>
      </c>
      <c r="J295" s="4" t="s">
        <v>161</v>
      </c>
      <c r="K295" s="4" t="s">
        <v>13</v>
      </c>
      <c r="L295" s="4">
        <v>2025</v>
      </c>
      <c r="M295" s="4">
        <v>1</v>
      </c>
      <c r="N295" s="4">
        <v>1</v>
      </c>
      <c r="O295" s="4"/>
    </row>
    <row r="296" spans="1:15">
      <c r="A296" s="4" t="s">
        <v>577</v>
      </c>
      <c r="B296" s="4" t="s">
        <v>604</v>
      </c>
      <c r="C296" s="14" t="s">
        <v>605</v>
      </c>
      <c r="D296" s="13">
        <v>1</v>
      </c>
      <c r="E296" s="13" t="s">
        <v>679</v>
      </c>
      <c r="F296" s="13">
        <v>0</v>
      </c>
      <c r="G296" s="13">
        <v>0</v>
      </c>
      <c r="H296" s="4">
        <v>14</v>
      </c>
      <c r="I296" s="4">
        <v>46</v>
      </c>
      <c r="J296" s="4" t="s">
        <v>161</v>
      </c>
      <c r="K296" s="4" t="s">
        <v>13</v>
      </c>
      <c r="L296" s="4">
        <v>2025</v>
      </c>
      <c r="M296" s="4">
        <v>1</v>
      </c>
      <c r="N296" s="4">
        <v>1</v>
      </c>
      <c r="O296" s="4"/>
    </row>
    <row r="297" spans="1:15">
      <c r="A297" s="4" t="s">
        <v>577</v>
      </c>
      <c r="B297" s="4" t="s">
        <v>606</v>
      </c>
      <c r="C297" s="9" t="s">
        <v>607</v>
      </c>
      <c r="D297" s="13">
        <v>1</v>
      </c>
      <c r="E297" s="13" t="s">
        <v>675</v>
      </c>
      <c r="F297" s="13">
        <v>0</v>
      </c>
      <c r="G297" s="13">
        <v>0</v>
      </c>
      <c r="H297" s="4">
        <v>15</v>
      </c>
      <c r="I297" s="4">
        <v>46</v>
      </c>
      <c r="J297" s="4" t="s">
        <v>161</v>
      </c>
      <c r="K297" s="4" t="s">
        <v>13</v>
      </c>
      <c r="L297" s="4">
        <v>2025</v>
      </c>
      <c r="M297" s="4">
        <v>1</v>
      </c>
      <c r="N297" s="4">
        <v>1</v>
      </c>
      <c r="O297" s="4"/>
    </row>
    <row r="298" spans="1:15">
      <c r="A298" s="4" t="s">
        <v>577</v>
      </c>
      <c r="B298" s="4" t="s">
        <v>608</v>
      </c>
      <c r="C298" s="9" t="s">
        <v>609</v>
      </c>
      <c r="D298" s="13">
        <v>1</v>
      </c>
      <c r="E298" s="13" t="s">
        <v>677</v>
      </c>
      <c r="F298" s="13">
        <v>1</v>
      </c>
      <c r="G298" s="13">
        <v>1</v>
      </c>
      <c r="H298" s="4">
        <v>16</v>
      </c>
      <c r="I298" s="4">
        <v>46</v>
      </c>
      <c r="J298" s="4" t="s">
        <v>161</v>
      </c>
      <c r="K298" s="4" t="s">
        <v>13</v>
      </c>
      <c r="L298" s="4">
        <v>2025</v>
      </c>
      <c r="M298" s="4">
        <v>1</v>
      </c>
      <c r="N298" s="4">
        <v>1</v>
      </c>
      <c r="O298" s="4"/>
    </row>
    <row r="299" spans="1:15">
      <c r="A299" s="4" t="s">
        <v>577</v>
      </c>
      <c r="B299" s="4" t="s">
        <v>610</v>
      </c>
      <c r="C299" s="9" t="s">
        <v>611</v>
      </c>
      <c r="D299" s="13">
        <v>1</v>
      </c>
      <c r="E299" s="13" t="s">
        <v>677</v>
      </c>
      <c r="F299" s="13">
        <v>0</v>
      </c>
      <c r="G299" s="13">
        <v>0</v>
      </c>
      <c r="H299" s="4">
        <v>17</v>
      </c>
      <c r="I299" s="4">
        <v>46</v>
      </c>
      <c r="J299" s="4" t="s">
        <v>161</v>
      </c>
      <c r="K299" s="4" t="s">
        <v>13</v>
      </c>
      <c r="L299" s="4">
        <v>2025</v>
      </c>
      <c r="M299" s="4">
        <v>1</v>
      </c>
      <c r="N299" s="4">
        <v>1</v>
      </c>
      <c r="O299" s="4"/>
    </row>
    <row r="300" spans="1:15">
      <c r="A300" s="4" t="s">
        <v>577</v>
      </c>
      <c r="B300" s="4" t="s">
        <v>612</v>
      </c>
      <c r="C300" s="9" t="s">
        <v>613</v>
      </c>
      <c r="D300" s="13">
        <v>1</v>
      </c>
      <c r="E300" s="13" t="s">
        <v>677</v>
      </c>
      <c r="F300" s="13">
        <v>1</v>
      </c>
      <c r="G300" s="13">
        <v>1</v>
      </c>
      <c r="H300" s="4">
        <v>18</v>
      </c>
      <c r="I300" s="4">
        <v>46</v>
      </c>
      <c r="J300" s="4" t="s">
        <v>161</v>
      </c>
      <c r="K300" s="4" t="s">
        <v>13</v>
      </c>
      <c r="L300" s="4">
        <v>2025</v>
      </c>
      <c r="M300" s="4">
        <v>1</v>
      </c>
      <c r="N300" s="4">
        <v>1</v>
      </c>
      <c r="O300" s="4"/>
    </row>
    <row r="301" spans="1:15">
      <c r="A301" s="4" t="s">
        <v>577</v>
      </c>
      <c r="B301" s="4" t="s">
        <v>614</v>
      </c>
      <c r="C301" s="9" t="s">
        <v>615</v>
      </c>
      <c r="D301" s="13">
        <v>1</v>
      </c>
      <c r="E301" s="13" t="s">
        <v>677</v>
      </c>
      <c r="F301" s="13">
        <v>0</v>
      </c>
      <c r="G301" s="13">
        <v>0</v>
      </c>
      <c r="H301" s="4">
        <v>19</v>
      </c>
      <c r="I301" s="4">
        <v>46</v>
      </c>
      <c r="J301" s="4" t="s">
        <v>161</v>
      </c>
      <c r="K301" s="4" t="s">
        <v>13</v>
      </c>
      <c r="L301" s="4">
        <v>2025</v>
      </c>
      <c r="M301" s="4">
        <v>1</v>
      </c>
      <c r="N301" s="4">
        <v>1</v>
      </c>
      <c r="O301" s="4"/>
    </row>
    <row r="302" spans="1:15">
      <c r="A302" s="4" t="s">
        <v>577</v>
      </c>
      <c r="B302" s="4" t="s">
        <v>616</v>
      </c>
      <c r="C302" s="9" t="s">
        <v>617</v>
      </c>
      <c r="D302" s="13">
        <v>1</v>
      </c>
      <c r="E302" s="13" t="s">
        <v>677</v>
      </c>
      <c r="F302" s="13">
        <v>0</v>
      </c>
      <c r="G302" s="13">
        <v>0</v>
      </c>
      <c r="H302" s="4">
        <v>20</v>
      </c>
      <c r="I302" s="4">
        <v>46</v>
      </c>
      <c r="J302" s="4" t="s">
        <v>161</v>
      </c>
      <c r="K302" s="4" t="s">
        <v>13</v>
      </c>
      <c r="L302" s="4">
        <v>2025</v>
      </c>
      <c r="M302" s="4">
        <v>1</v>
      </c>
      <c r="N302" s="4">
        <v>1</v>
      </c>
      <c r="O302" s="4"/>
    </row>
    <row r="303" spans="1:15">
      <c r="A303" s="4" t="s">
        <v>577</v>
      </c>
      <c r="B303" s="4" t="s">
        <v>618</v>
      </c>
      <c r="C303" s="9" t="s">
        <v>619</v>
      </c>
      <c r="D303" s="13">
        <v>1</v>
      </c>
      <c r="E303" s="13" t="s">
        <v>679</v>
      </c>
      <c r="F303" s="13">
        <v>0</v>
      </c>
      <c r="G303" s="13">
        <v>0</v>
      </c>
      <c r="H303" s="4">
        <v>21</v>
      </c>
      <c r="I303" s="4">
        <v>46</v>
      </c>
      <c r="J303" s="4" t="s">
        <v>161</v>
      </c>
      <c r="K303" s="4" t="s">
        <v>13</v>
      </c>
      <c r="L303" s="4">
        <v>2025</v>
      </c>
      <c r="M303" s="4">
        <v>1</v>
      </c>
      <c r="N303" s="4">
        <v>1</v>
      </c>
      <c r="O303" s="4"/>
    </row>
    <row r="304" spans="1:15">
      <c r="A304" s="4" t="s">
        <v>577</v>
      </c>
      <c r="B304" s="4" t="s">
        <v>620</v>
      </c>
      <c r="C304" s="9" t="s">
        <v>621</v>
      </c>
      <c r="D304" s="13">
        <v>1</v>
      </c>
      <c r="E304" s="13" t="s">
        <v>679</v>
      </c>
      <c r="F304" s="13">
        <v>0</v>
      </c>
      <c r="G304" s="13">
        <v>0</v>
      </c>
      <c r="H304" s="4">
        <v>22</v>
      </c>
      <c r="I304" s="4">
        <v>46</v>
      </c>
      <c r="J304" s="4" t="s">
        <v>161</v>
      </c>
      <c r="K304" s="4" t="s">
        <v>13</v>
      </c>
      <c r="L304" s="4">
        <v>2025</v>
      </c>
      <c r="M304" s="4">
        <v>1</v>
      </c>
      <c r="N304" s="4">
        <v>1</v>
      </c>
      <c r="O304" s="4"/>
    </row>
    <row r="305" spans="1:15">
      <c r="A305" s="4" t="s">
        <v>577</v>
      </c>
      <c r="B305" s="4" t="s">
        <v>622</v>
      </c>
      <c r="C305" s="9" t="s">
        <v>623</v>
      </c>
      <c r="D305" s="13">
        <v>1</v>
      </c>
      <c r="E305" s="13" t="s">
        <v>679</v>
      </c>
      <c r="F305" s="13">
        <v>1</v>
      </c>
      <c r="G305" s="13">
        <v>2</v>
      </c>
      <c r="H305" s="4">
        <v>23</v>
      </c>
      <c r="I305" s="4">
        <v>46</v>
      </c>
      <c r="J305" s="4" t="s">
        <v>161</v>
      </c>
      <c r="K305" s="4" t="s">
        <v>13</v>
      </c>
      <c r="L305" s="4">
        <v>2025</v>
      </c>
      <c r="M305" s="4">
        <v>1</v>
      </c>
      <c r="N305" s="4">
        <v>1</v>
      </c>
      <c r="O305" s="4"/>
    </row>
    <row r="306" spans="1:15">
      <c r="A306" s="4" t="s">
        <v>577</v>
      </c>
      <c r="B306" s="4" t="s">
        <v>624</v>
      </c>
      <c r="C306" s="9" t="s">
        <v>625</v>
      </c>
      <c r="D306" s="13">
        <v>1</v>
      </c>
      <c r="E306" s="13" t="s">
        <v>679</v>
      </c>
      <c r="F306" s="13">
        <v>0</v>
      </c>
      <c r="G306" s="13">
        <v>0</v>
      </c>
      <c r="H306" s="4">
        <v>24</v>
      </c>
      <c r="I306" s="4">
        <v>46</v>
      </c>
      <c r="J306" s="4" t="s">
        <v>161</v>
      </c>
      <c r="K306" s="4" t="s">
        <v>13</v>
      </c>
      <c r="L306" s="4">
        <v>2025</v>
      </c>
      <c r="M306" s="4">
        <v>1</v>
      </c>
      <c r="N306" s="4">
        <v>1</v>
      </c>
      <c r="O306" s="4"/>
    </row>
    <row r="307" spans="1:15">
      <c r="A307" s="4" t="s">
        <v>577</v>
      </c>
      <c r="B307" s="4" t="s">
        <v>626</v>
      </c>
      <c r="C307" s="9" t="s">
        <v>627</v>
      </c>
      <c r="D307" s="13">
        <v>1</v>
      </c>
      <c r="E307" s="13" t="s">
        <v>679</v>
      </c>
      <c r="F307" s="13">
        <v>0</v>
      </c>
      <c r="G307" s="13">
        <v>0</v>
      </c>
      <c r="H307" s="4">
        <v>25</v>
      </c>
      <c r="I307" s="4">
        <v>46</v>
      </c>
      <c r="J307" s="4" t="s">
        <v>161</v>
      </c>
      <c r="K307" s="4" t="s">
        <v>13</v>
      </c>
      <c r="L307" s="4">
        <v>2025</v>
      </c>
      <c r="M307" s="4">
        <v>1</v>
      </c>
      <c r="N307" s="4">
        <v>1</v>
      </c>
      <c r="O307" s="4"/>
    </row>
    <row r="308" spans="1:15">
      <c r="A308" s="4" t="s">
        <v>577</v>
      </c>
      <c r="B308" s="4" t="s">
        <v>628</v>
      </c>
      <c r="C308" s="9" t="s">
        <v>629</v>
      </c>
      <c r="D308" s="13">
        <v>1</v>
      </c>
      <c r="E308" s="13" t="s">
        <v>679</v>
      </c>
      <c r="F308" s="13">
        <v>1</v>
      </c>
      <c r="G308" s="13">
        <v>1</v>
      </c>
      <c r="H308" s="4">
        <v>26</v>
      </c>
      <c r="I308" s="4">
        <v>46</v>
      </c>
      <c r="J308" s="4" t="s">
        <v>161</v>
      </c>
      <c r="K308" s="4" t="s">
        <v>13</v>
      </c>
      <c r="L308" s="4">
        <v>2025</v>
      </c>
      <c r="M308" s="4">
        <v>1</v>
      </c>
      <c r="N308" s="4">
        <v>1</v>
      </c>
      <c r="O308" s="4"/>
    </row>
    <row r="309" spans="1:15">
      <c r="A309" s="4" t="s">
        <v>577</v>
      </c>
      <c r="B309" s="4" t="s">
        <v>630</v>
      </c>
      <c r="C309" s="9" t="s">
        <v>631</v>
      </c>
      <c r="D309" s="13">
        <v>1</v>
      </c>
      <c r="E309" s="13" t="s">
        <v>679</v>
      </c>
      <c r="F309" s="13">
        <v>0</v>
      </c>
      <c r="G309" s="13">
        <v>0</v>
      </c>
      <c r="H309" s="4">
        <v>27</v>
      </c>
      <c r="I309" s="4">
        <v>46</v>
      </c>
      <c r="J309" s="4" t="s">
        <v>161</v>
      </c>
      <c r="K309" s="4" t="s">
        <v>13</v>
      </c>
      <c r="L309" s="4">
        <v>2025</v>
      </c>
      <c r="M309" s="4">
        <v>1</v>
      </c>
      <c r="N309" s="4">
        <v>1</v>
      </c>
      <c r="O309" s="4"/>
    </row>
    <row r="310" spans="1:15">
      <c r="A310" s="4" t="s">
        <v>577</v>
      </c>
      <c r="B310" s="4" t="s">
        <v>632</v>
      </c>
      <c r="C310" s="9" t="s">
        <v>633</v>
      </c>
      <c r="D310" s="13">
        <v>1</v>
      </c>
      <c r="E310" s="13" t="s">
        <v>679</v>
      </c>
      <c r="F310" s="13">
        <v>1</v>
      </c>
      <c r="G310" s="13">
        <v>2</v>
      </c>
      <c r="H310" s="4">
        <v>28</v>
      </c>
      <c r="I310" s="4">
        <v>46</v>
      </c>
      <c r="J310" s="4" t="s">
        <v>161</v>
      </c>
      <c r="K310" s="4" t="s">
        <v>13</v>
      </c>
      <c r="L310" s="4">
        <v>2025</v>
      </c>
      <c r="M310" s="4">
        <v>1</v>
      </c>
      <c r="N310" s="4">
        <v>1</v>
      </c>
      <c r="O310" s="4"/>
    </row>
    <row r="311" spans="1:15">
      <c r="A311" s="4" t="s">
        <v>577</v>
      </c>
      <c r="B311" s="4" t="s">
        <v>634</v>
      </c>
      <c r="C311" s="9" t="s">
        <v>635</v>
      </c>
      <c r="D311" s="13">
        <v>1</v>
      </c>
      <c r="E311" s="13" t="s">
        <v>677</v>
      </c>
      <c r="F311" s="13">
        <v>0</v>
      </c>
      <c r="G311" s="13">
        <v>0</v>
      </c>
      <c r="H311" s="4">
        <v>29</v>
      </c>
      <c r="I311" s="4">
        <v>46</v>
      </c>
      <c r="J311" s="4" t="s">
        <v>161</v>
      </c>
      <c r="K311" s="4" t="s">
        <v>13</v>
      </c>
      <c r="L311" s="4">
        <v>2025</v>
      </c>
      <c r="M311" s="4">
        <v>1</v>
      </c>
      <c r="N311" s="4">
        <v>1</v>
      </c>
      <c r="O311" s="4"/>
    </row>
    <row r="312" spans="1:15">
      <c r="A312" s="4" t="s">
        <v>577</v>
      </c>
      <c r="B312" s="4" t="s">
        <v>636</v>
      </c>
      <c r="C312" s="9" t="s">
        <v>637</v>
      </c>
      <c r="D312" s="13">
        <v>1</v>
      </c>
      <c r="E312" s="13" t="s">
        <v>679</v>
      </c>
      <c r="F312" s="13">
        <v>1</v>
      </c>
      <c r="G312" s="13">
        <v>1</v>
      </c>
      <c r="H312" s="4">
        <v>30</v>
      </c>
      <c r="I312" s="4">
        <v>46</v>
      </c>
      <c r="J312" s="4" t="s">
        <v>161</v>
      </c>
      <c r="K312" s="4" t="s">
        <v>13</v>
      </c>
      <c r="L312" s="4">
        <v>2025</v>
      </c>
      <c r="M312" s="4">
        <v>1</v>
      </c>
      <c r="N312" s="4">
        <v>1</v>
      </c>
      <c r="O312" s="4"/>
    </row>
    <row r="313" spans="1:15">
      <c r="A313" s="4" t="s">
        <v>577</v>
      </c>
      <c r="B313" s="4" t="s">
        <v>638</v>
      </c>
      <c r="C313" s="9" t="s">
        <v>639</v>
      </c>
      <c r="D313" s="13">
        <v>1</v>
      </c>
      <c r="E313" s="13" t="s">
        <v>677</v>
      </c>
      <c r="F313" s="13">
        <v>0</v>
      </c>
      <c r="G313" s="13">
        <v>0</v>
      </c>
      <c r="H313" s="4">
        <v>31</v>
      </c>
      <c r="I313" s="4">
        <v>46</v>
      </c>
      <c r="J313" s="4" t="s">
        <v>161</v>
      </c>
      <c r="K313" s="4" t="s">
        <v>13</v>
      </c>
      <c r="L313" s="4">
        <v>2025</v>
      </c>
      <c r="M313" s="4">
        <v>1</v>
      </c>
      <c r="N313" s="4">
        <v>1</v>
      </c>
      <c r="O313" s="4"/>
    </row>
    <row r="314" spans="1:15">
      <c r="A314" s="4" t="s">
        <v>577</v>
      </c>
      <c r="B314" s="4" t="s">
        <v>640</v>
      </c>
      <c r="C314" s="9" t="s">
        <v>641</v>
      </c>
      <c r="D314" s="13">
        <v>0</v>
      </c>
      <c r="F314" s="13">
        <v>0</v>
      </c>
      <c r="G314" s="13">
        <v>0</v>
      </c>
      <c r="H314" s="4">
        <v>32</v>
      </c>
      <c r="I314" s="4">
        <v>46</v>
      </c>
      <c r="J314" s="4" t="s">
        <v>161</v>
      </c>
      <c r="K314" s="4" t="s">
        <v>13</v>
      </c>
      <c r="L314" s="4">
        <v>2025</v>
      </c>
      <c r="M314" s="4">
        <v>1</v>
      </c>
      <c r="N314" s="4">
        <v>1</v>
      </c>
      <c r="O314" s="4"/>
    </row>
    <row r="315" spans="1:15">
      <c r="A315" s="4" t="s">
        <v>577</v>
      </c>
      <c r="B315" s="4" t="s">
        <v>642</v>
      </c>
      <c r="C315" s="9" t="s">
        <v>643</v>
      </c>
      <c r="D315" s="13">
        <v>0</v>
      </c>
      <c r="F315" s="13">
        <v>0</v>
      </c>
      <c r="G315" s="13">
        <v>0</v>
      </c>
      <c r="H315" s="4">
        <v>33</v>
      </c>
      <c r="I315" s="4">
        <v>46</v>
      </c>
      <c r="J315" s="4" t="s">
        <v>161</v>
      </c>
      <c r="K315" s="4" t="s">
        <v>13</v>
      </c>
      <c r="L315" s="4">
        <v>2025</v>
      </c>
      <c r="M315" s="4">
        <v>1</v>
      </c>
      <c r="N315" s="4">
        <v>1</v>
      </c>
      <c r="O315" s="4"/>
    </row>
    <row r="316" spans="1:15">
      <c r="A316" s="4" t="s">
        <v>577</v>
      </c>
      <c r="B316" s="4" t="s">
        <v>644</v>
      </c>
      <c r="C316" s="9" t="s">
        <v>645</v>
      </c>
      <c r="D316" s="13">
        <v>1</v>
      </c>
      <c r="E316" s="13" t="s">
        <v>677</v>
      </c>
      <c r="F316" s="13">
        <v>0</v>
      </c>
      <c r="G316" s="13">
        <v>0</v>
      </c>
      <c r="H316" s="4">
        <v>34</v>
      </c>
      <c r="I316" s="4">
        <v>46</v>
      </c>
      <c r="J316" s="4" t="s">
        <v>161</v>
      </c>
      <c r="K316" s="4" t="s">
        <v>13</v>
      </c>
      <c r="L316" s="4">
        <v>2025</v>
      </c>
      <c r="M316" s="4">
        <v>1</v>
      </c>
      <c r="N316" s="4">
        <v>1</v>
      </c>
      <c r="O316" s="4"/>
    </row>
    <row r="317" spans="1:15">
      <c r="A317" s="4" t="s">
        <v>577</v>
      </c>
      <c r="B317" s="4" t="s">
        <v>646</v>
      </c>
      <c r="C317" s="9" t="s">
        <v>647</v>
      </c>
      <c r="D317" s="13">
        <v>1</v>
      </c>
      <c r="E317" s="13" t="s">
        <v>677</v>
      </c>
      <c r="F317" s="13">
        <v>1</v>
      </c>
      <c r="G317" s="13">
        <v>1</v>
      </c>
      <c r="H317" s="4">
        <v>35</v>
      </c>
      <c r="I317" s="4">
        <v>46</v>
      </c>
      <c r="J317" s="4" t="s">
        <v>161</v>
      </c>
      <c r="K317" s="4" t="s">
        <v>13</v>
      </c>
      <c r="L317" s="4">
        <v>2025</v>
      </c>
      <c r="M317" s="4">
        <v>1</v>
      </c>
      <c r="N317" s="4">
        <v>1</v>
      </c>
      <c r="O317" s="4"/>
    </row>
    <row r="318" spans="1:15">
      <c r="A318" s="4" t="s">
        <v>577</v>
      </c>
      <c r="B318" s="4" t="s">
        <v>648</v>
      </c>
      <c r="C318" s="9" t="s">
        <v>649</v>
      </c>
      <c r="D318" s="13">
        <v>1</v>
      </c>
      <c r="E318" s="13" t="s">
        <v>679</v>
      </c>
      <c r="F318" s="13">
        <v>1</v>
      </c>
      <c r="G318" s="13">
        <v>1</v>
      </c>
      <c r="H318" s="4">
        <v>36</v>
      </c>
      <c r="I318" s="4">
        <v>46</v>
      </c>
      <c r="J318" s="4" t="s">
        <v>161</v>
      </c>
      <c r="K318" s="4" t="s">
        <v>13</v>
      </c>
      <c r="L318" s="4">
        <v>2025</v>
      </c>
      <c r="M318" s="4">
        <v>1</v>
      </c>
      <c r="N318" s="4">
        <v>1</v>
      </c>
      <c r="O318" s="4"/>
    </row>
    <row r="319" spans="1:15">
      <c r="A319" s="4" t="s">
        <v>577</v>
      </c>
      <c r="B319" s="4" t="s">
        <v>650</v>
      </c>
      <c r="C319" s="9" t="s">
        <v>651</v>
      </c>
      <c r="D319" s="13">
        <v>1</v>
      </c>
      <c r="E319" s="13" t="s">
        <v>679</v>
      </c>
      <c r="F319" s="13">
        <v>1</v>
      </c>
      <c r="G319" s="13">
        <v>1</v>
      </c>
      <c r="H319" s="4">
        <v>37</v>
      </c>
      <c r="I319" s="4">
        <v>46</v>
      </c>
      <c r="J319" s="4" t="s">
        <v>161</v>
      </c>
      <c r="K319" s="4" t="s">
        <v>13</v>
      </c>
      <c r="L319" s="4">
        <v>2025</v>
      </c>
      <c r="M319" s="4">
        <v>1</v>
      </c>
      <c r="N319" s="4">
        <v>1</v>
      </c>
      <c r="O319" s="4"/>
    </row>
    <row r="320" spans="1:15">
      <c r="A320" s="4" t="s">
        <v>577</v>
      </c>
      <c r="B320" s="4" t="s">
        <v>652</v>
      </c>
      <c r="C320" s="9" t="s">
        <v>653</v>
      </c>
      <c r="D320" s="13">
        <v>1</v>
      </c>
      <c r="E320" s="13" t="s">
        <v>677</v>
      </c>
      <c r="F320" s="13">
        <v>1</v>
      </c>
      <c r="G320" s="13">
        <v>1</v>
      </c>
      <c r="H320" s="4">
        <v>38</v>
      </c>
      <c r="I320" s="4">
        <v>46</v>
      </c>
      <c r="J320" s="4" t="s">
        <v>161</v>
      </c>
      <c r="K320" s="4" t="s">
        <v>13</v>
      </c>
      <c r="L320" s="4">
        <v>2025</v>
      </c>
      <c r="M320" s="4">
        <v>1</v>
      </c>
      <c r="N320" s="4">
        <v>1</v>
      </c>
      <c r="O320" s="4"/>
    </row>
    <row r="321" spans="1:15">
      <c r="A321" s="4" t="s">
        <v>577</v>
      </c>
      <c r="B321" s="4" t="s">
        <v>654</v>
      </c>
      <c r="C321" s="9" t="s">
        <v>655</v>
      </c>
      <c r="D321" s="13">
        <v>1</v>
      </c>
      <c r="E321" s="13" t="s">
        <v>679</v>
      </c>
      <c r="F321" s="13">
        <v>0</v>
      </c>
      <c r="G321" s="13">
        <v>0</v>
      </c>
      <c r="H321" s="4">
        <v>39</v>
      </c>
      <c r="I321" s="4">
        <v>46</v>
      </c>
      <c r="J321" s="4" t="s">
        <v>161</v>
      </c>
      <c r="K321" s="4" t="s">
        <v>13</v>
      </c>
      <c r="L321" s="4">
        <v>2025</v>
      </c>
      <c r="M321" s="4">
        <v>1</v>
      </c>
      <c r="N321" s="4">
        <v>1</v>
      </c>
      <c r="O321" s="4"/>
    </row>
    <row r="322" spans="1:15">
      <c r="A322" s="4" t="s">
        <v>577</v>
      </c>
      <c r="B322" s="4" t="s">
        <v>656</v>
      </c>
      <c r="C322" s="9" t="s">
        <v>668</v>
      </c>
      <c r="D322" s="13">
        <v>0</v>
      </c>
      <c r="F322" s="13">
        <v>0</v>
      </c>
      <c r="G322" s="13">
        <v>0</v>
      </c>
      <c r="H322" s="4">
        <v>40</v>
      </c>
      <c r="I322" s="4">
        <v>46</v>
      </c>
      <c r="J322" s="4" t="s">
        <v>161</v>
      </c>
      <c r="K322" s="4" t="s">
        <v>13</v>
      </c>
      <c r="L322" s="4">
        <v>2025</v>
      </c>
      <c r="M322" s="4">
        <v>1</v>
      </c>
      <c r="N322" s="4">
        <v>1</v>
      </c>
      <c r="O322" s="4"/>
    </row>
    <row r="323" spans="1:15">
      <c r="A323" s="4" t="s">
        <v>577</v>
      </c>
      <c r="B323" s="4" t="s">
        <v>658</v>
      </c>
      <c r="C323" s="9" t="s">
        <v>670</v>
      </c>
      <c r="D323" s="13">
        <v>0</v>
      </c>
      <c r="F323" s="13">
        <v>0</v>
      </c>
      <c r="G323" s="13">
        <v>0</v>
      </c>
      <c r="H323" s="4">
        <v>41</v>
      </c>
      <c r="I323" s="4">
        <v>46</v>
      </c>
      <c r="J323" s="4" t="s">
        <v>161</v>
      </c>
      <c r="K323" s="4" t="s">
        <v>13</v>
      </c>
      <c r="L323" s="4">
        <v>2025</v>
      </c>
      <c r="M323" s="4">
        <v>1</v>
      </c>
      <c r="N323" s="4">
        <v>1</v>
      </c>
      <c r="O323" s="4"/>
    </row>
    <row r="324" spans="1:15">
      <c r="A324" s="4" t="s">
        <v>577</v>
      </c>
      <c r="B324" s="4" t="s">
        <v>660</v>
      </c>
      <c r="C324" s="9" t="s">
        <v>669</v>
      </c>
      <c r="D324" s="13">
        <v>0</v>
      </c>
      <c r="F324" s="13">
        <v>0</v>
      </c>
      <c r="G324" s="13">
        <v>0</v>
      </c>
      <c r="H324" s="4">
        <v>42</v>
      </c>
      <c r="I324" s="4">
        <v>46</v>
      </c>
      <c r="J324" s="4" t="s">
        <v>161</v>
      </c>
      <c r="K324" s="4" t="s">
        <v>13</v>
      </c>
      <c r="L324" s="4">
        <v>2025</v>
      </c>
      <c r="M324" s="4">
        <v>1</v>
      </c>
      <c r="N324" s="4">
        <v>1</v>
      </c>
      <c r="O324" s="4"/>
    </row>
    <row r="325" spans="1:15" ht="46" customHeight="1">
      <c r="A325" s="4" t="s">
        <v>577</v>
      </c>
      <c r="B325" s="4" t="s">
        <v>662</v>
      </c>
      <c r="C325" s="9" t="s">
        <v>657</v>
      </c>
      <c r="D325" s="13">
        <v>1</v>
      </c>
      <c r="E325" s="13" t="s">
        <v>677</v>
      </c>
      <c r="F325" s="13">
        <v>1</v>
      </c>
      <c r="G325" s="13">
        <v>1</v>
      </c>
      <c r="H325" s="4">
        <v>43</v>
      </c>
      <c r="I325" s="4">
        <v>46</v>
      </c>
      <c r="J325" s="4" t="s">
        <v>161</v>
      </c>
      <c r="K325" s="4" t="s">
        <v>13</v>
      </c>
      <c r="L325" s="4">
        <v>2025</v>
      </c>
      <c r="M325" s="4">
        <v>1</v>
      </c>
      <c r="N325" s="4">
        <v>1</v>
      </c>
      <c r="O325" s="4"/>
    </row>
    <row r="326" spans="1:15">
      <c r="A326" s="4" t="s">
        <v>577</v>
      </c>
      <c r="B326" s="4" t="s">
        <v>665</v>
      </c>
      <c r="C326" s="9" t="s">
        <v>659</v>
      </c>
      <c r="D326" s="13">
        <v>0</v>
      </c>
      <c r="F326" s="13">
        <v>1</v>
      </c>
      <c r="G326" s="13">
        <v>1</v>
      </c>
      <c r="H326" s="4">
        <v>44</v>
      </c>
      <c r="I326" s="4">
        <v>46</v>
      </c>
      <c r="J326" s="4" t="s">
        <v>161</v>
      </c>
      <c r="K326" s="4" t="s">
        <v>13</v>
      </c>
      <c r="L326" s="4">
        <v>2025</v>
      </c>
      <c r="M326" s="4">
        <v>1</v>
      </c>
      <c r="N326" s="4">
        <v>1</v>
      </c>
      <c r="O326" s="4"/>
    </row>
    <row r="327" spans="1:15">
      <c r="A327" s="4" t="s">
        <v>577</v>
      </c>
      <c r="B327" s="4" t="s">
        <v>666</v>
      </c>
      <c r="C327" s="9" t="s">
        <v>661</v>
      </c>
      <c r="D327" s="13">
        <v>0</v>
      </c>
      <c r="F327" s="13">
        <v>1</v>
      </c>
      <c r="G327" s="13">
        <v>1</v>
      </c>
      <c r="H327" s="4">
        <v>45</v>
      </c>
      <c r="I327" s="4">
        <v>46</v>
      </c>
      <c r="J327" s="4" t="s">
        <v>161</v>
      </c>
      <c r="K327" s="4" t="s">
        <v>13</v>
      </c>
      <c r="L327" s="4">
        <v>2025</v>
      </c>
      <c r="M327" s="4">
        <v>1</v>
      </c>
      <c r="N327" s="4">
        <v>1</v>
      </c>
      <c r="O327" s="4"/>
    </row>
    <row r="328" spans="1:15">
      <c r="A328" s="4" t="s">
        <v>577</v>
      </c>
      <c r="B328" s="4" t="s">
        <v>667</v>
      </c>
      <c r="C328" s="9" t="s">
        <v>663</v>
      </c>
      <c r="D328" s="13">
        <v>0</v>
      </c>
      <c r="F328" s="13">
        <v>1</v>
      </c>
      <c r="G328" s="13">
        <v>1</v>
      </c>
      <c r="H328" s="4">
        <v>46</v>
      </c>
      <c r="I328" s="4">
        <v>46</v>
      </c>
      <c r="J328" s="4" t="s">
        <v>161</v>
      </c>
      <c r="K328" s="4" t="s">
        <v>13</v>
      </c>
      <c r="L328" s="4">
        <v>2025</v>
      </c>
      <c r="M328" s="4">
        <v>1</v>
      </c>
      <c r="N328" s="4">
        <v>1</v>
      </c>
      <c r="O328" s="4"/>
    </row>
  </sheetData>
  <phoneticPr fontId="12" type="noConversion"/>
  <pageMargins left="0.7" right="0.7" top="0.75" bottom="0.75" header="0.3" footer="0.3"/>
  <pageSetup scale="71" fitToHeight="6"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4AD-475B-6C4E-A2B5-6ED22D55B30A}">
  <dimension ref="A1:F24"/>
  <sheetViews>
    <sheetView zoomScale="120" zoomScaleNormal="120" workbookViewId="0">
      <selection activeCell="H34" sqref="H34"/>
    </sheetView>
  </sheetViews>
  <sheetFormatPr baseColWidth="10" defaultRowHeight="16"/>
  <cols>
    <col min="2" max="2" width="0" hidden="1" customWidth="1"/>
  </cols>
  <sheetData>
    <row r="1" spans="1:4">
      <c r="A1" s="1" t="s">
        <v>420</v>
      </c>
    </row>
    <row r="2" spans="1:4">
      <c r="A2" s="15" t="s">
        <v>664</v>
      </c>
    </row>
    <row r="3" spans="1:4">
      <c r="A3" s="1" t="s">
        <v>421</v>
      </c>
      <c r="B3" s="1" t="s">
        <v>422</v>
      </c>
      <c r="C3" s="1" t="s">
        <v>423</v>
      </c>
      <c r="D3" s="1" t="s">
        <v>424</v>
      </c>
    </row>
    <row r="4" spans="1:4">
      <c r="A4">
        <v>82</v>
      </c>
      <c r="B4">
        <v>0</v>
      </c>
      <c r="C4">
        <v>120</v>
      </c>
      <c r="D4">
        <v>202</v>
      </c>
    </row>
    <row r="6" spans="1:4">
      <c r="A6" s="15" t="s">
        <v>672</v>
      </c>
    </row>
    <row r="7" spans="1:4">
      <c r="A7" s="1" t="s">
        <v>421</v>
      </c>
      <c r="B7" s="1" t="s">
        <v>422</v>
      </c>
      <c r="C7" s="1" t="s">
        <v>423</v>
      </c>
      <c r="D7" s="1" t="s">
        <v>424</v>
      </c>
    </row>
    <row r="8" spans="1:4">
      <c r="A8">
        <f>COUNTIF(Sheet1!D:D,"0")</f>
        <v>93</v>
      </c>
      <c r="B8">
        <f>COUNTIF(Sheet1!D:D," ")</f>
        <v>0</v>
      </c>
      <c r="C8">
        <f>COUNTIF(Sheet1!D:D,"1")</f>
        <v>234</v>
      </c>
      <c r="D8">
        <f>SUM(A8:C8)</f>
        <v>327</v>
      </c>
    </row>
    <row r="10" spans="1:4">
      <c r="A10" s="17" t="s">
        <v>676</v>
      </c>
    </row>
    <row r="11" spans="1:4">
      <c r="A11" s="1">
        <v>0</v>
      </c>
      <c r="C11" s="1">
        <v>1</v>
      </c>
    </row>
    <row r="12" spans="1:4">
      <c r="A12">
        <f>COUNTIF(Sheet1!D:D,"0")</f>
        <v>93</v>
      </c>
      <c r="C12">
        <f>COUNTIF(Sheet1!D:D,"1")</f>
        <v>234</v>
      </c>
    </row>
    <row r="14" spans="1:4">
      <c r="C14" s="1" t="s">
        <v>678</v>
      </c>
    </row>
    <row r="15" spans="1:4">
      <c r="C15" s="16">
        <f>COUNTIF(Sheet1!E:E,"Low")</f>
        <v>118</v>
      </c>
    </row>
    <row r="16" spans="1:4">
      <c r="C16" s="1" t="s">
        <v>679</v>
      </c>
    </row>
    <row r="17" spans="1:6">
      <c r="C17" s="16">
        <f>COUNTIF(Sheet1!E:E,"Medium")</f>
        <v>99</v>
      </c>
    </row>
    <row r="18" spans="1:6">
      <c r="C18" s="1" t="s">
        <v>675</v>
      </c>
    </row>
    <row r="19" spans="1:6">
      <c r="C19" s="16">
        <f>COUNTIF(Sheet1!E:E,"High")</f>
        <v>17</v>
      </c>
    </row>
    <row r="21" spans="1:6">
      <c r="A21" s="18" t="s">
        <v>690</v>
      </c>
      <c r="C21" s="19"/>
    </row>
    <row r="22" spans="1:6">
      <c r="A22">
        <v>0</v>
      </c>
      <c r="C22" t="s">
        <v>692</v>
      </c>
      <c r="F22">
        <f>COUNTIF(Sheet1!G:G,"0")</f>
        <v>143</v>
      </c>
    </row>
    <row r="23" spans="1:6">
      <c r="A23">
        <v>1</v>
      </c>
      <c r="C23" t="s">
        <v>691</v>
      </c>
      <c r="F23">
        <f>COUNTIF(Sheet1!G:G,"1")</f>
        <v>115</v>
      </c>
    </row>
    <row r="24" spans="1:6">
      <c r="A24">
        <v>2</v>
      </c>
      <c r="C24" t="s">
        <v>693</v>
      </c>
      <c r="F24">
        <f>COUNTIF(Sheet1!G:G,"2")</f>
        <v>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Murphy</dc:creator>
  <cp:lastModifiedBy>Sara Murphy</cp:lastModifiedBy>
  <cp:lastPrinted>2026-03-23T16:15:49Z</cp:lastPrinted>
  <dcterms:created xsi:type="dcterms:W3CDTF">2026-03-17T01:57:37Z</dcterms:created>
  <dcterms:modified xsi:type="dcterms:W3CDTF">2026-04-12T06:46:37Z</dcterms:modified>
</cp:coreProperties>
</file>