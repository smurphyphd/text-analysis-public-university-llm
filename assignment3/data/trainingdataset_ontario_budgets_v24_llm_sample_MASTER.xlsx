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CB8FBD39-71B0-FE41-92F6-F1153B9D5141}" xr6:coauthVersionLast="47" xr6:coauthVersionMax="47" xr10:uidLastSave="{00000000-0000-0000-0000-000000000000}"/>
  <bookViews>
    <workbookView xWindow="1460" yWindow="1040" windowWidth="2620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3" l="1"/>
  <c r="F31" i="3"/>
  <c r="F28" i="3" l="1"/>
  <c r="F27" i="3"/>
  <c r="F24" i="3" l="1"/>
  <c r="F23" i="3"/>
  <c r="F22" i="3"/>
  <c r="C19" i="3"/>
  <c r="C17" i="3"/>
  <c r="C15" i="3"/>
  <c r="C12" i="3"/>
  <c r="A12" i="3"/>
  <c r="C8" i="3"/>
  <c r="B8" i="3"/>
  <c r="A8" i="3"/>
  <c r="D8" i="3" l="1"/>
</calcChain>
</file>

<file path=xl/sharedStrings.xml><?xml version="1.0" encoding="utf-8"?>
<sst xmlns="http://schemas.openxmlformats.org/spreadsheetml/2006/main" count="2825" uniqueCount="1378">
  <si>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</si>
  <si>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</si>
  <si>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</si>
  <si>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</si>
  <si>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</si>
  <si>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</si>
  <si>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</si>
  <si>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</si>
  <si>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</si>
  <si>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</si>
  <si>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</si>
  <si>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</si>
  <si>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</si>
  <si>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</si>
  <si>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</si>
  <si>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</si>
  <si>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</si>
  <si>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</si>
  <si>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</si>
  <si>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</si>
  <si>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</si>
  <si>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</si>
  <si>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</si>
  <si>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</si>
  <si>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</si>
  <si>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</si>
  <si>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</si>
  <si>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</si>
  <si>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</si>
  <si>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</si>
  <si>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</si>
  <si>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</si>
  <si>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</si>
  <si>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</si>
  <si>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</si>
  <si>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</si>
  <si>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</si>
  <si>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</si>
  <si>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</si>
  <si>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</si>
  <si>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</si>
  <si>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</si>
  <si>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</si>
  <si>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</si>
  <si>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</si>
  <si>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</si>
  <si>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</si>
  <si>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</si>
  <si>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</si>
  <si>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</si>
  <si>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</si>
  <si>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</si>
  <si>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</si>
  <si>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</si>
  <si>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</si>
  <si>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</si>
  <si>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</si>
  <si>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</si>
  <si>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</si>
  <si>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</si>
  <si>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</si>
  <si>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</si>
  <si>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</si>
  <si>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</si>
  <si>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</si>
  <si>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</si>
  <si>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</si>
  <si>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</si>
  <si>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</si>
  <si>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</si>
  <si>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</si>
  <si>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</si>
  <si>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</si>
  <si>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</si>
  <si>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</si>
  <si>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</si>
  <si>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</si>
  <si>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</si>
  <si>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</si>
  <si>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</si>
  <si>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</si>
  <si>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</si>
  <si>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</si>
  <si>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</si>
  <si>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</si>
  <si>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</si>
  <si>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</si>
  <si>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</si>
  <si>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</si>
  <si>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</si>
  <si>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</si>
  <si>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</si>
  <si>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</si>
  <si>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</si>
  <si>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</si>
  <si>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</si>
  <si>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</si>
  <si>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</si>
  <si>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</si>
  <si>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</si>
  <si>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</si>
  <si>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</si>
  <si>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</si>
  <si>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</si>
  <si>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</si>
  <si>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</si>
  <si>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</si>
  <si>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</si>
  <si>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</si>
  <si>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</si>
  <si>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</si>
  <si>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</si>
  <si>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</si>
  <si>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</si>
  <si>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</si>
  <si>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</si>
  <si>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</si>
  <si>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</si>
  <si>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</si>
  <si>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</si>
  <si>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</si>
  <si>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</si>
  <si>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</si>
  <si>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</si>
  <si>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</si>
  <si>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</si>
  <si>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</si>
  <si>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</si>
  <si>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</si>
  <si>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</si>
  <si>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</si>
  <si>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</si>
  <si>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</si>
  <si>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</si>
  <si>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</si>
  <si>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</si>
  <si>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</si>
  <si>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</si>
  <si>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</si>
  <si>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</si>
  <si>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</si>
  <si>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</si>
  <si>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</si>
  <si>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</si>
  <si>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</si>
  <si>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</si>
  <si>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</si>
  <si>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</si>
  <si>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</si>
  <si>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</si>
  <si>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</si>
  <si>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</si>
  <si>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</si>
  <si>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</si>
  <si>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</si>
  <si>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</si>
  <si>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</si>
  <si>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</si>
  <si>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</si>
  <si>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</si>
  <si>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</si>
  <si>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</si>
  <si>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</si>
  <si>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</si>
  <si>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</si>
  <si>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</si>
  <si>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</si>
  <si>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</si>
  <si>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</si>
  <si>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</si>
  <si>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</si>
  <si>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</si>
  <si>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</si>
  <si>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</si>
  <si>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</si>
  <si>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</si>
  <si>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</si>
  <si>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</si>
  <si>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</si>
  <si>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</si>
  <si>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</si>
  <si>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</si>
  <si>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</si>
  <si>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</si>
  <si>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</si>
  <si>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</si>
  <si>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</si>
  <si>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</si>
  <si>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</si>
  <si>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</si>
  <si>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</si>
  <si>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</si>
  <si>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</si>
  <si>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</si>
  <si>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</si>
  <si>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</si>
  <si>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</si>
  <si>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</si>
  <si>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</si>
  <si>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</si>
  <si>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</si>
  <si>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</si>
  <si>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</si>
  <si>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</si>
  <si>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</si>
  <si>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</si>
  <si>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</si>
  <si>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</si>
  <si>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</si>
  <si>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</si>
  <si>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</si>
  <si>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</si>
  <si>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</si>
  <si>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</si>
  <si>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</si>
  <si>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</si>
  <si>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</si>
  <si>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</si>
  <si>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</si>
  <si>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</si>
  <si>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</si>
  <si>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</si>
  <si>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</si>
  <si>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</si>
  <si>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</si>
  <si>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</si>
  <si>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</si>
  <si>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</si>
  <si>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</si>
  <si>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</si>
  <si>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</si>
  <si>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</si>
  <si>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</si>
  <si>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</si>
  <si>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</si>
  <si>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</si>
  <si>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</si>
  <si>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</si>
  <si>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</si>
  <si>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</si>
  <si>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</si>
  <si>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</si>
  <si>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</si>
  <si>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</si>
  <si>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</si>
  <si>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</si>
  <si>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</si>
  <si>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</si>
  <si>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</si>
  <si>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</si>
  <si>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</si>
  <si>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</si>
  <si>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</si>
  <si>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</si>
  <si>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</si>
  <si>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</si>
  <si>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</si>
  <si>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</si>
  <si>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</si>
  <si>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</si>
  <si>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</si>
  <si>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</si>
  <si>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</si>
  <si>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</si>
  <si>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</si>
  <si>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</si>
  <si>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</si>
  <si>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</si>
  <si>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</si>
  <si>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</si>
  <si>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</si>
  <si>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</si>
  <si>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</si>
  <si>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</si>
  <si>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</si>
  <si>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</si>
  <si>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</si>
  <si>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</si>
  <si>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</si>
  <si>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</si>
  <si>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</si>
  <si>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</si>
  <si>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</si>
  <si>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</si>
  <si>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</si>
  <si>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</si>
  <si>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</si>
  <si>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</si>
  <si>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</si>
  <si>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</si>
  <si>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</si>
  <si>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</si>
  <si>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</si>
  <si>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</si>
  <si>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</si>
  <si>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</si>
  <si>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</si>
  <si>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</si>
  <si>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</si>
  <si>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</si>
  <si>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</si>
  <si>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</si>
  <si>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</si>
  <si>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</si>
  <si>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</si>
  <si>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</si>
  <si>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</si>
  <si>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</si>
  <si>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</si>
  <si>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</si>
  <si>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</si>
  <si>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</si>
  <si>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</si>
  <si>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</si>
  <si>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</si>
  <si>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</si>
  <si>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</si>
  <si>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</si>
  <si>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</si>
  <si>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</si>
  <si>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</si>
  <si>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</si>
  <si>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</si>
  <si>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</si>
  <si>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</si>
  <si>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</si>
  <si>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</si>
  <si>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</si>
  <si>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</si>
  <si>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</si>
  <si>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</si>
  <si>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</si>
  <si>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</si>
  <si>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</si>
  <si>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</si>
  <si>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</si>
  <si>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</si>
  <si>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</si>
  <si>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</si>
  <si>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</si>
  <si>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</si>
  <si>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</si>
  <si>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</si>
  <si>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</si>
  <si>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</si>
  <si>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</si>
  <si>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</si>
  <si>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</si>
  <si>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</si>
  <si>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</si>
  <si>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</si>
  <si>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</si>
  <si>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</si>
  <si>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</si>
  <si>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</si>
  <si>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</si>
  <si>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</si>
  <si>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</si>
  <si>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</si>
  <si>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</si>
  <si>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</si>
  <si>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</si>
  <si>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</si>
  <si>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</si>
  <si>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</si>
  <si>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</si>
  <si>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</si>
  <si>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</si>
  <si>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</si>
  <si>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</si>
  <si>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</si>
  <si>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</si>
  <si>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</si>
  <si>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</si>
  <si>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</si>
  <si>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</si>
  <si>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</si>
  <si>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</si>
  <si>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</si>
  <si>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</si>
  <si>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</si>
  <si>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</si>
  <si>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</si>
  <si>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</si>
  <si>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</si>
  <si>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</si>
  <si>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</si>
  <si>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</si>
  <si>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</si>
  <si>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</si>
  <si>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</si>
  <si>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</si>
  <si>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</si>
  <si>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</si>
  <si>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</si>
  <si>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</si>
  <si>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</si>
  <si>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</si>
  <si>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</si>
  <si>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</si>
  <si>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</si>
  <si>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</si>
  <si>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</si>
  <si>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</si>
  <si>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</si>
  <si>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</si>
  <si>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</si>
  <si>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</si>
  <si>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</si>
  <si>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</si>
  <si>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</si>
  <si>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</si>
  <si>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</si>
  <si>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</si>
  <si>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</si>
  <si>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University of Windsor</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</si>
  <si>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</si>
  <si>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</si>
  <si>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</si>
  <si>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</si>
  <si>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</si>
  <si>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</si>
  <si>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</si>
  <si>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</si>
  <si>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</si>
  <si>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</si>
  <si>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</si>
  <si>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</si>
  <si>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</si>
  <si>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</si>
  <si>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</si>
  <si>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</si>
  <si>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</si>
  <si>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</si>
  <si>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</si>
  <si>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</si>
  <si>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</si>
  <si>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</si>
  <si>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</si>
  <si>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</si>
  <si>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</si>
  <si>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</si>
  <si>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</si>
  <si>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</si>
  <si>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</si>
  <si>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</si>
  <si>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</si>
  <si>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</si>
  <si>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</si>
  <si>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</si>
  <si>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</si>
  <si>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</si>
  <si>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</si>
  <si>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</si>
  <si>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</si>
  <si>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</si>
  <si>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</si>
  <si>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</si>
  <si>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</si>
  <si>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</si>
  <si>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</si>
  <si>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</si>
  <si>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</si>
  <si>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</si>
  <si>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</si>
  <si>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</si>
  <si>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</si>
  <si>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</si>
  <si>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</si>
  <si>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</si>
  <si>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</si>
  <si>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</si>
  <si>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</si>
  <si>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</si>
  <si>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</si>
  <si>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</si>
  <si>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</si>
  <si>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</si>
  <si>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</si>
  <si>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</si>
  <si>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</si>
  <si>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</si>
  <si>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</si>
  <si>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</si>
  <si>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</si>
  <si>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</si>
  <si>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</si>
  <si>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</si>
  <si>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</si>
  <si>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</si>
  <si>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</si>
  <si>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</si>
  <si>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</si>
  <si>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</si>
  <si>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</si>
  <si>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</si>
  <si>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</si>
  <si>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</si>
  <si>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</si>
  <si>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</si>
  <si>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</si>
  <si>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</si>
  <si>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</si>
  <si>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</si>
  <si>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</si>
  <si>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</si>
  <si>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</si>
  <si>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</si>
  <si>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</si>
  <si>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</si>
  <si>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</si>
  <si>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</si>
  <si>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</si>
  <si>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</si>
  <si>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</si>
  <si>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</si>
  <si>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</si>
  <si>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</si>
  <si>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</si>
  <si>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</si>
  <si>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</si>
  <si>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</si>
  <si>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</si>
  <si>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</si>
  <si>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</si>
  <si>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</si>
  <si>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</si>
  <si>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</si>
  <si>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</si>
  <si>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</si>
  <si>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</si>
  <si>
    <t>lakehead_2021</t>
  </si>
  <si>
    <t>lakehead_2021_1</t>
  </si>
  <si>
    <t>Lakehead University’s ongoing commitment to an environment of integrated planning and budgeting ensures that the decisions we make and the actions we take across the University all stem from a central vision and collective goals. At Lakehead, the vision and goals have informed our Strategic Plan, Academic Plan and Strategic Enrolment Management Plan. An integrated budget plan and process supports this vision and aligns resources to pursue strategic goals and objectives.</t>
  </si>
  <si>
    <t>lakehead_2021_2</t>
  </si>
  <si>
    <t>The global context in which we operate remains complex. The impact of COVID-19 continues to evolve. We also continue to operate in a provincial environment focused on fiscal austerity. Universities across Ontario, including Lakehead University, are facing a number of challenges that threaten achievement of long-term enrolment targets. These challenges include changes to how universities are funded within the province of Ontario with an increasing proportion of funding tied to ten performance metrics, evolving demographics in the regions we serve, in some cases a declining post-secondary age population, while the need for reskilling in the current workforce is increasing, and provincial competition continues to grow. These pressures are expected to continue into the future, while Lakehead University continues to strive towards the goal of achieving optimal enrolment over the coming years.</t>
  </si>
  <si>
    <t>lakehead_2021_3</t>
  </si>
  <si>
    <t>Lakehead University’s commitment to continued financial sustainability is evidenced by strong financial performance metrics, sound governance and strong financial management. As required by the Board of Governors, Lakehead University continues to present a balanced operating budget. The budget planning process for 2021-22 fully reflects the integrated budget development model that was launched in 2015-16 following significant consultation to inform a transparent, consultative and accountable integrated budgeting process. Despite significant financial changes and enrolment pressures, Lakehead has continued to respond to mitigate funding shortfalls.</t>
  </si>
  <si>
    <t>lakehead_2021_4</t>
  </si>
  <si>
    <t>In addition to the significant funding challenges that Lakehead has managed, the 2021-22 budget also responds to the extraordinary circumstances of the global pandemic. The 2021-22 budget continues to demonstrate budget caution to ensure that Lakehead remains financially sustainable and viable moving through and beyond the next fiscal year. The strongest strategies to offset funding challenges remain strong program delivery and recruitment efforts combined with ongoing increases in domestic and international student enrolment with further growth projected in subsequent years.</t>
  </si>
  <si>
    <t>Lakehead University</t>
  </si>
  <si>
    <t>lakehead_2022</t>
  </si>
  <si>
    <t>Lakehead University's ongoing commitment to an environment of integrated planning and budgeting ensures that the decisions we make and the actions we take across the University all stem from a central vision and collective goals. At Lakehead the vision and goals have informed our Strategic Plan, Academic Plan and Strategic Enrolment Management Plan. An integrated budget plan and process supports this vision and aligns resources to pursue strategic goals and objectives.</t>
  </si>
  <si>
    <t>The global context in which we operate remains complex and the impact of COVID-
19 continues to evolve. We have seen our University community come together in incredible ways as we have faced the realities of the rapidly-evolving COVID-19 pandemic and the implementation of the Mandatory Vaccination Policy. The work required to transform our University has been exceptional to ensure the delivery of vital services and continued delivery of high-quality programming to our students.</t>
  </si>
  <si>
    <t>As we plan for the upcoming 2022-23 fiscal year, the context in which we operate remains complex. The local and global impact of COVID-19 includes an uncertain recovery period. We continue to operate in a provincial environment focused on fiscal austerity. With the finalization of SMA 3 in 2020-21, universities in Ontario now have an increasing proportion of funding tied to ten performance metrics. The current demographic projections show limited growth of traditional age university students in Northwestern Ontario. There are opportunities in Simcoe County to address a growing university-aged population and ongoing unmet need in the region. Across Ontario and Canada, there are additional opportunities to develop and deliver programming that addresses upskilling and reskilling through new approaches including micro credentials, certificates and modular programming.</t>
  </si>
  <si>
    <t>Lakehead University's commitment to financial sustainability continues to be evidenced by strong financial performance metrics, sound governance and strong financial management.</t>
  </si>
  <si>
    <t>As required by the Board of Governors, Lakehead University presents a balanced operating budget. The budget planning process for 2022-23 fully reflects our integrated budget development model and exhibits a transparent, consultative and accountable integrated budgeting process. Despite significant financial changes and enrolment pressures, Lakehead has been able to mitigate funding shortfalls.</t>
  </si>
  <si>
    <t>The pandemic has necessitated rigorous budget measures and, for the immediate
future as we address the lasting impact of COVID-19, this approach has been maintained. The additional budget controls that we collectively undertook during the last two years have assisted addressing the realities faced by the global pandemic, and have assisted mitigating shortfalls while ensuring that Lakehead remains financially sustainable and viable moving through and beyond the current year. Some of these additional budget controls will continue during 2022-23 as necessary.</t>
  </si>
  <si>
    <t>Maintaining a strong budget position in 2022-23 relies on proactive recruitment and retention of domestic and international students, continued delivery of high-quality programming, and ongoing efforts to build Lakehead's local and global reputation.</t>
  </si>
  <si>
    <t>lakehead_2022_1</t>
  </si>
  <si>
    <t>lakehead_2022_2</t>
  </si>
  <si>
    <t>lakehead_2022_3</t>
  </si>
  <si>
    <t>lakehead_2022_4</t>
  </si>
  <si>
    <t>lakehead_2022_5</t>
  </si>
  <si>
    <t>lakehead_2022_6</t>
  </si>
  <si>
    <t>lakehead_2023_1</t>
  </si>
  <si>
    <t>lakehead_2023</t>
  </si>
  <si>
    <t>lakehead_2022_7</t>
  </si>
  <si>
    <t>Over the past few years, the University has faced and managed the impact of domestic
and international enrolment challenges despite the volatile planning environment. We
have come together as a community and have worked hard to position the University for
strength despite increasing financial challenges. We believe we must continue this path,
acknowledging we are stronger when we work together.</t>
  </si>
  <si>
    <t>The global context in which we operate continues to remain complex. As we recover from
the impacts of COVID-19 on our operations, most notably through some recovery in
enrolment, we continue to manage financial pressures including a continued freeze on
domestic tuition rates, significant inflationary pressures, and an increasingly competitive
post-secondary environment.</t>
  </si>
  <si>
    <t>On October 12, 2023, the Board of Governors approved a provisional $5.284M operating
budget deficit for 2023-24 while work continues concurrently with the development of an
action plan that mitigates the University's structural deficit and ongoing advocacy with
government.</t>
  </si>
  <si>
    <t>To ensure that Lakehead remains financially sustainable and viable moving through and
beyond the next fiscal year, the 2023-24 budget continues to demonstrate budget caution.
The 2023-24 budget offers a blueprint to manage the fiscal year so that each
faculty/department has a budget foundation to work within. Budget adjustments may
continue into the winter months, depending on enrolment and other financial pressures.
The strongest strategies to offset immediate and longer-term funding challenges remain
strong program delivery combined with proactive recruitment and retention efforts of both
domestic and international student enrolment.</t>
  </si>
  <si>
    <t>Lakehead University's commitment to financial sustainability continues to be
evidenced by strong financial performance metrics, sound governance, strong
financial management, and government advocacy.</t>
  </si>
  <si>
    <t>lakehead_2023_2</t>
  </si>
  <si>
    <t>lakehead_2023_3</t>
  </si>
  <si>
    <t>lakehead_2023_4</t>
  </si>
  <si>
    <t>lakehead_2023_5</t>
  </si>
  <si>
    <t>lakehead_2024_1</t>
  </si>
  <si>
    <t>lakehead_2024</t>
  </si>
  <si>
    <t>As we plan for the upcoming 2024-25 fiscal year, the global context in which we operate continues to remain complex. Most notable is the significant disruption to international enrolment resulting from changes to federal immigration policy, capping of international undergraduate student visa approvals, and changes to the post-graduate work permit requirements. Lakehead also remains impacted by financial pressures including a continued freeze on domestic tuition rates, and a competitive post-secondary environment.</t>
  </si>
  <si>
    <t>lakehead_2024_2</t>
  </si>
  <si>
    <t>In 2023, in response to the sector-wide financial sustainability challenges, the province struck a Blue Ribbon Panel. While the panel acknowledged the structural challenges facing the sector and made recommendations for significant increases to tuition and grant funding, the government’s response has focused more on operational efficiencies.</t>
  </si>
  <si>
    <t>In February 2024, the government announced $1.3 billion in new funding over the next 3 years. This announcement was welcome news; however, analysts have indicated it represents about 20% of what was needed to stabilize the sector, well short of the Panel’s recommendations.</t>
  </si>
  <si>
    <t>Lakehead University's commitment to financial sustainability continues to be evidenced by strong financial performance metrics, sound governance, and strong financial management. Advocacy efforts with the provincial government have and will continue as we stress the unique position of Lakehead as the only comprehensive university in the north.</t>
  </si>
  <si>
    <t>The budget planning process for 2024-25 fully reflects our integrated budget development model and exhibits a transparent, consultative, and accountable integrated budgeting process. While a structural deficit still exists, the addition of one-time targeted sustainability funding, resulting from the $1.3 billion funding announcement, has contributed to a balanced budget.</t>
  </si>
  <si>
    <t>lakehead_2024_3</t>
  </si>
  <si>
    <t>lakehead_2024_4</t>
  </si>
  <si>
    <t>lakehead_2024_5</t>
  </si>
  <si>
    <t>lakehead_2025_1</t>
  </si>
  <si>
    <t>lakehead_2025</t>
  </si>
  <si>
    <t>Similar to the prior fiscal year, the external environment for the post-secondary education sector remains complex. Last year’s disruption to international enrolment resulting from changes to federal immigration policy continues to be a factor.</t>
  </si>
  <si>
    <t>lakehead_2025_2</t>
  </si>
  <si>
    <t>Development of the 2025/26 budget has been impacted significantly by these changes, most notably the capping of international student visa approvals, which have expanded to include graduate students. Lakehead is experiencing declines in applications due to the reputational damage these policy changes have caused combined with the perceived hostility of the Canadian government towards international students. Lakehead also remains impacted by a continued freeze on domestic tuition rates, and a highly competitive post-secondary environment. As a northern university, Lakehead is disproportionately affected by these external forces.</t>
  </si>
  <si>
    <t>In February 2024, the government announced $1.3 billion in new funding for a 3-year period. This announcement was welcome news; however, analysts have indicated it represents about 20% of what was needed to stabilize the sector, well short of the Blue Ribbon Panel’s recommendations. The Blue Ribbon Panel was struck in 2023 by the province in response to the sector-wide financial sustainability challenges.</t>
  </si>
  <si>
    <t>The addition of one-time targeted sustainability funding, resulting from the $1.3 billion funding announcement in 2024, contributed to a balanced budget for Lakehead in 202425; however, for 2025/26, Lakehead’s portion of the Post Secondary Education Sustainability Fund (PSESF) Top-up funding, which is a component of the $1.3 billion, was reduced to nearly half for 2025/26.</t>
  </si>
  <si>
    <t>The reduction to the PSESF Top-up funding in combination with the decline in international student enrolment has been unexpected and has placed exceptional pressure on budget development.</t>
  </si>
  <si>
    <t>Lakehead University's commitment to financial sustainability continues to be evidenced by strong financial performance metrics, sound governance and strong financial management. Advocacy efforts with the provincial government have continued and will continue as we stress the unique position of Lakehead as the only comprehensive university in the north.</t>
  </si>
  <si>
    <t>The President’s Advisory Committee on Financial Sustainability has been reviewing recommendations from the 2023 3rd party review, input from the University community, and now the latest 3rd party review to develop recommendations to support the short and long-term financial sustainability of the University. The 2025/26 Budget includes targeted savings anticipated from the first round of recommendations made by the Advisory Committee to the President, and which the President has accepted.</t>
  </si>
  <si>
    <t>As required by the Board of Governors, Lakehead University presents a balanced operating budget. The budget planning process for 2025-26 fully reflects our integrated budget development model and exhibits a transparent, consultative, and accountable integrated budgeting process.</t>
  </si>
  <si>
    <t>lakehead_2025_3</t>
  </si>
  <si>
    <t>lakehead_2025_4</t>
  </si>
  <si>
    <t>lakehead_2025_5</t>
  </si>
  <si>
    <t>lakehead_2025_6</t>
  </si>
  <si>
    <t>lakehead_2025_7</t>
  </si>
  <si>
    <t>lakehead_2025_8</t>
  </si>
  <si>
    <t>laurier_2025</t>
  </si>
  <si>
    <t>laurier_2025_1</t>
  </si>
  <si>
    <r>
      <t>The assumptions and estimates included in the 2025/26 Operating, Ancillary and Capital budgets are based on the information available to management at the time of preparation</t>
    </r>
    <r>
      <rPr>
        <sz val="11"/>
        <color rgb="FFFF0000"/>
        <rFont val="Calibri"/>
        <family val="2"/>
      </rPr>
      <t xml:space="preserve">. </t>
    </r>
    <r>
      <rPr>
        <sz val="11"/>
        <color theme="1"/>
        <rFont val="Calibri"/>
        <family val="2"/>
      </rPr>
      <t>Post-secondary institutions in Canada are facing sector-wide challenges, with continued revenue constraints and significant inflationary pressures contributing to growing financial risks. Universities across Ontario are facing increased scrutiny on fiscal performance through the Ministry of Colleges, Universities, Research Excellence and Security (MCURES) Financial Accountability Framework. </t>
    </r>
  </si>
  <si>
    <t>laurier_2025_2</t>
  </si>
  <si>
    <t>Successfully navigating this difficult environment will require highly disciplined and effective financial management as the university considers both the short-term horizon as articulated in the fiscal year budget and long-term sustainability as depicted in the multi-year budget projections.</t>
  </si>
  <si>
    <t>laurier_2025_3</t>
  </si>
  <si>
    <t>On April 22, 2025 MCURES announced a $750 million investment to support 20,500 STEM learners annually at universities and colleges. Due to Laurier’s significant enrolment growth in serving Ontario students, particularly in STEM programs, Laurier’s share of that funding is $16.1 million annually, representing funding for over 2,000 existing unfunded STEM learners at the current system funding rates. Laurier’s share of the funding is committed for three years, with funding for 2028/29 and 2029/30 to be confirmed by MCURES through future multi-year planning exercises informed by the upcoming funding model review.</t>
  </si>
  <si>
    <t>laurier_2025_4</t>
  </si>
  <si>
    <t>Notwithstanding this recent infusion of government grant funding, Laurier remain in a structural deficit position, with a modest deficit slated to increase rapidly over the next five years even if tuition is permitted to increase in 2027/28 and beyond. Significant constraints on revenue continue in the short term, including an ongoing general freeze in domestic tuition rates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required to succeed in a highly competitive sector.</t>
  </si>
  <si>
    <t>laurier_2025_5</t>
  </si>
  <si>
    <t>Alongside a challenging revenue outlook, increased scrutiny of universities’ financial performance continues through the MCURES University Financial Accountability Framework. The Framework consists of the five financial health indicators previously reported by Ontario Universities and incorporates debt ratios and the institution’s credit rating into an overall risk assessment. While Laurier’s 2023/24 financial performance resulted in a “low” risk assessment, a significant contributing factor to this assessment was the occurrence of one-time financial impacts such as real estate transactions (reinvested in capital) and the 23/24 one-time-only STEM funding. Without these transactions, Laurier’s performance would have yielded a less favourable risk assessment rating. 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</si>
  <si>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laurier_2025_6</t>
  </si>
  <si>
    <t>Throughout our history, the strength of the Wilfrid Laurier University community has allowed us to capitalize on opportunities and overcome challenges to become a comprehensive, multi-campus institution focused on excellence in academics, a sector-leading student experience, and a growing research enterprise. Since 2019, Laurier has pursued these efforts in addition to implementing significant budget savings targets; with the 2025/26 proposed budget, the magnitude of efficiencies achieved will be in excess of $43 million, a 12% reduction resulting in 2025/26 budgeted expenses of $371 million.</t>
  </si>
  <si>
    <t>laurier_2025_7</t>
  </si>
  <si>
    <t>The Operating Budget comprises the major annual revenues and expenditures of the university’s financial operations. Revenues from student tuition fees and government operating grants account for 85% of the total operating revenues. Faculty and staff salaries and benefits account for 75% of the total operating expenditures. Table 1 below is a summary of the 2025/26 Operating Budget.</t>
  </si>
  <si>
    <t>laurier_2025_8</t>
  </si>
  <si>
    <t>The 2025/26 Budget shows forecasted total revenues of $369.1 million, an increase of $32.6 million, or 9.7%, over last year’s Budget. Tuition revenue has increased by $5.6 million, primarily due to an anticipated 1.6% increase in enrolment and limited, allowable tuition increases. An overall $18.9 million increase in grant funding over the prior year is the result of the recently announced support for the continued delivery and enhancement of STEM programming for the sector, with Laurier receiving $16.1 million. Other grant increases relate to the increase in one-time funding from the Postsecondary Education Sustainability Fund (PSESF) and continued domestic growth at the Milton campus, which is fully funded. An updated Student Affairs Administrative Agreement (SAAA), now called the Comprehensive Student Services Administrative Agreement (CSSAA), resulting in additional student contributions driving the remaining revenue increase.</t>
  </si>
  <si>
    <t>laurier_2025_9</t>
  </si>
  <si>
    <t>Total expenditures are forecasted at $371.4 million, an increase of $27.6 million, or 8.0%, over last year. Salaries and benefits increased by $22.1 million over the previous year, largely due to current collective agreements in place, (~$15 million), benefit increases and transitioning to UPP on January 1, 2026 (~$2.5 million). Non-salary expenses increased by $5.4 million. Section 3.2.6 provides further detail.</t>
  </si>
  <si>
    <t>laurier_2025_10</t>
  </si>
  <si>
    <t>The 2025/26 Budget is being presented as a balanced budget through the continuation of limited austerity measures, appropriation of the Milton operating deficit, and the anticipated additional BEd funding that remains unconfirmed at the time of writing. Further, an institutional 1.0% budget reduction across vice-president portfolios along with limited investments in 2025/26 also contributed to the balanced budget being put forward for approval.</t>
  </si>
  <si>
    <t>Wilfrid Laurier University</t>
  </si>
  <si>
    <t>laurier_2024_1</t>
  </si>
  <si>
    <t>laurier_2024</t>
  </si>
  <si>
    <t>The assumptions and estimates included in the 2024/25 Operating, Ancillary and Capital budgets are based on the information available to management at the time of preparation. Post-secondary institutions in Canada are facing sector-wide challenges, with continued revenue constraints and significant inflationary pressures contributing to growing financial risks. Universities across Ontario are facing increased scrutiny on fiscal performance through a recently announced MCU Financial Accountability Framework and a series of value-for-money audits by the Auditor General.</t>
  </si>
  <si>
    <t>Laurier is now in a structural deficit position, as the university faces significant constraints on revenue including an ongoing general freeze in domestic tuition rates, modest temporary increases to government grant,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to succeed in a highly competitive sector.</t>
  </si>
  <si>
    <t>Alongside a challenging revenue outlook, increased scrutiny of Universities’ financial performance was confirmed as the Ministry of Colleges and Universities introduced the University Financial Accountability Framework. The Framework consists of the five financial health indicators previously reported by Ontario Universities and incorporates debt ratios and the institution’s credit rating into an overall risk assessment. Laurier’s 2022/23 financial performance resulted in a “low” risk assessment, however, a significant contributing factor to this assessment was the occurrence of one-time real estate transactions – without these transactions, Laurier’s performance would have yielded a less favourable risk assessment rating.</t>
  </si>
  <si>
    <t>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</si>
  <si>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In February 2024, Laurier received $11.6 million of funding for the 2023/24 fiscal year as part of the province’s funding approach to stabilize colleges and universities while maintaining a tuition freeze for Ontario students. This funding was provided specifically for STEM program costs for enrolments above currently funded levels. This one-time funding enables Laurier to offset $11.6 million in budgeted expenditures incurred during the 2023/24 year and contribute to a stabilization fund to mitigate future deficits. While this provides some limited, short-term deficit mitigation, without sustained and predictable funding Laurier will continue to be challenged with a growing structural deficit.</t>
  </si>
  <si>
    <t>Throughout our history, the strength of the Wilfrid Laurier University community has allowed us to capitalize on opportunities and prevail over challenges to become a comprehensive, multi-campus institution focused on excellence in academics, a sector-leading student experience, and a growing research enterprise. Since 2019, Laurier has pursued these efforts in addition to implementing significant budget savings targets; with the 2024/25 proposed budget, the magnitude of efficiencies achieved will be in excess of $39 million, a 12% reduction resulting in 2024/25 budgeted expenses of $344 million.</t>
  </si>
  <si>
    <t>The Operating Budget comprises the major annual revenues and expenditures of the university’s financial operations. Revenues from student tuition fees and government operating grants account for 86% of the total operating revenues. Faculty and staff salaries and benefits account for 75% of the total operating expenditures. Table 1 below is a summary of the 2024/25 Operating Budget.</t>
  </si>
  <si>
    <t>The 2024/25 Budget shows forecasted total revenues of $336.5 million, an increase of $9.1 million, or 2.8%, over last year’s Budget. Tuition revenue has remained substantially unchanged with a slight increase of $0.2 million. An overall $3.9 million increase in grant funding over the prior year is mainly due to the increase in one-time funding from the Postsecondary Education Sustainability Fund. Government operating grant base funding remains steady, with a slight increase reflecting the inaugural student cohort at the new Milton campus. An updated Student Affairs Advisory Committee (SAAC) agreement, resulting in additional student contributions of $3.6 million in 2023/24, drove the remaining revenue increase.</t>
  </si>
  <si>
    <t>Total expenditures are forecasted at $343.9 million, an increase of $9.7 million, or 2.9%, over last year. Salaries and benefits increased by $14.9 million over the previous year, largely due to current collective agreements in place, and non-salary expenses decreased by $5.2 million.</t>
  </si>
  <si>
    <t>The 2024/25 Budget is being presented as a balanced budget primarily through limited austerity measures, appropriation of the Milton operating deficit, and drawdown of the Operating Budget Stabilization Reserve. Further, an institutional 4.5% budget reduction across vice-president portfolios along with limited investments in 2024/25 also contributed to the balanced budget being put forward for approval.</t>
  </si>
  <si>
    <t>laurier_2024_2</t>
  </si>
  <si>
    <t>laurier_2024_3</t>
  </si>
  <si>
    <t>laurier_2024_4</t>
  </si>
  <si>
    <t>laurier_2024_5</t>
  </si>
  <si>
    <t>laurier_2024_6</t>
  </si>
  <si>
    <t>laurier_2024_7</t>
  </si>
  <si>
    <t>laurier_2024_8</t>
  </si>
  <si>
    <t>laurier_2024_9</t>
  </si>
  <si>
    <t>laurier_2024_10</t>
  </si>
  <si>
    <t>laurier_2024_11</t>
  </si>
  <si>
    <t>laurier_2023_1</t>
  </si>
  <si>
    <t>laurier_2023</t>
  </si>
  <si>
    <t>The 2023/24 budget anticipates a full return to on-campus operations following multiple years of pandemic-driven budget assumptions. In recent years, the organization has been successful in mitigating the cumulative fiscal impacts of tuition cuts, grant and tuition freezes, pandemic-related public health restrictions, and challenges affecting sector efforts in internationalization. The provincial government has recently announced a blue-ribbon panel, composed of business and academic leaders, that will provide advice and recommendations related to sector financial stability beyond 2023/24. For 2023/24, funding constraints are continuing, with a continued tuition freeze for most Ontario students and fixed operating grant funding.</t>
  </si>
  <si>
    <t>With financial challenges escalating, the sector is also subject to increased scrutiny resulting from recent auditor general value-for-money audits. While annual operating budget plans are critical to financial sustainability, the assessment of comprehensive fiscal health inclusive of capital planning, reserve considerations, and debt capacity, will be needed to support Laurier’s significant upcoming growth initiatives. Laurier is poised to embark upon a number of exciting initiatives which will contribute to its strategic mandate and success in a highly competitive sector. The prioritization and focus on key investments with consideration for revenue generation, cost containment and spending to increase priority services and programs, will be critical in optimizing limited resources and safeguarding Laurier’s financial health – key principles in the development of the 2023/24 Budget.</t>
  </si>
  <si>
    <t>laurier_2023_2</t>
  </si>
  <si>
    <t>This draft report includes the Operating and Ancillary Funds which are Laurier’s largest funds and components of the overall Consolidated Financial Statement Funds. The Capital Budget will be presented to the Board for approval at the June meeting. At this time, the Milton operating plan and capital project budget are not included. Program and campus development are currently underway with a projected Milton campus opening in Fall 2024. Based on a risk analysis of pursuing campus expansion in the current environment, programming will commence in pre-existing leased space with construction of Milton One timed in accordance with enrolment trajectory and debt-servicing capacity. A revised business plan is in development for presentation in the May/June governance cycle. </t>
  </si>
  <si>
    <t>Every budget report contains forward-looking information and is based on information available to management at the time of preparation; actual results may vary from these assumptions.</t>
  </si>
  <si>
    <t>laurier_2023_3</t>
  </si>
  <si>
    <t>laurier_2023_4</t>
  </si>
  <si>
    <t>The assumptions and estimates included in the 2023/24 Operating and Ancillary budgets are based on the information available to management at the time of preparation. Post-secondary institutions in Canada are facing sector-wide challenges; the cumulative impact of tuition cuts, grant and tuition freezes, COVID-19 pandemic impacts and significant inflationary pressures have contributed to growing financial risks. Universities across Ontario are facing increased scrutiny on fiscal performance and a greater focus on financial health indicators is expected as part of the province’s overall performance management framework. This will require demonstration of effective financial planning which considers the short-term needs articulated in a fiscal year budget, as well as longer term strategies that tie into strategic priorities and capital planning. Throughout our history, the strength of the Wilfrid Laurier University community has allowed us to capitalize on opportunities and prevail over challenges to become a comprehensive, multi-campus institution focused on excellence in academics, a student experience second to none, and growing research enterprise. The 2023/24 budget builds upon those strengths as the university embarks on a number of efforts which will contribute to its continued success.</t>
  </si>
  <si>
    <t>Beyond pandemic recovery, Laurier is faced with frozen Ontario tuition and grant values, increasing building renewal needs, continued investment in information technology systems, compounding inflationary pressures and funding requirements for investment in strategic initiatives and programs to succeed in a highly competitive sector.</t>
  </si>
  <si>
    <t>While Laurier currently meets the minimum benchmark in four out of five financial health indicators and enjoys a DBRS Long Term Debt Rating of “A”, consideration of financial decisions must be made in the context of the organization’s strategic mandate, as well as the full financial picture inclusive of capital, reserves, debt, and operating and ancillary services budgets.</t>
  </si>
  <si>
    <t>Prioritization and a focus on key investments, with consideration for growth strategies, revenue generation, cost containment and spending to increase priority services and programs will be critical to optimize limited resources and safeguard Laurier’s fiscal health.</t>
  </si>
  <si>
    <t>Financial sustainability is a critical enabler that will equip Laurier with the financial strength and capacity to achieve its strategic objectives. Financial sustainability refers to the balance between the revenues available to institutions to support their academic activities and the expenses they incur in delivering their mission.</t>
  </si>
  <si>
    <t>Laurier continues work to strengthen financial sustainability to support the strategic objectives of the organization. In 2023/24, Laurier will continue 2022/23 efforts to deliver enhanced, consolidated quarterly financial reports, develop preliminary debt and reserve strategies, and improve capital budgeting practices. The recent reports by the Auditor General have also provided additional considerations for Laurier in the pursuit of financial sustainability and effective financial management.</t>
  </si>
  <si>
    <t>The 2023/24 Budget shows forecasted total revenues of $327.4 million, a decrease of $5.1 million, or 1.5%, over last year’s Budget. Tuition revenue has decreased significantly by $13.7 million or 6.9%, reflecting the flow-through of the tuition shortfall experienced in 2022/23. Government operating grants remain steady with a slight increase of $0.2 million.</t>
  </si>
  <si>
    <t>Total expenditures are forecasted at $334.1 million, an increase of $3.7 million, or 1.1%, over last year. Salaries and benefits remained relatively constant over the previous year, with multiple factors contributing both favourably and unfavourably and non-salary expenses increasing by $3.8 million.</t>
  </si>
  <si>
    <t>The 2023/24 Budget being presented is a deficit budget of $1.9 million. Laurier will be pursuing a multi-year approach to addressing financial sustainability, with in-year strategies to minimize the draw on reserves coupled with a return to realizing a surplus budget strategy.</t>
  </si>
  <si>
    <t>laurier_2023_5</t>
  </si>
  <si>
    <t>laurier_2023_6</t>
  </si>
  <si>
    <t>laurier_2023_7</t>
  </si>
  <si>
    <t>laurier_2023_8</t>
  </si>
  <si>
    <t>laurier_2023_9</t>
  </si>
  <si>
    <t>laurier_2023_10</t>
  </si>
  <si>
    <t>laurier_2023_11</t>
  </si>
  <si>
    <t>laurier_2023_12</t>
  </si>
  <si>
    <t>laurier_2023_13</t>
  </si>
  <si>
    <t>laurier_2022_1</t>
  </si>
  <si>
    <t>laurier_2022</t>
  </si>
  <si>
    <t>Every budget report contains forward-looking information and is based on information available to management at the time of preparation; actual results may vary from these assumptions. In 2022/23, Laurier will enter its third year with a budget set in the context of a global pandemic. While the organization has been successful in mitigating some of the fiscal impacts of the pandemic, this work continues for 2022/23 as we continue progress towards a full return to an on-campus presence.</t>
  </si>
  <si>
    <t>Laurier is poised to embark upon a number of exciting initiatives which will contribute to its success in a highly competitive sector. Consideration of financial decisions must be made in the context of the organization’s strategic mandate, as well as the full financial picture inclusive of capital, reserves, debt, and operating and ancillary services budgets. The Financial Sustainability Project, initiated in fall 2021, will strengthen capabilities in maintaining an up-to-date understanding of this full financial picture. The prioritization and focus on key investments with consideration for revenue generation, cost containment and spending to increase priority services or programs will be critical in optimizing limited resources and safeguarding Laurier’s financial health and has served as key principles in the development of the 2022/23 Budget.</t>
  </si>
  <si>
    <t>This draft report includes the Operating, Ancillary and Capital Funds which are Laurier’s largest funds and components of the overall Consolidated Financial Statement Funds. Figure 1 depicts the different funds which are presented annually in the audited financial statements</t>
  </si>
  <si>
    <t>The Operating Budget comprises the major annual revenues and expenditures of the University’s financial operations. Revenues from student tuition fees and government operating grants account for 90% of the total operating revenues. Faculty and staff salaries and benefits account for 74% of the total operating expenditures.</t>
  </si>
  <si>
    <t>The 2022/23 Budget (as presented in Table 7) shows forecasted total revenues of $332.5 million, an increase of $22.8 million, or 7.4%, over last year’s Budget. Tuition revenue has increased significantly by $21.5 million or 12.2% based on significant growth in projected undergraduate enrolment. Government operating grants remaining steady with a slight decrease of $0.2 million.</t>
  </si>
  <si>
    <t>Total expenditures are forecasted at $330.4 million, an increase of $18.9 million, or 6.1%, over last year. This includes an increase of $12.1 million in total salaries and benefits and an increase of $6.8 million in non-salary expenses.</t>
  </si>
  <si>
    <t>The 2022/23 Budget being presented is a surplus budget which represents an increase of $3.9 million compared to the 2021/22 budgeted deficit of $1.9 million, and will provide contributions towards strengthening reserves to support future capital and strategic projects.</t>
  </si>
  <si>
    <t>laurier_2022_2</t>
  </si>
  <si>
    <t>laurier_2022_3</t>
  </si>
  <si>
    <t>laurier_2022_4</t>
  </si>
  <si>
    <t>laurier_2022_5</t>
  </si>
  <si>
    <t>laurier_2022_6</t>
  </si>
  <si>
    <t>laurier_2022_7</t>
  </si>
  <si>
    <t>laurier_2021_1</t>
  </si>
  <si>
    <t>Every budget report contains forward-looking information and is based on information available to management at the time of preparation; actual results may vary from these assumptions. In 2021/22, Laurier will enter a second year with a budget set in the context of a global pandemic. While the organization has been successful in mitigating some of the fiscal impacts of the pandemic in 2020/21, this work continues for 2021/22 as we anticipate a return to on-campus presence beginning in the fall and accelerating to normal levels in winter 2022.</t>
  </si>
  <si>
    <t>In addition to the challenges presented by the pandemic, Laurier is also faced with a structural deficit and growing capital infrastructure needs. Most importantly, however, the University is poised to embark upon a number of exciting initiatives which will contribute to its success in a highly competitive sector. The ability to optimize investments in future-looking strategic endeavours while safeguarding the organization’s financial health has been a key principle in the development of the 2021/22 Budget. Prior to the Board of Governors receiving this final Budget, the draft Budget was presented to the Finance and Investments Committee on May 20. The summary version was also presented to the Senate Executive and Finance Committee on May 11 and to Senate on May 19. Fee information, which is part of the assumptions included in this 2021/22 Budget report, has been included in a separate 2021/22 Fee Report and was presented and approved at the April Board of Governors meeting.</t>
  </si>
  <si>
    <t>The assumptions and estimates included in the 2021/22 Operating and Ancillary budgets are based on the information available to management at the time of preparation. The prolonged event of the global Coronavirus pandemic continues to present challenges for Laurier and the university sector overall. As the University continues to monitor and align with public health requirements and guidelines, it maintains strong alignment with the organizational mandate and vision as set out on the Laurier Strategy, and the Strategic Mandate Agreement. The 2021/22 Operating Budget pursues the balance between mitigating the impact of current challenges, such as a significantly reduced on-campus presence, with the need to invest in longer-term strategic objectives. As Laurier embarks on a second year of pandemic budgeting for the 2021/22 year, there is consideration for the longer-term multi-year approach as we look forward to pandemic recovery.</t>
  </si>
  <si>
    <t>In this multi-year approach, continued efforts to address a structural deficit are needed to lay the groundwork for Laurier to succeed in a post-pandemic world. Beyond pandemic recovery, Laurier is faced with frozen tuition and grant values, increasing capital infrastructure needs, continued investment in information technology systems, compounding inflationary pressures and funding requirements for investment in strategic initiatives and programs to succeed in a highly competitive sector.</t>
  </si>
  <si>
    <t>While Laurier currently meets the minimum benchmark in four out of five financial health indicators and enjoys a DBRS Long Term Debt Rating of “A”, the ongoing structural deficit, decreasing reserve balances, and the impacts of the pandemic present challenges to meeting these targets in the future.</t>
  </si>
  <si>
    <t>Prioritization and a focus on key investments, with consideration for growth strategies, revenue generation, cost containment and spending to increase key services and programs will be critical to optimize limited resources and safeguard the organization’s fiscal health. </t>
  </si>
  <si>
    <t>The 2021/22 Budget (as presented in Table 6) shows forecasted total revenues of $309.7 million, an increase of $2.2 million, or 0.7%, over last year’s Budget. Tuition revenue has remained fairly flat at $1.2 million increase or 0.7% based on the recently confirmed extension of the domestic tuition rate freeze and continued challenges to international student recruitment (based on visa processing delays and travel restrictions. Government operating grants remaining steady with an increase of $0.4 million.</t>
  </si>
  <si>
    <t>Total expenditures are forecasted at $312.5 million, an increase of $0.5 million, or 0.2%, over last year. This includes a decrease of $1.9 million in total salaries and benefits and an increase of $2.5 million in non-salary expenses.</t>
  </si>
  <si>
    <t>The 2021/22 excess of expenditures over revenues has produced a deficit of $2.9 million, which represents a decrease of $1.7 million compared to the 2020/21 budgeted deficit of $4.6 million. The 2021/22 deficit will be bridged through anticipated 2020/21 year-end surplus results.</t>
  </si>
  <si>
    <t>laurier_2021_2</t>
  </si>
  <si>
    <t>laurier_2021_3</t>
  </si>
  <si>
    <t>laurier_2021_4</t>
  </si>
  <si>
    <t>laurier_2021_5</t>
  </si>
  <si>
    <t>laurier_2021_6</t>
  </si>
  <si>
    <t>laurier_2021_7</t>
  </si>
  <si>
    <t>laurier_2021_8</t>
  </si>
  <si>
    <t>laurier_2021_9</t>
  </si>
  <si>
    <t>laurier_2021_10</t>
  </si>
  <si>
    <t>laurier_2021</t>
  </si>
  <si>
    <t>laurier_2019_1</t>
  </si>
  <si>
    <t>laurier_2019</t>
  </si>
  <si>
    <t>laurier_2019_2</t>
  </si>
  <si>
    <t>This report contains forward-looking information. In preparing the 2019/20 Budget report, certain assumptions and estimates were necessary. The assumptions and estimates are based on information available to management at the time of preparing the 2019/20 Budget. Readers and users of this financial information are cautioned that actual results may vary from the assumptions used in preparation of the Budget.</t>
  </si>
  <si>
    <t>Budget forecasts and information regarding the 2019/20 Budget have been presented to the Finance and Investments (F&amp;I) Committee throughout the past fiscal year. As changes in revenue and expenditure drivers occur during the year, updated projections will be presented to the Board of Governors. Prior to the Board of Governors receiving this final Budget, the draft Budget was presented to the Finance and Investments Committee at their May 16, 2019 meeting, which provided the opportunity to review and comment prior to the information being presented in this report. In addition, the draft Budget was presented to the Senate Finance Committee on May 6, 2019 and to Senate on May 22, 2019. At the Senate meeting, the motion was put forward from the Senate Finance Committee that Senate recommends the 2019/20 Budget for approval by the Board of Governors. Fee information, which is part of the assumptions included in this 2019/20 Budget report, has been included in a separate 2019/20 Fee Report and is being presented to the Board of Governors for approval at the June meeting. This 2019/20 Budget report is prepared annually and in a format consistent with previous years in order to enhance comparability. Included is detailed financial information along with various commentary and analysis.</t>
  </si>
  <si>
    <t>The Operating Budget comprises the major annual revenues and expenditures of the University’s financial operations. Revenues from student tuition fees and government operating grants account for 91% of the total operating revenues. Faculty and staff salaries and benefits account for 75% of the total operating expenditures.</t>
  </si>
  <si>
    <t>The 2019/20 Budget shows forecasted total revenues of $291.8 million, a decrease of $8.4 million, or 2.8%, over last year’s Budget. The Provincial Government released a new Tuition Fee Framework, which mandates a 10% tuition fee reduction for all publicly funded programs for funding-eligible students as of the beginning of the upcoming academic year. This reflects a total tuition revenue decrease of $11.5 million, or 6.6%.</t>
  </si>
  <si>
    <t>Total expenditures are forecasted at $310.2 million, an increase of $9.6 million, or 3.2%, over last year. This includes an increase of $11.4 million in total salaries and benefits and a decrease of $1.8 million in non-salary expenses.</t>
  </si>
  <si>
    <t>The 2019/20 excess of expenditures over revenues has produced a deficit of $18.4 million which is being bridged through one-time only reserves from prior years.</t>
  </si>
  <si>
    <t>In 2017/18, the university began implementation of a new Responsibility Centre Management (RCM) budget model. A five-year Transition Plan was developed to guide the budget process toward an incremental implementation of the RCM budget model.</t>
  </si>
  <si>
    <t>The Operating Budget is developed with a focus on ensuring resources are devoted to high impact strategic priorities and are aligned with the institutional mission. In light of policy changes governing tuition fees, it is increasingly important to ensure that resource allocation reflects the strategic direction of the institution, while exercising spending constraint.</t>
  </si>
  <si>
    <t>A number of external factors directly influence Laurier’s Budget. These include:
The Strategic Mandate Agreement (SMA) outlines the role the University performs in Ontario’s postsecondary education system and how it will build on its current strengths. The government has signalled changes in direction for the next SMA, including a decrease to enrolment-based funding and an increase to performance-based funding.</t>
  </si>
  <si>
    <t>On January 17, 2019, the Provincial government introduced a new tuition fee framework. Tuition fee levels were reduced by 10% relative to 2018/19 levels for domestic students in all funding-eligible programs. Tuition fees will also be frozen in 2020/21.</t>
  </si>
  <si>
    <t>At Laurier, undergraduate domestic tuition represents approximately 42% of total operating revenue and graduate eligible tuition represents approximately 4%. Therefore, the tuition reduction impacts approximately 46% of total operating revenue.</t>
  </si>
  <si>
    <t>Ontario universities moved to a corridor funding model where institutions are funded to a midpoint level of enrolment. This midpoint is based on prior funding levels and is reviewed annually.</t>
  </si>
  <si>
    <t>Discussions regarding future Strategic Mandate Agreements are ongoing and may affect funding levels.</t>
  </si>
  <si>
    <t>The Provincial Government announced the withdrawal of capital funding for the Milton campus. Laurier’s capital allocation had been slated at $90 million. Despite this, Laurier remains committed to expanding into Milton and enhancing its multi-campus presence.</t>
  </si>
  <si>
    <t>Laurier has committed to a phased development approach in Milton, including offering programs and expanding to a full education village.</t>
  </si>
  <si>
    <t>The university began developing a new Strategic Plan (2019–2024), which will outline priorities for the next five years and guide future budgets.
The 2019/20 budget is the third developed under the Responsibility Centre Management (RCM) model.</t>
  </si>
  <si>
    <t>laurier_2019_3</t>
  </si>
  <si>
    <t>laurier_2019_4</t>
  </si>
  <si>
    <t>laurier_2019_5</t>
  </si>
  <si>
    <t>laurier_2019_6</t>
  </si>
  <si>
    <t>laurier_2019_7</t>
  </si>
  <si>
    <t>laurier_2019_8</t>
  </si>
  <si>
    <t>laurier_2019_9</t>
  </si>
  <si>
    <t>laurier_2019_10</t>
  </si>
  <si>
    <t>laurier_2019_11</t>
  </si>
  <si>
    <t>laurier_2019_12</t>
  </si>
  <si>
    <t>laurier_2019_13</t>
  </si>
  <si>
    <t>laurier_2019_14</t>
  </si>
  <si>
    <t>laurier_2019_15</t>
  </si>
  <si>
    <t>laurier_2019_16</t>
  </si>
  <si>
    <t>laurier_2019_17</t>
  </si>
  <si>
    <t>waterloo_2023</t>
  </si>
  <si>
    <t>waterloo_2023_1</t>
  </si>
  <si>
    <t xml:space="preserve">Last Spring, the Board of Governors approved the University’s 2023/24 operating budget. At the time, we committed to providing an extraordinary Fall operating budget update because we knew that it was going to be a challenging financial year. Now that we have some critical pieces of information, I have provided an update to Senate and the Board of Governors, and can provide an update to our community.  </t>
  </si>
  <si>
    <t>There are several ongoing systemic factors that have affected the University’s operating budget this year and that will affect future budgets:
The provincial government imposed a 10 per cent domestic tuition cut in 2019 which was then followed by an ongoing freeze on tuition fees for domestic Ontario students. These measures have brought domestic tuition rates down to the level they were in 2014/15 and have reduced the University’s revenue by an estimated &gt;$250 million over the past five-year period.
Provincial government funding is restricted to a set number of domestic students. Over the last 10 years, the province’s basic operating grant per domestic student for the University has been frozen. This translates to a $22 million gap in grants as a result of enrolment corridor-based caps in total grant funding for domestic students.
The province has imposed numerous unfunded and under-funded mandates around student and community supports.
The lack of federal government commitment to taking action in response to longstanding calls to provide better support for the real indirect costs of research, and for research graduate students, has put increased pressure on the operating budgets of research-intensive universities.
A global pandemic and a number of geopolitical issues have impacted student mobility and enrolment, creating uncertainties that make enrolment management and budget forecasting challenging.
Evolving inflationary and market volatility have increased the costs of goods and services across the board.</t>
  </si>
  <si>
    <t>waterloo_2023_2</t>
  </si>
  <si>
    <t>The University started the fiscal year with a $4 million operating budget deficit. We knew when the Board approved this budget that there were additional points of uncertainty that we anticipated would have in-year impacts on the operating budget.</t>
  </si>
  <si>
    <t>This uncertainty includes changes to our enrollment. Current projections indicate incremental growth in domestic student enrolment with a smaller decrease in international student enrolment that is consistent with the trend over the last three years. This trend is unsustainable and causes instability when planning for international student enrolment and financial planning.</t>
  </si>
  <si>
    <t xml:space="preserve">Rising inflation rates have caused general expense pressures with the increased costs of goods and services. Interest rates have risen and have resulted in a $5 million increase in interest income projections for 2023/24. </t>
  </si>
  <si>
    <t>The recent faculty salary adjustment and the staff salary adjustment prompted by the changes to Bill 124 have resulted in a base salary increase and one-time payments for all eligible employees. The base salary increases translate to approximately $16 million (salary and benefits) annual recurring expense, and the lump sum payments amount to an additional $8 million one-time expense, both applicable in the current budget year.</t>
  </si>
  <si>
    <t>The Government of Ontario formed a Blue-Ribbon Panel to examine the financial sustainability of the post-secondary sector. The panel’s report has not yet been released, nor has the government provided a response to it. Therefore, it is unlikely that the outcome of the report will lead to any incremental revenue impacts of any outcomes related to BRP until the 2024/25 budget year.</t>
  </si>
  <si>
    <t>The Fall budget update estimates that our overall operating budget shortfall is $15 million this year. As was communicated at the time of the budget approval, the University will cover this shortfall using central reserve funds. However, this approach is unsustainable on an ongoing basis.</t>
  </si>
  <si>
    <t>We expect cost pressures, constraints, and uncertainty on key revenue drivers to continue. Without further University actions and transformative changes to the current Ontario university funding environment, our operating budget deficit would grow significantly in the coming years.</t>
  </si>
  <si>
    <t>Balancing the fiscal year 2024/25 and future years budgets will require a multi-faceted approach and a commitment to working together as One University. As we await action on the items that are currently being deliberated by the government, there will be difficult decisions to make. We will apply new measures to manage operating budget pressures in order to support our academic and research mission, as well as key priorities of the University. This will include a variety of approaches to reduce expenses in certain areas, and reallocate resources to other initiatives and priorities, to optimize spending and streamline operations.</t>
  </si>
  <si>
    <t>Earlier this year, we shared with you that the University faced a $75 million operating budget deficit for 2024/2025. Despite decades of pragmatic and careful financial management, pressures on the entire post-secondary sector mean Waterloo is facing significant financial challenges now and in the years ahead. </t>
  </si>
  <si>
    <t>waterloo_2023_3</t>
  </si>
  <si>
    <t>waterloo_2023_4</t>
  </si>
  <si>
    <t>waterloo_2023_5</t>
  </si>
  <si>
    <t>waterloo_2023_6</t>
  </si>
  <si>
    <t>waterloo_2023_7</t>
  </si>
  <si>
    <t>waterloo_2023_8</t>
  </si>
  <si>
    <t>waterloo_2023_9</t>
  </si>
  <si>
    <t>University of Waterloo</t>
  </si>
  <si>
    <t>waterloo_2024_1</t>
  </si>
  <si>
    <t>waterloo_2024</t>
  </si>
  <si>
    <t>waterloo_2023_10</t>
  </si>
  <si>
    <t xml:space="preserve">This year, we are managing the $75 million budget deficit by reducing ongoing spending by $42 million centrally and in our faculties and academic support units. The remainder of the deficit is being covered in year only using one-time contributions from central funds and from faculties and academic support units.  </t>
  </si>
  <si>
    <t>waterloo_2024_2</t>
  </si>
  <si>
    <t xml:space="preserve">The pressures affecting our budget do not show any signs of easing up. With fewer international students enrolling, a freeze on domestic tuition, no big increases in government grants, and rising salary and benefit costs, we need to keep finding ways to reduce spending to balance the budget. </t>
  </si>
  <si>
    <t>waterloo_2024_3</t>
  </si>
  <si>
    <t xml:space="preserve">Recently, it’s become clear that international student enrolment might continue to drop due to new government policies. We’ve also heard from government that domestic tuition and grant funding will stay frozen until at least 2027/2028. This means we won’t get extra tuition or government grants to cover rising costs. All universities in our province are facing similar challenges. </t>
  </si>
  <si>
    <t>waterloo_2024_4</t>
  </si>
  <si>
    <t xml:space="preserve">We know that many units have taken difficult steps to reduce spending to work within lower budgets. Thank you to all of you who have made a contribution to help us save money by working more efficiently and re-prioritizing your work.   </t>
  </si>
  <si>
    <t>waterloo_2024_5</t>
  </si>
  <si>
    <t xml:space="preserve">We are approaching the mid-year point for our annual operating budget. Over the next month, the annual operating budget update will be going to the appropriate Governance Committees for review, and we will focus on planning for the 2025/2026 budget. We must keep looking for efficiencies and cost savings across the university. </t>
  </si>
  <si>
    <t xml:space="preserve">We know that achieving financial sustainability will require difficult decisions in the months and years ahead. We also know that across-the-board budgets cuts will not be an effective way to achieve the savings we need to make while also optimizing our ability to deliver on our key operational missions.  </t>
  </si>
  <si>
    <t>waterloo_2024_6</t>
  </si>
  <si>
    <t>waterloo_2024_7</t>
  </si>
  <si>
    <t>waterloo_2025</t>
  </si>
  <si>
    <t>waterloo_2025_1</t>
  </si>
  <si>
    <t>We are writing to update you on our development of a three-year plan to return to a balanced budget. We have recently shared high-level information on our strategy with finance committees of Senate and Board and now want to update the wider community.</t>
  </si>
  <si>
    <t>s you know, for many years the University has carefully stewarded our finances, and focused on fulfilling our core mission and giving everyone who comes to learn, live and work at Waterloo a high-quality experience.</t>
  </si>
  <si>
    <t>However, the conditions that created our budget difficulties do not show signs of improving. We expect existing revenue constraints on provincial government grants and domestic tuition rates, and uncertainties related to international enrolments to persist through our planning period of the next three years. Indeed, that is what we have been led to expect by government.</t>
  </si>
  <si>
    <t>Keeping focused on our shared vision for Waterloo’s future is crucial to making good choices now. Achieving the vision of Waterloo at 100, and managing our current situation, demands that we be guided by our values. We must continue to think differently, act with purpose and work together on solutions.</t>
  </si>
  <si>
    <t xml:space="preserve">At the heart of our three-year plan will be an effort to reduce duplication and improve efficiency, including through recent and ongoing reviews of units (portfolios of the Vice-President, Research and International, the Associate Vice-President, Academic, and the Associate Vice-President, Graduate Studies and Postdoctoral Affairs, and the Plant Operations unit) and functions (Communications and Marketing, Finance, IT). As these reviews are completed in the coming weeks, we will start similar reviews of other administrative areas. As part of these processes we are seeking to obtain appropriate benchmark data on administrative operations to compare to peer institutions. </t>
  </si>
  <si>
    <t>Though we have important work underway on seeking new sources of revenue, strategic enrolment management, and will soon start with leadership from academic colleagues to look at future-focused design and delivery of academic programs, this work cannot address the near-term challenge we face.</t>
  </si>
  <si>
    <t>It is a reality that our plan must include a reduction in the number of people who work at the University over the next three years. Salaries and benefits are the majority of our expenses. We must find ways to change what we do and how we do it, and this will mean the discontinuation of some roles. Actions like our hiring freeze are already helping us to save money while evaluating which empty positions need to be filled and which can be reconsidered or restructured.</t>
  </si>
  <si>
    <t>The University is a large, complex organization, so role reductions will differ on a unit-by-unit basis based on organizational need. There is no single action we can take to achieve the necessary reductions. We expect a wide range of activities will help us make the changes we need over the next three years. As we refine our strategy, we will continue to be guided by our desire to treat all our hard-working employees with respect and concern in difficult circumstances.</t>
  </si>
  <si>
    <t>waterloo_2025_2</t>
  </si>
  <si>
    <t>waterloo_2025_3</t>
  </si>
  <si>
    <t>waterloo_2025_4</t>
  </si>
  <si>
    <t>waterloo_2025_5</t>
  </si>
  <si>
    <t>waterloo_2025_6</t>
  </si>
  <si>
    <t>waterloo_2025_7</t>
  </si>
  <si>
    <t>waterloo_2025_8</t>
  </si>
  <si>
    <t>western_2025</t>
  </si>
  <si>
    <t>western_2025_1</t>
  </si>
  <si>
    <t>The recently completed planning process leads us forward to the final year of the 3-year budget/planning cycle – spanning the period 2023-24 through 2025-26. In the summer of 2022, our Faculties and Support Units submitted Academic and Operational Plans in alignment with our strategic plan – and the priorities in those plans have formed the basis for the 3-year university plan.</t>
  </si>
  <si>
    <t>western_2025_2</t>
  </si>
  <si>
    <t>At this point in time, as we reach the end of the current fiscal year, we are on target to be very close to the net position initially projected for 2024-25. The Operating Reserve at the end of the current year is projected to be $50.7 million – compared to the budgeted figure of $51.5 million.</t>
  </si>
  <si>
    <t>Looking ahead to 2025-26, we have developed the University budget with the following general assumptions regarding revenues:
 Under the Provincial Government’s corridor-based block-grant funding system, our overall core
on-going provincial grants will remain frozen at the 2016-17 level.
 The Province’s tuition framework rolled back domestic tuition rates by 10% in 2019-20 and the
rates were kept constant (at the reduced levels) in 2020-21 through 2024-25. Government has confirmed that domestic tuition rates for Ontario students will remain frozen for 2025-26 and 2026- 27 – making it a total of 8 years of no change to domestic tuition rates.
 A year ago, the Federal Government introduced a policy/approach to limit study permits for undergraduate international students who would come to Canada from outside the country. That policy has now been updated to include all undergraduate students (both coming from outside the country and from within Canada) as well as all international graduate students. Our enrolment
   Page 1 of 48
Western University: 2025-26 Operating and Capital Budgets March 31, 2025
 planning includes our best assessment of the impact of the Federal Government’s policy. We are projecting reductions in both undergraduate and graduate international enrolments – which will result in a decline in tuition revenue in 2025-26.
 Enrolments are the primary driver of operating revenues. For budgetary purposes, our first-year class for 2025-26 is expected to be about 6,500 students (which includes about 580 international students). The graduate enrolment plan is the aggregate of the plans developed by the Faculties – which is a reduction of about 130 students largely due to lower international enrolments resulting from the Federal Government policy. Total full-time enrolment (undergraduate and graduate) is projected to decrease by about 620 – of which 560 is on the international component.
 In late February 2024, the Provincial Government announced time-limited funding investment in Ontario’s Universities – spanning the period 2023-24 through 2026-27. Western’s estimated allocation for 2025-26 of $14.2 million (an increase of $5.8 million over 2024-25) has been incorporated into our operating revenue projections.</t>
  </si>
  <si>
    <t>In summary, over 85% of our Operating Revenues derive from enrolment-related revenues. As a result of external factors – i.e. frozen base operating grants, frozen domestic tuition, and international enrolment declines – our revenues in the near term are projected to decline. Therefore, we will need to be disciplined and prioritize our expenditures in support of our highest priorities – in alignment with our Strategic Plan.</t>
  </si>
  <si>
    <t>At Western, our integrated approach to planning serves us well. We continue to focus our budget planning on our strategic priorities. Our approach to enrolment planning allows us to make significant enhancements to the quality of education and the educational experience we offer our students:
 Recruitment of outstanding undergraduate students is a high priority. The average entering grade
of our incoming class in the fall of 2023 was 90.9%, well above the Ontario average.
 Over 92% of our first-year students continue into their second year. Our retention rates are amongst
the highest in Canada and much higher than at our peer institutions in the United States.
 Graduation rates of our undergraduate students have been steadily increasing, and they are currently much higher than the average of peer universities in Canada and the United States. Nearly 85% of Western’s 2018-19 entering cohort graduated within 6 years – again, well above our peer
institutions across Canada.
 We are continuing to invest in our recruitment efforts to grow international undergraduate
enrolments while also diversifying home country and program destination. At present, about 7.5% of our undergraduate enrolment is international. Our Strategic Plan aspires to reach 20% international undergraduate students. Our strategies to increase international enrolments include: increased direct in-country recruitment activities, expansion of agents, on-line recruitment initiatives, expansion of recruitment awards, and housing guarantees. Even with these initiatives, our undergraduate international enrolments (which peaked in 2020-21) have been on a declining trend – due to the impacts of COVID-19, increased global competition, changing political landscapes around the world, and the recent introduction of study permit limits by the federal government. We need to continue our efforts and also explore new strategies/opportunities.
 Expansion of graduate enrolments in areas of demand and capacity continues to be a strategic priority at Western. In the current year, full-time graduate students comprise about 19% of total full-time enrolment.</t>
  </si>
  <si>
    <t>We remain committed to building on the substantive gains we have made in the areas of student quality, educational quality, and student experience. Going forward, we will continue to manage our resources and target them towards the priorities identified in our Strategic Plan.</t>
  </si>
  <si>
    <t>western_2025_3</t>
  </si>
  <si>
    <t>western_2025_4</t>
  </si>
  <si>
    <t>western_2025_5</t>
  </si>
  <si>
    <t>western_2025_6</t>
  </si>
  <si>
    <t>Western University</t>
  </si>
  <si>
    <t>mcmaster_2025</t>
  </si>
  <si>
    <t>McMaster University continues to demonstrate strong financial stewardship in a period of significant challenges.
Through prudent planning, careful resource management, and the dedication of Faculties, departments, and
administrative units, the University continues to maintain financial stability while advancing its academic and
research mission.</t>
  </si>
  <si>
    <t>For 2024/25, the Operating Fund—which supports academic faculties and central operations—is projecting a
nearly balanced budget, with a modest $1.9 million surplus that includes one-time strategic investments. The
following year, in 2025/26, there is a projected deficit of $18.2 million due to continued cost pressures; however,
sufficient appropriation balances are available to cover this shortfall, maintain budgetary stability, and invest in
key strategic initiatives.</t>
  </si>
  <si>
    <t>Looking at the broader picture, McMaster’s consolidated results for 2024/25 are expected to produce a net surplus of
$25.7 million despite lower investment income. A higher consolidated surplus of $64.7 million is budgeted for 2025/26.</t>
  </si>
  <si>
    <t>The recent announcement (April 2025) from the Ministry of Colleges, Universities, Research Excellence and Security
(MCURES) of a $150 million annual investment in science, technology, engineering, and mathematics (STEM)
programs offers welcome support. McMaster’s share of $21.8 million annual funding helps counterbalance ongoing
revenue constraints stemming from the continued domestic tuition freeze, caps on international enrolment, and
uncertain investment returns.</t>
  </si>
  <si>
    <t>The University remains committed to advancing its strategic mission. Investments continue in priority research areas
such as electric vehicles, infectious diseases, and nuclear medicine, alongside initiatives that equip students with
vital digital skills.</t>
  </si>
  <si>
    <t>Strategic investments will continue to be carefully aligned with McMaster’s financial capacity and the desire to
maintain its AA (stable) credit rating. The University’s key financial health indicator—debt per student full-time
equivalent—remains stable at approximately $12,000. However, any prolonged deterioration in this metric could place
downward pressure on the rating.</t>
  </si>
  <si>
    <t>The University is preparing for continued financial challenges, given financial pressures and uncertainty within
our geopolitical environment, including tariffs. While provincial grants have increased, the domestic tuition freeze
through 2026/27 and policy changes affecting international enrolment will limit revenue growth. In response, the
University is implementing a range of cost-containment strategies, including deferring discretionary spending,
leveraging collaborative procurement, prioritizing hiring for essential roles and re-prioritizing capital investments to
align with strategic goals and available funding, among other efforts.</t>
  </si>
  <si>
    <t>Looking ahead to 2026/27 and 2027/28, McMaster anticipates that ongoing strategic investments and essential
operational costs may need to be supported by accumulated reserves. Forecasts for these years will be refined as
greater clarity emerges around government funding, economic conditions, and cost pressures. The University is also
working on new ways to increase revenues, such as implementing its new international undergraduate recruitment
strategy to enhance tuition revenues, creating a real estate strategy, and increasing revenue from research
partnerships. Continued efforts to identify cost-saving measures and efficiencies will be key to reducing future
budget gaps.</t>
  </si>
  <si>
    <t>In February 2024, the Province announced additional funding to stabilize post-secondary institutions, including one-
time support for STEM enrolment above corridor, capital and research, and mental health. An additional 3% increase
to the operating grant was approved for 2024/25, with 2% increases planned for 2025/26 and 2026/27. This base
grant funding increase is assumed to expire 2027/28. In April 2025, the Province further increased investment in STEM
under Strategic Mandate Agreement, awarding McMaster a $21.8 million annual increase tied to a corridor midpoint
adjustment of 6,884.26 Weighted Grant Units (WGUs).</t>
  </si>
  <si>
    <t>The domestic tuition freeze remains in effect through 2026/27, following a 10% cut in 2019/20. Two programs—
Undergraduate Computer Science and MBA—are eligible for annual tuition increases of up to 7.5% until they reach
the sector average. Out-of-province undergraduate fees can rise up to 5% in 2025/26. A $750 international student
participation tax continues to reduce the University’s operating grant based on enrolment levels.</t>
  </si>
  <si>
    <t>A new undergraduate international student recruitment strategy is in place to enhance tuition revenues following the
decline in international students due to federal visa caps, which was partially offset as domestic student enrolment
was increased over plan in 2024/25. The newly announced operating grant midpoint increase results in additional
funding to be received in 2025/26 and future years for a large portion of the full-time equivalents in excess of the
original provincial corridor.</t>
  </si>
  <si>
    <t>The federal and provincial governments announced increased commitments to scientific research and innovation.
The 2024 federal budget included an increase of $1.8 billion over five years for the Tri-Agencies (CIHR, NSERC and
SSHRC) to support core research grants, and $825 million to increase the number and value of graduate student and
postdoctoral fellowships.</t>
  </si>
  <si>
    <t>Provincially, Ontario allocated $15 million over three years to the Critical Minerals Innovation Fund to support
innovation and research in the exploration, mining, development, production and processing of critical minerals. As
Canada’s preeminent nuclear research institution and with established expertise in critical minerals, McMaster is well
placed to capitalize on these opportunities.</t>
  </si>
  <si>
    <t>The Real Estate, Ancillary Operations, and Partnerships (REAP) department, established in June 2023, is focused on
enhancing current and creating new revenue streams to provide sustainable sources of revenue.</t>
  </si>
  <si>
    <t>Key revenue-generating initiatives include:
•
Maximizing real estate value and public-private partnerships, such as 10 Bay and Lincoln Alexander Hall (expected
to open in September 2026 to ensure a guaranteed residence space for all first-year students).
•
Supporting research commercialization partners and spaces at McMaster Innovation Park, including Fusion
Pharmaceuticals and Enedym Inc., and finding partnership opportunities for OmniaBio building.
•
Breaking ground on a new hotel development at MIP in Spring 2025.</t>
  </si>
  <si>
    <t>As Canada’s nuclear university, McMaster is also exploring expanding radiopharmaceutical capacity to address a
growing market need, with a business plan expected in 2025/26.</t>
  </si>
  <si>
    <t>McMaster remains in the “No Action” risk category under the MCURES financial health metrics, which monitors a
framework of eight financial indicators that measure liquidity, sustainability, and performance to generate a risk
rating of low, medium or high and outlines required actions based on the result.</t>
  </si>
  <si>
    <t>Financial metrics are calculated as part of the budgeting process to ensure ratios are within target ranges and
identify potentially material enterprise risks (see Consolidated Results - Risks to the 2025/26 Budget). All metrics are
within the low-risk range over the planning horizon.</t>
  </si>
  <si>
    <t>mcmaster_2025_1</t>
  </si>
  <si>
    <t>mcmaster_2025_2</t>
  </si>
  <si>
    <t>mcmaster_2025_3</t>
  </si>
  <si>
    <t>mcmaster_2025_4</t>
  </si>
  <si>
    <t>mcmaster_2025_5</t>
  </si>
  <si>
    <t>mcmaster_2025_6</t>
  </si>
  <si>
    <t>mcmaster_2025_7</t>
  </si>
  <si>
    <t>mcmaster_2025_8</t>
  </si>
  <si>
    <t>mcmaster_2025_9</t>
  </si>
  <si>
    <t>mcmaster_2025_10</t>
  </si>
  <si>
    <t>mcmaster_2025_11</t>
  </si>
  <si>
    <t>mcmaster_2025_12</t>
  </si>
  <si>
    <t>mcmaster_2025_13</t>
  </si>
  <si>
    <t>mcmaster_2025_14</t>
  </si>
  <si>
    <t>mcmaster_2025_15</t>
  </si>
  <si>
    <t>mcmaster_2025_16</t>
  </si>
  <si>
    <t>mcmaster_2025_17</t>
  </si>
  <si>
    <t>mcmaster_2025_18</t>
  </si>
  <si>
    <t>McMaster University</t>
  </si>
  <si>
    <t>mcmaster_2024_1</t>
  </si>
  <si>
    <t>mcmaster_2024</t>
  </si>
  <si>
    <t>Over the past year, universities across our province have been grappling
with unprecedented fiscal challenges. All Ontario universities are feeling the
impacts of the provincial government’s freeze on tuition rates and operating
grants, coupled with the decline in revenue from international student
tuition. While the province has provided additional support as a result of the
recommendations of the Blue-Ribbon Panel, more is needed to ensure the
fiscal sustainability of our sector.</t>
  </si>
  <si>
    <t>Given the financially constrained post-secondary environment, all faculties, departments and units
across the university were asked to adjust their budgets to contain costs. While the specific cost-
containment efforts varied from one area to another, each contributed to the overall goal of ensuring
all areas have structurally balanced budgets and the university can continue to deliver on its core
academic and research priorities.</t>
  </si>
  <si>
    <t>This consolidated budget report reflects the results of these efforts: McMaster’s Operating Fund,
which includes faculty and support operations, is projecting a nearly balanced budget of $4.3 million
for 2023/24, including ongoing operations and one-time strategic investments.</t>
  </si>
  <si>
    <t>For the 2024/25 year, the Operating Fund is projecting a $32.3 million net deficit, including ongoing
operations and one-time strategic investments. Adequate appropriation balances are available to
absorb the deficit and put McMaster’s budget in a balanced position. McMaster’s Operating and
Ancillary Budgets Policy allows this use of appropriations.</t>
  </si>
  <si>
    <t>More broadly, McMaster’s projected consolidated results for 2023/24 are balanced, with a net positive
position across all funds (including the Operating Fund above) of $76.8 million. The consolidated
budget for 2024/25, is also in a net positive position of $32.6 million. Accrual adjustments for annual
capital expenditures, asset amortization and pension values are included in these figures.</t>
  </si>
  <si>
    <t>The University continues to advance its strategic priorities, including research excellence in areas such
as electric vehicles, infectious diseases, and nuclear medicine, as well as equipping our students with
vital skills in digital learning and work environments. McMaster remains committed to developing its
research ecosystem through continued investment in McMaster Innovation Park. The Park’s vision,
strategy, governance, and operating structure are being reevaluated to set it up for continued
success.</t>
  </si>
  <si>
    <t>Any further major initiatives will be strategically aligned and dependent on available funding resources
relative to sustaining McMaster’s strong financial credit rating of AA (stable). The key financial health
indicator of debt per student FTE remains at approximately $12,000, and any prolonged deterioration
in this ratio would create downward pressure on the AA (stable) credit rating.</t>
  </si>
  <si>
    <t>Revenues in both the Operating Fund and consolidated results reflect upcoming
challenges. Provincial operating grants have increased slightly, but the in-province domestic tuition
fee framework will remain frozen for 2024/25 through 2026/27. Other external factors (see “Context”
in the next section), including caps on international student permits and domestic enrolment
underfunding, are impacting future revenue projections.</t>
  </si>
  <si>
    <t>As a result of the current revenue expectations, the budget includes cost containment strategies
being implemented across McMaster, including reducing or delaying discretionary expenditures,
saving costs through collaborative contract buying, focusing staff recruitment on growth areas and
McMaster University 2024/25 Consolidated Budget
Executive Summary
6
essential vacancies, and offering some faculty retirement incentives. Planned capital expenditures
have been re-prioritized to achieve strategic goals based on available funding.</t>
  </si>
  <si>
    <t>A summary of the University’s Operating Fund net revenues and expenses is shown below in Figure
1. Net operating revenues have historically exceeded expense growth, mainly due to enrolment
growth and increases in international student participation. The projected trend reflects a decline in
enrolment, with overall structurally balanced annual results and a net deficit after one-time
investments in 2024/25.</t>
  </si>
  <si>
    <t>Given the constrained Ontario post-secondary funding environment, for the future years (2025/26 and
2026/27), one-time strategic investments and essential expenses for continuing operations may need
to be supported by McMaster’s accumulated appropriation balances (reflected in Figure 2 below). The
University expects to improve the budget forecast as further clarity is obtained on international
enrolment targets. Other revenue levers include the outcomes of the Strategic Mandate Agreement
funding corridor negotiations and the realization of alternative revenue streams through the updated
Real Estate Strategy and research commercialization. In addition, continued focus on identifying cost
containment strategies is expected to reduce budget deficits. Based on these factors, an updated
recovery plan and budget position for planning years will be presented to the Board at a future date.</t>
  </si>
  <si>
    <t>mcmaster_2024_2</t>
  </si>
  <si>
    <t>mcmaster_2024_3</t>
  </si>
  <si>
    <t>mcmaster_2024_4</t>
  </si>
  <si>
    <t>mcmaster_2024_5</t>
  </si>
  <si>
    <t>mcmaster_2024_6</t>
  </si>
  <si>
    <t>mcmaster_2024_7</t>
  </si>
  <si>
    <t>mcmaster_2024_8</t>
  </si>
  <si>
    <t>mcmaster_2024_9</t>
  </si>
  <si>
    <t>mcmaster_2024_10</t>
  </si>
  <si>
    <t>mcmaster_2024_11</t>
  </si>
  <si>
    <t>mcmaster_2023</t>
  </si>
  <si>
    <t>mcmaster_2023_1</t>
  </si>
  <si>
    <t>McMaster’s Operating Fund, inclusive of Faculty and support operations, has an ongoing projected
surplus of $17.7 million in 2022/23. However, after strategic and capital investments on a one-time
basis the net loss is projected as $2.8 million. Similarly, in 2023/24 the operating results have a
structural surplus of $8.2 million and a net loss after one-time strategic investments of $29.8 million.</t>
  </si>
  <si>
    <t>McMaster’s projected consolidated results for 2022/23 are structurally balanced with net surplus
across all funds of $44.4 million after capital and accrual basis adjustments of $47.2 million. The
consolidated budget for 2023/24 is also in a surplus position on an accrual basis of $74.2 million after
capital and other adjustments totaling $104.0 million.</t>
  </si>
  <si>
    <t>The refreshed vision and strategic plan enter the third year in 2023/24. The University continues to
advance McMaster’s greatest strategic priority, the Global Nexus for Pandemics and Biological Threats
at McMaster’s Innovation Park (MIP). McMaster will also progress MIP’s development initiative
providing an additional 2.8 million square feet of new and renovated life sciences and
biomanufacturing space. The updated Campus Plan will be introduced to guide campus and off-site
development over the next decade. Major initiatives will be mindful of strategy relative to sustaining
McMaster’s strong financial credit rating of AA (stable).</t>
  </si>
  <si>
    <t>McMaster’s financial health continues to be strong despite developing headwinds. McMaster’s ability
to structurally balance overall and fund strategic and capital priorities demonstrates prudent financial
management instilled by McMaster’s transparent budget model that places fiscal accountabilities
with area leaders. The conservative budget approach continues to serve the University decision-
making as substantial one-time investments are made to achieve strategic priorities in an environment
of limited provincial funding growth opportunities. The key financial health indicator of debt per
student FTE remains slightly below $12,000, and any prolonged deterioration in this ratio would create
downward pressure on the AA (stable) credit rating.</t>
  </si>
  <si>
    <t>Revenues in both the Operating Fund and consolidated results reflect upcoming challenges.
Provincial operating grants and in-province domestic tuition fee framework remain frozen for 2023/24,
however the province has struck a blue-ribbon panel to provide advice for maintaining financial stability
in the post-secondary education sector, which is expected to influence implementation of
performance-based funding in 2024/25. Enrolment demand remains strong but is projected to flatten
– domestic as the over-enrolment returns to corridor levels, and international due to external global
factors. Investment income is expected to be minimal in 2022/23, returning to the long-term average
in 2023/24. However, new revenue opportunities from public-private partnerships will begin to be
realized as the new graduate student residence opens in September 2023, and construction begins
on the Lincoln Alexander Hall undergraduate residence.</t>
  </si>
  <si>
    <t>As a result of the current revenue expectations, the budget reflects a cost containment strategy.
Recruitment will be targeted to growth areas and essential vacancies. Planned capital expenditures
have been re-prioritized to achieve strategic goals based on available funding. The impact of increased
inflation will be offset by savings realized through collaborative contract buying.</t>
  </si>
  <si>
    <t>A summary of the University’s Operating Fund net revenues and expenses is shown below in Figure
1. Net operating revenues have historically exceeded expense growth, due mainly to enrolment
growth and international student participation increases. The projected trend reflects a decline in
enrolment, with overall structurally balanced annual results and a net loss after one-time investments.</t>
  </si>
  <si>
    <t>The 2023/24 budget is structurally balanced, whereas in the planning years one-time investments as
well as essential expenses for continuing operations, given the current Ontario post-secondary
funding environment, may need to be supported by McMaster’s accumulated appropriations balances
reflected in Figure 2 below.</t>
  </si>
  <si>
    <t>On a consolidated basis net revenues are projected to remain above net expenses on an accrual basis
as shown in Figure 3 below. Accrual adjustments add back annual capital expenditures and amortize
assets over useful life periods, as well as adjust for pension and non-pension year-end market close
values.</t>
  </si>
  <si>
    <t>mcmaster_2023_2</t>
  </si>
  <si>
    <t>mcmaster_2023_3</t>
  </si>
  <si>
    <t>mcmaster_2023_4</t>
  </si>
  <si>
    <t>mcmaster_2023_5</t>
  </si>
  <si>
    <t>mcmaster_2023_6</t>
  </si>
  <si>
    <t>mcmaster_2023_7</t>
  </si>
  <si>
    <t>mcmaster_2023_8</t>
  </si>
  <si>
    <t>mcmaster_2023_9</t>
  </si>
  <si>
    <t>mcmaster_2019</t>
  </si>
  <si>
    <t>mcmaster_2019_1</t>
  </si>
  <si>
    <t>The consolidated budget shows a surplus in 2019/20 and the outer planning years, and the Operating
Fund representing 66% of the consolidated budget is structurally balanced. This is achieved despite
funding changes by the Ministry of Training, Colleges and Universities (MTCU), such as the 2019/20
10% domestic tuition cut, and 2020/21 domestic tuition freeze in addition to the domestic enrolment
cap at 2016/17 levels. The Operating Fund will be further affected by MTCU’s recently announced
cancellation of the Medical Doctorate (MD) and Graduate Expansion Grants, removing a total of $52.9
million in capital funding, of which $3.3 million is already committed, with the Operating Fund
potentially being the new funding source for the committed funding. Other changes driven by MTCU
include the 2019/20 implementation of student opt-out fees, predominantly affecting student
associations and threatening the ongoing viability of programs that enhance student life. Finally, the
provincial government will also consider legislative changes affecting individuals who are both
working and collecting a pension; the impacts associated with any subsequent changes are not
factored into this budget.</t>
  </si>
  <si>
    <t>Delivering on McMaster’s Forward w ith Integrity (FWI) vision remains a priority, utilizing prior years’
savings in reserves (appropriations) as well as seed funding from the University Fund. This budget
emphasizes FWI priorities related to delivering an optimal research-focused, student-centred
experience, providing an integrated local-to-global community mindset, with consideration toward
impact and sustainability of the environment we depend on. Plans include investments in research
excellence, as well as technologically enabled pedagogical approaches, career pathways across
programs, and broadening existing community initiatives and partnerships with the City of Hamilton
and beyond.</t>
  </si>
  <si>
    <t>McMaster’s research focus involves the 2019/20 launch of the Brighter World Research Initiative
aimed at raising funds to deliver on the research strategic plan. In addition, McMaster will progress
its research commercialization initiative, building dedicated space to relocate research spin-off
businesses to the McMaster Innovation Park. This space will be co-located with the new government-
supported advanced manufacturing supercluster. In addition, the capacity of the nuclear reactor will
increase to enhance research while balancing other commercial opportunities.</t>
  </si>
  <si>
    <t>In an environment of reduced funding, these initiatives cause expense growth to exceed revenue
growth in the Operating Fund (Figure 1). As a result, appropriations will be substantially reduced over
the budget and planning years (Figure 2). In response to the MTCU funding changes, the University
has increased its attention and targets on diversified international enrolment. Other revenue growth
is in the planning stage and includes increasing professional Masters programs, expanding the use of
campus in the summer, and introducing block chain and micro-credentials using online solutions that
reduce the burden on physical infrastructure.</t>
  </si>
  <si>
    <t>Actual and projected enrolment growth has increased the strain on campus capacity. In 2019/20
McMaster will open the Peter George Centre for Living and Learning (PGCLL) providing over 500
additional undergraduate beds and an additional 36% in classroom capacity. Additional capacity-
enabling projects include building the McLean Center for Learning and Discovery on top of Innis
Library, and two additional residences, including integrated learning and research spaces. One
residence will be for undergraduate students on campus land and include an integrated
intergenerational research space. The other residence will be on McMaster leased land downtown
McMaster University 2019/20 Consolidated Budget
Executive Summary
7
and include integrated learning spaces. Both additional residence projects are public-private
partnerships (P3), whereby McMaster owns or holds the lease on the lands. Further, McMaster
operates, manages and maintains the residences and student life programming the same as any non-
P3 residence. The P3 projects are strategically important capacity initiatives that the University could
not finance on its own. These P3 projects could be at risk if changes are made to existing development
charge exemptions offered to McMaster by the City of Hamilton. Further, other capacity enabling
future projects, not yet committed to, may be cancelled due to MTCU’s recent cancellation of the
expansion grant commitment it made to McMaster for delivering specific increased MD and graduate
enrolment.</t>
  </si>
  <si>
    <t>Inflationary pressures in Ontario affect salary, wages, supplies, and deferred maintenance. MTCU has
announced it will increase deferred maintenance support to those schools in the greatest need. Close
to 70% of McMaster’s buildings are over 40 years old. In 2019/20, the higher education sector will
adopt a more accurate methodology for measuring deferred maintenance that considers functions
within buildings. This is predicted to increase the true cost of deferred maintenance by as much as
30% over the five-year implementation.</t>
  </si>
  <si>
    <t>McMaster will continue to focus on benchmarking data initiatives to target efficiency projects with
the greatest savings potential to allow the academy to grow while holding support services constant.
McMaster has adopted the UniForum annual benchmarking program, which has resulted in significant
savings at other international institutions, and 2019/20 will mark the third year of data collection. In
addition, administrative reviews target opportunities to minimize bureaucracy and streamline
activities. Completed reviews have focused on IT services, research financial administration support,
and in 2019/20 will further focus on human resources support services.</t>
  </si>
  <si>
    <t>Given the above, the consolidated budget is structurally balanced, largely due to investment income
and historic internal reserve strategies to set aside funding for future-oriented obligations. The
consolidated surplus is ideally 10% of revenues per year. The projection for 2018/19 does not achieve
this level due to a 4.5% projected investment return (future years assume a 5.9% return consistent
with McMaster’s historical real return). In 2019/20 and beyond, the consolidated surplus is impacted
by the MTCU tuition framework and the cancellation of capital funding, tightening the spread between
revenues and expenses (Figure 3). Future obligation settlement strategies already in place will be
reviewed for ongoing funding adequacy.</t>
  </si>
  <si>
    <t>The 2021/22 consolidated budget is structurally balanced with a $78.8 million surplus. The operating
fund is structurally balanced with a $42.3 million surplus before one-time expenditures of $47.1 million
planned to advance McMaster’s refreshed vision and strategic plan. The ancillary funds have been
impacted the most by the pandemic due to campus closures with an opening deficit of $8.2 million.
After cost mitigation efforts, the ancillaries 2021/22 budgeted net surplus is $2.7 million based on a
hybrid fall opening.</t>
  </si>
  <si>
    <t>mcmaster_2019_2</t>
  </si>
  <si>
    <t>mcmaster_2019_3</t>
  </si>
  <si>
    <t>mcmaster_2019_4</t>
  </si>
  <si>
    <t>mcmaster_2019_5</t>
  </si>
  <si>
    <t>mcmaster_2019_6</t>
  </si>
  <si>
    <t>mcmaster_2019_7</t>
  </si>
  <si>
    <t>mcmaster_2019_8</t>
  </si>
  <si>
    <t>mcmaster_2021_1</t>
  </si>
  <si>
    <t>mcmaster_2021</t>
  </si>
  <si>
    <t>The budget holds operating grant revenues flat and close to 2016/17 levels and domestic tuition is
budgeted without any inflation. The province announced its domestic tuition framework extension for
2021/22 which may lead to some in-year financial adjustments, with up to 3% inflation allowed for
out of province domestic students. International participation reached over 16% in 2019/20 and is
projected to grow up to 20% with increased diversification over the next decade. International growth
budgeted is reflective of past years realized growth, however application offers are behind past years
confirmation rates. This trend is being monitored with low risk to the net budgeted results due in part
to the delay flexibility around one-time capital investments driven from Faculty level initiatives.</t>
  </si>
  <si>
    <t>Approved capital projects, such as the expansion of the student’s athletics facilities, the McLean
Centre for Collaborative Discovery, research commercialization space, and two public-private
partnership residences are continuing as planned with a net capital expenditure of $90 million in
2021/22. Capital initiatives to support the strategic plan, such as Global Nexus, and other local Faculty
projects to support student experiential learning are included in the budget and planning years. Capital
transfers from the operating fund are included as one-time budgeted allocations confirmed each April
following the fall and winter academic year when final enrolments and annual results are known.</t>
  </si>
  <si>
    <t>The consolidated budget includes additional debt financing of $150 million to support capital and
strategic initiatives associated with McMaster’s strategic plan. The annual interest costs are budgeted
and included in the financial metrics tracked in the Annual Financial Report and reporting to the Board
of Governors. With the additional debt McMaster continues to hold very strong financial health
metrics and is rated above the province as AA stable by DBRS and S&amp;P credit rating agencies.</t>
  </si>
  <si>
    <t>In 2020/21 one Ontario university entered creditor protection due to many factors. The financial health
of this university declined over several years evidenced by the financial metrics tracked and reported
to the province. While the circumstances around this university are very different from the operations
of McMaster, the sectoral impact associated with one university entering creditor protection is not
yet clear. The province has assigned a supervisor and substantial expense cuts have been publicly
announced for this one university. Any further sectoral implications are not yet known. However, the
Ontario universities have offered the province financial health metric thresholds to assist in future
monitoring of each university and to aid in the early detection of financial erosion.</t>
  </si>
  <si>
    <t>McMaster’s enrolment demand has remained strong despite the pandemic. Global reputation and
rankings have continued to assist in attracting the best and brightest students. McMaster has been
instrumental in COVID-19 and personal protective equipment research. Overall, our evidence-based
approach to medicine and the advancement of knowledge supporting health and societal issues,
Executive Summary
6
including mental-health, remain a key strength to the student-centered research-intensive experience
McMaster uniquely offers. This budget and planning years are supported by McMaster’s strength.</t>
  </si>
  <si>
    <t>mcmaster_2021_2</t>
  </si>
  <si>
    <t>mcmaster_2021_3</t>
  </si>
  <si>
    <t>mcmaster_2021_4</t>
  </si>
  <si>
    <t>mcmaster_2021_5</t>
  </si>
  <si>
    <t>mcmaster_2021_6</t>
  </si>
  <si>
    <t>mcmaster_2022_1</t>
  </si>
  <si>
    <t>mcmaster_2022</t>
  </si>
  <si>
    <t>McMaster’s operating fund, inclusive of Faculty and support operations, has an ongoing projected
surplus of $43.6 million in 2021/22. However, after strategic and capital investments on a one-time
basis the net loss is projected as $26.4 million. Similarly, in 2022/23 the operating results have a
structural surplus of $40.2 million and a net loss after one-time strategic investments of $4.7 million.</t>
  </si>
  <si>
    <t>McMaster’s projected consolidated results for 2021/22 are structurally balanced with net surplus
across all funds of $108.1 million after capital and accrual basis adjustments of $134.9 million. The
consolidated budget for 2022/23 is also in a surplus position on an accrual basis of $137.3 million after
capital and other adjustments totaling $142.3 million.</t>
  </si>
  <si>
    <t>On a cash basis both the operating fund and the consolidated results are in deficit positions due mainly
to capital investments. Adjustments are required to report accrual basis accounting results which
translate capital spending into long term assets expensed over capital use periods. McMaster’s ability
to structurally balance and fund strategic and capital priorities demonstrates prudent financial
management instilled by McMaster’s transparent budget model that places fiscal accountabilities
with area leaders who initiate one-time investments to advance the University mission and vision.
McMaster’s budget approach continues to serve the University decision making particularly as the
pandemic has required substantial one-time investments and limited provincial funding growth
opportunities.</t>
  </si>
  <si>
    <t>In 2022/23 the University continues to advance McMaster’s greatest strategic priority the Global
Nexus for Pandemics and Biological Threats at McMaster’s Innovation Park (MIP). McMaster will also
progress MIPs major supercluster development initiative providing an additional 2.8 million square
feet of new and renovated life sciences and biomanufacturing space. Major initiatives will be mindful
of strategic ambitions relative to sustaining McMaster’s strong financial credit rating of AA (Stable).
Overall capital plans are budgeted to resume at pre-COVID levels with several Faculty driven
strategically aligned initiatives.</t>
  </si>
  <si>
    <t>Ancillary operations were hardest hit by pandemic related campus closures and have a 2021/22
projected loss of $3.4 million with total cumulative losses of $7.8 million arising over the pandemic
period. All ancillaries have planned for the resumption of normal pre-COVID activities fall 2022. In
2022/23 ancillaries have a net budgeted surplus of $3.3 million, reducing the net deficit to $4.4 million.
Ancillaries, taken together, will fully address the cumulative deficits by 2024/25.</t>
  </si>
  <si>
    <t>All other funds have sound financial plans to advance McMaster’s strategic priorities, including a
significant focus projects aligned to the United Nations Sustainable Development Goals.</t>
  </si>
  <si>
    <t>McMaster’s enrolment demand has remained strong despite the pandemic. Global reputation and
rankings have continued to assist in attracting the best and brightest students. Overall, McMaster’s
evidence-based approach to medicine and the advancement of knowledge supporting health and
societal issues, including mental-health, remain a key strength to the student-centered research-
intensive experience McMaster uniquely offers. This budget and its planning years are supported by
McMaster’s strength.</t>
  </si>
  <si>
    <t>A summary of the University’s operating fund net revenues and expenses is shown below in Figure
1. Net operating revenues have historically exceeded expense growth, due mainly to enrolment
growth and international student participation increases. The projected trend reduces the net
enrolment growth to 0.5% per year, which translates to structurally balanced annually results and a
net loss after one-time investments.</t>
  </si>
  <si>
    <t>mcmaster_2022_2</t>
  </si>
  <si>
    <t>mcmaster_2022_3</t>
  </si>
  <si>
    <t>mcmaster_2022_4</t>
  </si>
  <si>
    <t>mcmaster_2022_5</t>
  </si>
  <si>
    <t>mcmaster_2022_6</t>
  </si>
  <si>
    <t>mcmaster_2022_7</t>
  </si>
  <si>
    <t>mcmaster_2022_8</t>
  </si>
  <si>
    <t>york_2025</t>
  </si>
  <si>
    <t>york_2025_1</t>
  </si>
  <si>
    <t>This report contains the proposed Budget Plan for the next five fiscal years, 2025-26
to 2029-30, based on the University’s Shared Accountability and Resource Planning
(SHARP) budget model. The Budget Plan is guided by the current financial context and
key long-range assumptions.</t>
  </si>
  <si>
    <t>As captured in Figure 1 below, Ontario’s publicly funded universities are entering the
2025–26 budget cycle under continued financial pressure, shaped by both long-
standing structural challenges and evolving provincial priorities. Most notably, the
Government of Ontario has maintained a domestic tuition freeze since 2019, with no
adjustments for inflation, resulting in a cumulative erosion of real per-student funding
over the past six years. Concurrently, operating grants have remained flat or grown
only modestly, leaving institutions to shoulder the rising costs of salaries, benefits,
infrastructure maintenance, and essential services without commensurate increases in
core revenue streams. Further, the 2025 Ontario Budget did not include any significant
new investments in university base operating grants. Instead, it prioritized targeted
sectoral initiatives, particularly in STEM program expansion, research infrastructure,
healthcare education, micro-credentialing, and workforce alignment. While these
initiatives support important provincial objectives, they do not address the persistent
base funding gap facing all institutions (Ontario Ministry of Finance, 2025; Council of
Ontario Universities, 2025).</t>
  </si>
  <si>
    <t>Recent federal policy changes related to international student permits have introduced
additional significant financial and operational pressures for Canada’s postsecondary
institutions. The Government of Canada’s cap on international student permits, first
announced in January 2024 and further reduced in 2025, has led to a nearly 50%
decrease in approved study permits in 2024 compared to 2023. This includes the
removal of exemptions for master’s and doctoral students.</t>
  </si>
  <si>
    <t>In addition to fiscal constraints, universities face increasing demands to support
student mental health and well-being, expand access for underrepresented groups,
advance reconciliation and equity, and respond to the global climate crisis. Institutions
must also adapt to the lasting impacts of digital transformation and evolving labor
market expectations, which require ongoing investment in technology, pedagogy, and
infrastructure</t>
  </si>
  <si>
    <t>Despite these pressures, York University has continued to demonstrate resilience and
innovation through implementation of a Budget Plan that demonstrates both a
commitment to financial sustainability and academic excellence</t>
  </si>
  <si>
    <t>In this environment, budget planning for 2025–26 must strike a careful balance:
ensuring financial sustainability while protecting the core academic mission and
advancing bold, future-oriented investments. Universities will need to continue
engaging government partners, donors, and external stakeholders to align institutional
goals with societal needs while safeguarding the accessibility, quality, and impact of
Ontario's postsecondary education system. This budget reflects both the constraints
and the opportunities of the current moment—rooted in fiscal responsibility, yet
forward-looking in its commitment to student success, research excellence, and
community impact.</t>
  </si>
  <si>
    <t>york_2025_2</t>
  </si>
  <si>
    <t>york_2025_3</t>
  </si>
  <si>
    <t>york_2025_4</t>
  </si>
  <si>
    <t>york_2025_5</t>
  </si>
  <si>
    <t>york_2025_6</t>
  </si>
  <si>
    <t>York University</t>
  </si>
  <si>
    <t>nipissing_2025</t>
  </si>
  <si>
    <t>nipissing_2024</t>
  </si>
  <si>
    <t>nipissing_2024_1</t>
  </si>
  <si>
    <t>The 2024-2025 budget is foundationally strong and carefully strategic, and its certainties are built upon the work completed, the
decisions made, and results achieved in the previous two budgets. But, not surprisingly, this budget is framed and limited, too, by
fixed, externally imposed, funding constraints and by enrollment projection contingencies and specific government funded
allotments that to date remain unknown and unannounced, respectively.</t>
  </si>
  <si>
    <t>The financial results of fiscal 2022-2023 enabled a desperately needed, albeit limited, shoring up of institutional reserves, at a
time of compromised credit ratings and financial uncertainty for the University. Strategic decisions and priorities embedded in our
integrated planning and budgeting process, which included a retirement incentive plan, increased residence revenues, modest
gains in alternative revenue generation, very successful domestic and international recruitment results, and an unexpected
injection of STEM revenues from the Province led to not only the first balanced budget in ten years but, indeed, an in year
consolidated surplus realized in fiscal 2023-2024. These short strides represent a much-needed change of course towards
financial sustainability in what remains to be a climate of uncertainty based upon ongoing provincial policies of austerity towards
post-secondary education and the unforeseen consequences of federal measures restricting immigration to Canada. Importantly,
these positive fiscal results have also led to an improvement in our DBRS Credit Rating, a reinstatement of our $5M credit facility,
and, finally, a positive shift in our Ministry of Colleges and University's Financial Sustainability Metrics.</t>
  </si>
  <si>
    <t>We trust that our Strategic and Academic Planning processes invoke more certainty through the careful and strategic allocation of
resources and a measured projection of revenues in 2024-2025. Operational and Academic Planning decisions will set the
groundwork for full and consistent program review, annual assessments of academic program viability, and dedicated plans to
increase enrollments and to ensure the stability and success of our dynamic and evolving programming across our faculties in the
arts, humanities, social sciences, sciences, education, and professional studies. At the same time, we shall continue to expect
modest increases in residence revenues and alternative revenue development through food services, ancillary services, event
hosting, extended learning, fundraising, and alumni engagement.</t>
  </si>
  <si>
    <t>Our successful enrollment strategies of 2023-24 predict a strong returning class for 2024-25, tempered by our flat projections of
new enrollments both domestic and international, in part limited by the caps on international students imposed by the federal
government and the tight rates of conversions between applications and registrations levied by the provincial government. We
trust that tuition revenues, relying in the main on returning students, and alternative revenue generation, will offset the ever-
growing inflationary costs and the continuing and compounding effects of the provincial tuition freeze, now in its fifth year, in
addition to the continuing effects of what is essentially a grant freeze within the corridor funding model. 2024-25 will also be
characterized positively by a stabilization in senior leadership positions, by research investments, and a refresh of our Strategic
Enrollment Management plan as we continue to right size the University.</t>
  </si>
  <si>
    <t>While we cannot predict the real costs of the federal imposition of international tuition caps at this point, we will endeavour to
recruit towards our allotted numbers. We cannot predict with any certainty the amount of one-time funding we will receive as a
result of the provincial government’s response to the recommendations of the Blue Ribbon Panel, so we have not factored any
such revenues into the 2024-2025 budget.</t>
  </si>
  <si>
    <t>As stated in the Executive Summary of the 2023-24 budget, our priority is to secure the stability of our institution, including our
short and long term financial well-being evident in our capacity to negotiate long term loans, secure the confidence of our
creditors and potential investors, and to demonstrate our fiduciary responsibility to provincial bodies such as the Treasury Board
and the office of the Auditor General. We will, therefore, dedicate the majority of any in year surpluses to the restoration of our
reserve funds. Given the uncertainties of tuition revenues and the degree of support forthcoming from the Province, it is of
paramount importance to our institution’s future that we increase our reserve funds to at least the peak, if not exceeding, levels
extant in the previous decade. We will continue to invest responsibly and strategically towards our academic mission, while
sustaining our advocacy efforts to the provincial government with respect to appropriate levels of tuition and grant funding
support, and a fair allocation of Northern Grant investments which recognize the valuable contributions of the unique
educational experiences and research contributions of Nipissing University.</t>
  </si>
  <si>
    <t>nipissing_2024_2</t>
  </si>
  <si>
    <t>nipissing_2024_3</t>
  </si>
  <si>
    <t>nipissing_2024_4</t>
  </si>
  <si>
    <t>nipissing_2024_5</t>
  </si>
  <si>
    <t>nipissing_2024_6</t>
  </si>
  <si>
    <t>Nipissing University</t>
  </si>
  <si>
    <t>nipissing_2025_1</t>
  </si>
  <si>
    <t>The 2025-26 Nipissing University budget in general represents another stage towards sustainability and, arguably, the early material
results of implementing the Academic and Operational Plan (APOP) emanating from the Pathways Strategic Plan, and the mobilization
of its strategic elements, including enrolment through Project Integrate. In past years, due specifically to its precarious financial
position, the university has operated and budgeted within the context of extensive external audit and review processes. This year is no
different. As we prepare for the shifting accountabilities and structuring influences of Strategic Mandate Agreement 4 (SMA4), the new
government grant framework, and continued emergence from required organizational changes in response to the Office of the Auditor
General, we also became subject in the past year to new operating efficiencies and governance reviews mandated by the province. In
many respects, such audits reflect the diminishing autonomy of public universities; but we also recognize that embracing the most
appropriate recommendations of such audits and reviews will eventually bring positive outcomes.</t>
  </si>
  <si>
    <t>Without question, the greatest impact upon the 2024-25 and the 2025-26 financial position of the university is, and will be, the
unforeseen consequences of federal government policies in the past year, which have collapsed the market for international students
attending Canadian universities. These actions have directly impacted our 2024-25 financial results and, also, severely limit our
progress towards financial health in 2025-26, notably at a time when we were making significant gains towards improving the
university’s fiscal standing.</t>
  </si>
  <si>
    <t>Thankfully, budget processes are always, in part, beholden to the strengths of internal, comprehensive strategic decision making but,
in the past decade, we have experienced shrinking autonomy in determining how resources are distributed and employed. We have
been more susceptible to the external pressures of funding freezes and one-time investments that reinforce the particular economic
priorities of our provincial government. Without a provincially established, stable funding framework, and a commitment to a
permanent, equitable reallocation of the Northern Grant, we remain unable to chart with assurance a longer-term financial path for the
university. However, we have responded to ensure that we are maximizing the impacts of all government support. We have invested the
government support that we received into our Reserve Funds; as such, our investments have been very targeted and financially
prudent. We have necessarily accepted responsibility for increased alternative revenue streams, and we are taking steps towards
enhancing our academic programs and strategically modifying our structures and administrative processes to better respond to an
academic landscape that has shifted considerably over the past 20 years, one that continues to change markedly in real time. Indeed,
from pandemics, to freezes and cuts during periods of significant cost inflation, to an ever-increasing involvement by government in
university operations, the annual budgeting for Canadian universities has never been more challenging.</t>
  </si>
  <si>
    <t>The 2025-26 budget reflects a continued tuition freeze, a distinct government focus on STEM enrolment, and some support,
characterized as investment in sustainability and, as stated above, a marked decrease in international student enrolment. During this
next fiscal year, we will be working diligently to consider and implement the appropriate recommendations of NOUS Group’s Efficiency
and Accountability Review Report and the governance review of Cheryl Foy of Strategic Governance Consulting Services. We will
continue to implement our Pathways plan through the Academic and Operational Plan (APOP); we will begin to implement the
recommendations forthcoming from an Equity Audit which will steer us towards a more inclusive campus for everyone and assist us to
take steps toward Reconciliation; and, through our annual assessments of program health, we will determine what actions are
required to build sustainable programs. We will continue to generate revenues through residence occupancy, meal plans, event
hosting, the sale of merchandise, and through fundraising. And we will attempt to rebuild our international recruitment capacity, within
the challenging environment which confronts us. We remain optimistic in, and committed towards, confronting these challenges,
buoyed by our newly appraised status of “low action plan” institution, though still at high risk, in part due to careful budgeting and
long-term planning and the investment of government grant funding into our Reserves which now are projected to exceed $15M, a
marked improvement over the past several years.</t>
  </si>
  <si>
    <t>The 2023-2024 budget is best characterized as a realization of significant operational changes invoked during
the 2022-2023 fiscal year, positive shifts in enrolment projections, and successful advocacy towards the
Provincial Government for additional grant support.</t>
  </si>
  <si>
    <t>nipissing_2025_2</t>
  </si>
  <si>
    <t>nipissing_2025_3</t>
  </si>
  <si>
    <t>nipissing_2025_4</t>
  </si>
  <si>
    <t>nipissing_2023_1</t>
  </si>
  <si>
    <t>nipissing_2023</t>
  </si>
  <si>
    <t>For fiscal 2022-23, we initially projected a consolidated budget deficit of $3.2M. The real consequences of the
2022-23 projections, consistent with the previous nine years of deficit results manifested themselves in a lack
of confidence in our financial outlook on the part of KPMG, our external auditor, and TD Bank, our primary
lender. TD Bank requested we sign a General Securities Agreement and withdrew our $5M line of credit.
Subsequent to the audited financial statements for 2022-23 being released, our credit rating was also
downgraded.</t>
  </si>
  <si>
    <t>In the Winter term, 2023, several shifts occurred in our financial projections for year end. In the first instance,
due to residual impacts of the Pandemic, our domestic enrolment missed projections by approximately 200
FTEs; however, these losses were countered by an entering class of 85 international students in the January
cohort. Additionally, and not by preference, a failure to fill various vacant positions on campus resulted in
some savings.</t>
  </si>
  <si>
    <t>At the same time, we advocated for changes in the calculation of additional grants to support our Nursing
programs and received additional funding that was not budgeted for. Most significantly, in March 2023, we
learned that our advocacy efforts with the Province had been successful, leading directly to a one-time
additional Northern Grant of $3.7M. This one-time support was the major factor that enabled us to balance
the projected consolidated results.</t>
  </si>
  <si>
    <t>A balanced projection for 2022-2023 provided a baseline upon which to build the budget for 2023-2024.
As a result of significant improvements in performance across a number of university initiatives,
additional government support in Nursing, and realized cost efficiencies and budget sacrifices absorbed
across all of our units, we are presenting a balanced consolidated budget for the first time in ten years.</t>
  </si>
  <si>
    <t>This balanced budget is the direct result of the tireless efforts of many to achieve performance goals in a
number of areas previously outlined in budget and sustainability discussions with Audit &amp; Finance, the
Board, and the broader university community.</t>
  </si>
  <si>
    <t>The largest forms of revenue generation at Nipissing University emanate from tuition revenues and
government grants. The secondary, less significant but necessary forms of revenue generation are
categorized as alternative revenues. In-person recruiting, a new digital marketing campaign, and targeted
international recruitment have resulted in increased enrolment projections and incoming tuition forecasts
for the Fall and Winter terms of 2023-24. Additionally, increased funding for Nursing expansion and
support has also increased our revenue projections for the coming year.</t>
  </si>
  <si>
    <t>At the same time, over the past 18 months, we have been creating the foundations for developing and
increasing alternative revenues through initiatives related to ancillary services - including conference
services, extended learning, event hosting, food services, bookstore revenues, as well as improved
relations with Canadore College resulting in budget gains.</t>
  </si>
  <si>
    <t>We are proud of the work that has been completed across our organization to achieve a balanced budget
but, to be clear, we must work towards annual surpluses to build up our reserves, and to invest in areas of
academic and service needs as determined by our strategic planning process. Our next task will be to
develop operational plans to support these goals and to continue our extensive advocacy efforts with the
Province.</t>
  </si>
  <si>
    <t>As a primarily undergraduate Northern university, in order to ensure long-term sustainability of the
institution, we will require enhanced funding inclusive of annual inflationary increases. This could be
realized through a reallocation of the Northern Grant.</t>
  </si>
  <si>
    <t>It is, therefore, of the highest priority that we place our completed institutional financial analysis before
the Province’s Blue Ribbon Panel on Sustainability in the Post-Secondary Education Sector and advocate
for a Provincial action plan that will see the Province partner with us to secure a sustainable future for
Nipissing University.</t>
  </si>
  <si>
    <t>nipissing_2023_2</t>
  </si>
  <si>
    <t>nipissing_2023_3</t>
  </si>
  <si>
    <t>nipissing_2023_4</t>
  </si>
  <si>
    <t>nipissing_2023_5</t>
  </si>
  <si>
    <t>nipissing_2023_6</t>
  </si>
  <si>
    <t>nipissing_2023_7</t>
  </si>
  <si>
    <t>nipissing_2023_8</t>
  </si>
  <si>
    <t>nipissing_2023_9</t>
  </si>
  <si>
    <t>nipissing_2023_10</t>
  </si>
  <si>
    <t>nipissing_2023_11</t>
  </si>
  <si>
    <t>A number of factors come to bear on the 2022-23 budget, some relating to historical factors, policy decisions, funding sources and market shifts,
and others relating to the formation of a new University strategy which is based upon the foundations of transparency, the assumption of
particular fiscal responsibilities, the creation of alternative forms of revenue, program decisions, long term sustainability, and strategic planning.</t>
  </si>
  <si>
    <t>The necessary point of departure for the Board of Governors and the University is a balanced budget, year in and out, and to ensure that
Nipissing University is not only surviving but thriving 25 years from now. Nipissing University has not balanced its budget in eight years. A
number of factors have influenced this issue and continue to have a residual impact on University revenues.</t>
  </si>
  <si>
    <t>While the University has experienced challenges with tuition cuts/freezes and static corridor funding, at the same time, the University has not, in
many respects, fulfilled its responsibility for establishing and developing alternative forms of revenue that are common streams at other
universities. For example, Nipissing has resisted recruiting even modest percentages of international students during an era when the majority of
universities in Canada secured significant tuition revenues from international students. These revenues cannot be generated overnight.</t>
  </si>
  <si>
    <t>The University's endowments remain at a relatively minimal level of approximately $12m, which provides limited offsets to operational
expenses. The donation levels of both major donors and small gifts from donors and alumni remain at very low levels. Due to the significant
reductions to resources over the past eight years, various units are suffering from a staff shortage in areas particular to generating forms of
revenue, while failing to invest significantly in academic programs and program development.</t>
  </si>
  <si>
    <t>To exacerbate a particularly challenging fiscal environment, the pandemic has wreaked havoc on the University's costs and revenue generation
simultaneously.</t>
  </si>
  <si>
    <t>Nipissing University is travelling uphill to energize and establish its potential in international student recruitment, ancillary services, donations,
alumni support, and the reconfiguration of its academic structures and programs through the strategic planning process.</t>
  </si>
  <si>
    <t>Fortunately, Nipissing University does not have significant long-term debt and unmanageable costs of borrowing, nor does it have an aging
infrastructure. The 2022-23 budget demonstrates the long-term residual impacts of government policies, the unintended consequences of those
policies, and specific University decisions which have rendered the University's capacity for generating alternative revenues extremely limited.
However, this budget, albeit a deficit budget, demonstrates a more hopeful scenario for the present and the future. A deficit of any kind is
unacceptable. However, Nipissing University cannot move the Province to effect meaningful change within and beyond its boundaries in one
year. The deficit reflects the limitations imposed by the Province, but it also reflects new investments in revenue generating activities and
meaningful policy and program changes on campus.</t>
  </si>
  <si>
    <t>nipissing_2022_1</t>
  </si>
  <si>
    <t>nipissing_2022</t>
  </si>
  <si>
    <t>nipissing_2022_2</t>
  </si>
  <si>
    <t>nipissing_2022_3</t>
  </si>
  <si>
    <t>nipissing_2022_4</t>
  </si>
  <si>
    <t>nipissing_2022_5</t>
  </si>
  <si>
    <t>nipissing_2022_6</t>
  </si>
  <si>
    <t>nipissing_2022_7</t>
  </si>
  <si>
    <t>nipissing_2021</t>
  </si>
  <si>
    <t>Nipissing University is a vibrant, young, ready-to-grow 21st century university with century old roots in the
community it serves, and has a mandate to address the needs of Northern Ontario and continues to have a special
focus on serving the North in the North. It is the third largest employer in the North Bay area with a calculated
annual economic impact of $130.9 million locally, $163 million nationally, and is an essential economic driver for
the region.</t>
  </si>
  <si>
    <t>nipissing_2021_1</t>
  </si>
  <si>
    <t>As in previous years, this budget was created in collaboration with budget holders across the University. Nipissing
continues to work towards a balanced budget in order to ensure future sustainability. As a direct result of the
COVID-19 pandemic, this budget includes a $1.5M funding deficit. Through a variety of strategies, we believe that
this budget deficit can be eliminated before year end.</t>
  </si>
  <si>
    <t>As per the Province’s announcement last month, domestic tuition fees remain frozen for 2021-22. At present, we
do not have any information on the domestic tuition framework for future years. The impact of the government’s
tuition framework on Nipissing for 2021-22 is a revenue shortfall of $3 million compared to previous
projections. While we look forward to discussions with the Ministry regarding our corridor, our current
assumption is that provincial grant funding will remain as outlined in the budget documents for 2021-22.</t>
  </si>
  <si>
    <t>The COVID-19 pandemic continues to cause significant uncertainty, and it is within this context that this budget
was created. We do not know at this time what level of on-campus instruction will take place in the fall of 2021.
As a direct result of the pandemic, we forecast a revenue shortfall in ancillary operations of $1.2M and an
international tuition shortfall of $2M. In the preparation of this budget, we were able to realize cost reductions of
$1.7M to address this shortfall, and we will work towards eliminating the deficit before the end of fiscal 2022. We
will be closely monitoring the impact of the pandemic on our operations and will implement mitigation strategies
as required. A more precise estimate of COVID-19 related financial impacts will be determined in the early fall
when detailed enrolment rates are known. A budget update will be submitted to the Board of Governors at that
time.</t>
  </si>
  <si>
    <t>Over the next several months, we will continue our work to implement sustainability strategies to increase and
diversify our revenue streams. These strategies will include such things as internationalization, strategic
enrolment, research revenue, continuing education/micro-credentials, conference services and fundraising plans.
We will also continue our work on cost containment across all areas of the University. In September 2021, we will
provide the Board of Governors with a detailed plan to bring the Operating/Ancillary budget into balance.</t>
  </si>
  <si>
    <t>nipissing_2021_2</t>
  </si>
  <si>
    <t>nipissing_2021_3</t>
  </si>
  <si>
    <t>nipissing_2021_4</t>
  </si>
  <si>
    <t>nipissing_2021_5</t>
  </si>
  <si>
    <t>nipissing_2020_1</t>
  </si>
  <si>
    <t>nipissing_2020</t>
  </si>
  <si>
    <t xml:space="preserve">Nipissing University is a vibrant, young, ready-to-grow 21st century university with century old roots in the community it serves, and has a mandate to address the needs of Northern Ontario and continues to have a special focus on serving the North in the North. It is the third largest employer in the North Bay area with a calculated annual economic impact of $130.9 million locally, $163 million nationally, and is an essential economic driver for the region. </t>
  </si>
  <si>
    <t>The following budget submission has been prepared with input from across the university as we continue to work towards a balanced budget, which has been a focus over the past 5 years. Before we learned of the Province’s tuition reduction/freeze, we were projecting a modest surplus in our Operating Fund of $1.7M for 2020-21. While we continue to work towards balancing the operating budget, this report highlights that the University continues to budget a funding deficit.</t>
  </si>
  <si>
    <t>As per the Province’s announcement last year, domestic tuition fees, which were rolled back 10% in 2019-20, will remain frozen for 2020-21. At present, we do not have any information on the domestic tuition framework for future years. The impact of the government’s tuition framework for 2019-20 and 2020-21 was a revenue shortfall of $3.5 million in 2019-20 and $4.2 million in 2020-21 compared to the budget projections at that time. While we await the Provincial Budget later this spring, our current assumption is that provincial grant funding will remain as outlined in the budget documents for 2020-21.</t>
  </si>
  <si>
    <t>As the COVID-19 pandemic has created economic and social turmoil, we expect financial implications will continue to evolve over the coming months. The Ontario post-secondary education sector is experiencing uncertainties including concerns about fall 2020 enrollment levels (in particular international enrollments).</t>
  </si>
  <si>
    <t xml:space="preserve">
We are proposing that we continue with the budget recommendations in this document with the understanding that we will need to re- align expenditures to match revenues over the next several months. We will be closely monitoring the impact of the pandemic on our operations and will implement mitigation strategies as required. A more precise estimate of COVID-19 related financial impacts will be determined in the early fall when detailed enrollment rates are known. At that time, a budget update will be submitted to the Board of Governors.</t>
  </si>
  <si>
    <t>nipissing_2020_2</t>
  </si>
  <si>
    <t>nipissing_2020_3</t>
  </si>
  <si>
    <t>nipissing_2020_4</t>
  </si>
  <si>
    <t>nipissing_2020_5</t>
  </si>
  <si>
    <t>queens_2017_4</t>
  </si>
  <si>
    <t>queens_2017_5</t>
  </si>
  <si>
    <t>queens_2017_7</t>
  </si>
  <si>
    <t>queens_2018_3</t>
  </si>
  <si>
    <t>queens_2018_4</t>
  </si>
  <si>
    <t>queens_2018_5</t>
  </si>
  <si>
    <t>queens_2018_8</t>
  </si>
  <si>
    <t>queens_2019_3</t>
  </si>
  <si>
    <t>queens_2019_4</t>
  </si>
  <si>
    <t>queens_2020_1</t>
  </si>
  <si>
    <t>queens_2020_2</t>
  </si>
  <si>
    <t>queens_2020_3</t>
  </si>
  <si>
    <t>queens_2020_4</t>
  </si>
  <si>
    <t>queens_2020_7</t>
  </si>
  <si>
    <t>queens_2021_3</t>
  </si>
  <si>
    <t>queens_2021_6</t>
  </si>
  <si>
    <t>queens_2023_6</t>
  </si>
  <si>
    <t>queens_2025_5</t>
  </si>
  <si>
    <t>uoft_2017_1</t>
  </si>
  <si>
    <t>uoft_2017_3</t>
  </si>
  <si>
    <t>uoft_2017_4</t>
  </si>
  <si>
    <t>uoft_2017_5</t>
  </si>
  <si>
    <t>uoft_2017_7</t>
  </si>
  <si>
    <t>uoft_2017_9</t>
  </si>
  <si>
    <t>uoft_2017_12</t>
  </si>
  <si>
    <t>uoft_2017_13</t>
  </si>
  <si>
    <t>uoft_2017_16</t>
  </si>
  <si>
    <t>uoft_2017_18</t>
  </si>
  <si>
    <t>uoft_2018_1</t>
  </si>
  <si>
    <t>uoft_2018_2</t>
  </si>
  <si>
    <t>uoft_2018_4</t>
  </si>
  <si>
    <t>uoft_2018_9</t>
  </si>
  <si>
    <t>uoft_2018_10</t>
  </si>
  <si>
    <t>uoft_2018_11</t>
  </si>
  <si>
    <t>uoft_2018_12</t>
  </si>
  <si>
    <t>uoft_2018_13</t>
  </si>
  <si>
    <t>uoft_2018_15</t>
  </si>
  <si>
    <t>uoft_2018_16</t>
  </si>
  <si>
    <t>uoft_2018_18</t>
  </si>
  <si>
    <t>uoft_2018_20</t>
  </si>
  <si>
    <t>uoft_2018_23</t>
  </si>
  <si>
    <t>uoft_2019_1</t>
  </si>
  <si>
    <t>uoft_2019_2</t>
  </si>
  <si>
    <t>uoft_2019_3</t>
  </si>
  <si>
    <t>uoft_2019_5</t>
  </si>
  <si>
    <t>uoft_2019_6</t>
  </si>
  <si>
    <t>uoft_2019_8</t>
  </si>
  <si>
    <t>uoft_2020_1</t>
  </si>
  <si>
    <t>uoft_2020_3</t>
  </si>
  <si>
    <t>uoft_2020_4</t>
  </si>
  <si>
    <t>uoft_2020_7</t>
  </si>
  <si>
    <t>uoft_2020_8</t>
  </si>
  <si>
    <t>uoft_2020_10</t>
  </si>
  <si>
    <t>uoft_2021_1</t>
  </si>
  <si>
    <t>uoft_2021_2</t>
  </si>
  <si>
    <t>uoft_2021_3</t>
  </si>
  <si>
    <t>uoft_2021_4</t>
  </si>
  <si>
    <t>uoft_2021_5</t>
  </si>
  <si>
    <t>uoft_2021_7</t>
  </si>
  <si>
    <t>uoft_2021_10</t>
  </si>
  <si>
    <t>uoft_2021_11</t>
  </si>
  <si>
    <t>uoft_2021_14</t>
  </si>
  <si>
    <t>uoft_2021_17</t>
  </si>
  <si>
    <t>uoft_2022_1</t>
  </si>
  <si>
    <t>uoft_2022_2</t>
  </si>
  <si>
    <t>uoft_2022_3</t>
  </si>
  <si>
    <t>uoft_2022_4</t>
  </si>
  <si>
    <t>uoft_2022_5</t>
  </si>
  <si>
    <t>uoft_2022_6</t>
  </si>
  <si>
    <t>uoft_2022_7</t>
  </si>
  <si>
    <t>uoft_2022_9</t>
  </si>
  <si>
    <t>uoft_2022_12</t>
  </si>
  <si>
    <t>uoft_2022_13</t>
  </si>
  <si>
    <t>uoft_2022_15</t>
  </si>
  <si>
    <t>uoft_2022_18</t>
  </si>
  <si>
    <t>uoft_2022_20</t>
  </si>
  <si>
    <t>uoft_2022_23</t>
  </si>
  <si>
    <t>uoft_2023_1</t>
  </si>
  <si>
    <t>uoft_2023_3</t>
  </si>
  <si>
    <t>uoft_2023_2</t>
  </si>
  <si>
    <t>uoft_2023_4</t>
  </si>
  <si>
    <t>uoft_2023_5</t>
  </si>
  <si>
    <t>uoft_2023_7</t>
  </si>
  <si>
    <t>uoft_2023_8</t>
  </si>
  <si>
    <t>uoft_2023_9</t>
  </si>
  <si>
    <t>uoft_2023_10</t>
  </si>
  <si>
    <t>uoft_2023_11</t>
  </si>
  <si>
    <t>uoft_2023_13</t>
  </si>
  <si>
    <t>uoft_2023_16</t>
  </si>
  <si>
    <t>uoft_2023_17</t>
  </si>
  <si>
    <t>uoft_2023_18</t>
  </si>
  <si>
    <t>uoft_2023_20</t>
  </si>
  <si>
    <t>uoft_2023_21</t>
  </si>
  <si>
    <t>uoft_2023_22</t>
  </si>
  <si>
    <t>uoft_2023_24</t>
  </si>
  <si>
    <t>uoft_2023_25</t>
  </si>
  <si>
    <t>uoft_2024_1</t>
  </si>
  <si>
    <t>uoft_2024_2</t>
  </si>
  <si>
    <t>uoft_2024_5</t>
  </si>
  <si>
    <t>uoft_2024_6</t>
  </si>
  <si>
    <t>uoft_2024_7</t>
  </si>
  <si>
    <t>uoft_2024_9</t>
  </si>
  <si>
    <t>uoft_2024_10</t>
  </si>
  <si>
    <t>uoft_2024_13</t>
  </si>
  <si>
    <t>uoft_2024_16</t>
  </si>
  <si>
    <t>uoft_2024_19</t>
  </si>
  <si>
    <t>uoft_2024_20</t>
  </si>
  <si>
    <t>uoft_2024_22</t>
  </si>
  <si>
    <t>uoft_2024_23</t>
  </si>
  <si>
    <t>uoft_2024_24</t>
  </si>
  <si>
    <t>uoft_2024_25</t>
  </si>
  <si>
    <t>uoft_2024_26</t>
  </si>
  <si>
    <t>uoft_2024_27</t>
  </si>
  <si>
    <t>uoft_2024_28</t>
  </si>
  <si>
    <t>uoft_2024_30</t>
  </si>
  <si>
    <t>uoft_2024_35</t>
  </si>
  <si>
    <t>uoft_2024_36</t>
  </si>
  <si>
    <t>uoft_2024_37</t>
  </si>
  <si>
    <t>uoft_2025_8</t>
  </si>
  <si>
    <t>uoft_2025_9</t>
  </si>
  <si>
    <t>uoft_2025_10</t>
  </si>
  <si>
    <t>uoft_2025_11</t>
  </si>
  <si>
    <t>uoft_2025_12</t>
  </si>
  <si>
    <t>uoft_2025_13</t>
  </si>
  <si>
    <t>uoft_2025_14</t>
  </si>
  <si>
    <t>uoft_2025_15</t>
  </si>
  <si>
    <t>uoft_2025_17</t>
  </si>
  <si>
    <t>uoft_2025_19</t>
  </si>
  <si>
    <t>uoft_2025_20</t>
  </si>
  <si>
    <t>uoft_2025_21</t>
  </si>
  <si>
    <t>uoft_2025_22</t>
  </si>
  <si>
    <t>uoft_2025_24</t>
  </si>
  <si>
    <t>uoft_2025_25</t>
  </si>
  <si>
    <t>uoft_2025_27</t>
  </si>
  <si>
    <t>uoft_2025_29</t>
  </si>
  <si>
    <t>uoft_2025_31</t>
  </si>
  <si>
    <t>uoft_2025_32</t>
  </si>
  <si>
    <t>uoft_2025_33</t>
  </si>
  <si>
    <t>uoft_2025_34</t>
  </si>
  <si>
    <t>uoft_2025_39</t>
  </si>
  <si>
    <t>uoft_2025_40</t>
  </si>
  <si>
    <t>uoft_2025_41</t>
  </si>
  <si>
    <t>uoft_2025_42</t>
  </si>
  <si>
    <t>windsor_2019_1</t>
  </si>
  <si>
    <t>windsor_2019_2</t>
  </si>
  <si>
    <t>windsor_2019_3</t>
  </si>
  <si>
    <t>windsor_2019_4</t>
  </si>
  <si>
    <t>windsor_2019_7</t>
  </si>
  <si>
    <t>windsor_2025_3</t>
  </si>
  <si>
    <t>carleton_2019_1</t>
  </si>
  <si>
    <t>carleton_2019_3</t>
  </si>
  <si>
    <t>carleton_2019_4</t>
  </si>
  <si>
    <t>carleton_2019_6</t>
  </si>
  <si>
    <t>carleton_2020_1</t>
  </si>
  <si>
    <t>carleton_2020_2</t>
  </si>
  <si>
    <t>carleton_2020_3</t>
  </si>
  <si>
    <t>carleton_2021_1</t>
  </si>
  <si>
    <t>carleton_2021_3</t>
  </si>
  <si>
    <t>carleton_2021_5</t>
  </si>
  <si>
    <t>carleton_2022_3</t>
  </si>
  <si>
    <t>carleton_2022_4</t>
  </si>
  <si>
    <t>carleton_2022_6</t>
  </si>
  <si>
    <t>carleton_2023_1</t>
  </si>
  <si>
    <t>carleton_2023_2</t>
  </si>
  <si>
    <t>carleton_2023_6</t>
  </si>
  <si>
    <t>carleton_2023_7</t>
  </si>
  <si>
    <t>carleton_2023_8</t>
  </si>
  <si>
    <t>carleton_2023_9</t>
  </si>
  <si>
    <t>carleton_2024_1</t>
  </si>
  <si>
    <t>carleton_2024_8</t>
  </si>
  <si>
    <t>carleton_2025_7</t>
  </si>
  <si>
    <t>carleton_2025_8</t>
  </si>
  <si>
    <t>carleton_2025_10</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</si>
  <si>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</si>
  <si>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</si>
  <si>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</si>
  <si>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</si>
  <si>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</si>
  <si>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</si>
  <si>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</si>
  <si>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</si>
  <si>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</si>
  <si>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</si>
  <si>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</si>
  <si>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</si>
  <si>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</si>
  <si>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</si>
  <si>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</si>
  <si>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</si>
  <si>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</si>
  <si>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</si>
  <si>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</si>
  <si>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</si>
  <si>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</si>
  <si>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</si>
  <si>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government has suggested that the new formula will likely include three envelopes:
1. The core operating grant, linked to enrolment
2. The differentiation envelope, linked to SMA metrics
3. Special purpose grants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</si>
  <si>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</si>
  <si>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</si>
  <si>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</si>
  <si>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2016 Ontario budget announced a fundamental restructuring of the provincial financial aid system, to begin in 2017-18. These changes are discussed later in this report.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</si>
  <si>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</si>
  <si>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</si>
  <si>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</si>
  <si>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</si>
  <si>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</si>
  <si>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</si>
  <si>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</si>
  <si>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</si>
  <si>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</si>
  <si>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</si>
  <si>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</si>
  <si>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</si>
  <si>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</si>
  <si>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</si>
  <si>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</si>
  <si>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According to Ontario’s fall economic outlook,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</si>
  <si>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</si>
  <si>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</si>
  <si>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</si>
  <si>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According to Ontario’s fall economic outlook, the government is projecting a deficit of $9.0 billion for 2019-20, which represents a positive variance of $1.3 billion from the deficit target set out in the 2019 Provincial Budget. This change is primarily due to economic growth and higher than planned tax revenues.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</si>
  <si>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</si>
  <si>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</si>
  <si>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</si>
  <si>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</si>
  <si>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</si>
  <si>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</si>
  <si>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</si>
  <si>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</si>
  <si>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</si>
  <si>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</si>
  <si>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</si>
  <si>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</si>
  <si>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</si>
  <si>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</si>
  <si>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</si>
  <si>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</si>
  <si>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</si>
  <si>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</si>
  <si>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</si>
  <si>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</si>
  <si>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</si>
  <si>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</si>
  <si>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</si>
  <si>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</si>
  <si>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</si>
  <si>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</si>
  <si>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</si>
  <si>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</si>
  <si>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</si>
  <si>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</si>
  <si>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</si>
  <si>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</si>
  <si>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</si>
  <si>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Overall, undergraduate enrolment was about (1.2%) below target this year – although, still 364 FTEs above last year – primarily because of the lower than planned intake.</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</si>
  <si>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</si>
  <si>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</si>
  <si>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</si>
  <si>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</si>
  <si>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</si>
  <si>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</si>
  <si>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According to the 2022 Ontario Budget released in April 20224 and follow up November 2022 Fall Economic Statement5 the Government is not planning any inflationary increases to the University’s operating grant over the next three years.</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</si>
  <si>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</si>
  <si>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</si>
  <si>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In addition, the Government has allocated an additional 45 postgraduate medical resident spaces to the University as part of the SAMIH expansion. </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</si>
  <si>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</si>
  <si>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</si>
  <si>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</si>
  <si>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</si>
  <si>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</si>
  <si>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</si>
  <si>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</si>
  <si>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</si>
  <si>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</si>
  <si>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</si>
  <si>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</si>
  <si>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</si>
  <si>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</si>
  <si>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</si>
  <si>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</si>
  <si>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In addition, 30 MN Nurse Practitioner spaces will be delivered through SAMIH. </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</si>
  <si>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</si>
  <si>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</si>
  <si>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</si>
  <si>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We will revisit these plans, if necessary, when the Government formally announces its framework for 2024-25.</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</si>
  <si>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</si>
  <si>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</si>
  <si>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</si>
  <si>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</si>
  <si>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</si>
  <si>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</si>
  <si>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</si>
  <si>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</si>
  <si>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</si>
  <si>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</si>
  <si>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</si>
  <si>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</si>
  <si>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</si>
  <si>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</si>
  <si>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</si>
  <si>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</si>
  <si>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</si>
  <si>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In 2019-20, the Ontario government required a 10 per cent
cut to domestic tuition fees and has subsequently frozen
fees at these lower levels out to at least 2026-27.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</si>
  <si>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</si>
  <si>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</si>
  <si>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</si>
  <si>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In addition, 30 MN Nurse Practitioner spaces will be
delivered through SAMIH.</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</si>
  <si>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</si>
  <si>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</si>
  <si>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</si>
  <si>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</si>
  <si>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</si>
  <si>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</si>
  <si>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windsor_2019_11</t>
  </si>
  <si>
    <t>carleton_2021_8</t>
  </si>
  <si>
    <t>carleton_2022_8</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</si>
  <si>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</si>
  <si>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</si>
  <si>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The financial impact of the 10% rollback to UWindsor in 2019/20 is a shortfall in tuition revenue of approximately $10 million. </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</si>
  <si>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</si>
  <si>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</si>
  <si>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MTCU has indicated that 6 of the 10 metrics will be aligned with priorities in skills and job outcomes, including such measures as graduate earnings; experiential learning; skills and competencies; graduate employment; institutional strength; and graduation rates. Four of the metrics will be related to economic and community impacts, including research funding and capacity; innovation; impact in the local community; and a negotiated institution-specific economic impact metric.</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</si>
  <si>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</si>
  <si>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</si>
  <si>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</si>
  <si>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</si>
  <si>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</si>
  <si>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</si>
  <si>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</si>
  <si>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</si>
  <si>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Carleton’s 2021-22 operating budget supports the university’s plans for the coming year and recommends the resource allocations required to execute those plans. It also reflects the university’s alignment of its strategic planning, risk assessments and annual planning activities. The primary goal of this budget is to advance the three directions of our Strategic Integrated Plan: Share Knowledge, Shape the Future; Serve Ottawa, Serve the World; and Strive for Wellness, Strive for Sustainability. It also aims to provide resources for responding to the ongoing global public health crisis, while maintaining medium and long-term financial stability</t>
  </si>
  <si>
    <t>The COVID-19 pandemic is expected to have a lasting economic, psychological and social impact. For Carleton, this could translate into changes in the way we deliver on our academic mission and how we approach new challenges related to student recruitment. Enrolment patterns are expected to shift in both the short and long term to reflect increased demand for graduate programs in areas that respond to human adaptations in commerce, technology, and wellness and wellbeing. Research interest and funding is also expected to shift in addressing new post-pandemic issues. In the short-term, we are seeing more steady enrolment at the graduate level and a modest decrease in first-year undergraduate student intake. At the time of writing, it remains unclear how much on-campus activity will be possible in the fall of 2021 at Carleton, along with all other Canadian post-secondary education institutions.</t>
  </si>
  <si>
    <t>The 2021-22 budgeted expenses cover compulsory increases, such as negotiated salaries and benefits, utilities, contracted increases and discretionary allocations to support the university’s operating priorities. As determined by the Strategic Integrated Planning Committee, Carleton’s 2021-22 priorities are intended to support the directions of our Strategic Integrated Plan and continue to respond to the global public health crisis.</t>
  </si>
  <si>
    <t>Carleton will continue to make use of its COVID-related contingency funds to allow for in-year investments that respond to operational impacts created by the public health crisis. Process changes, such as the centralization of the approval and renewal of faculty positions, continue to ensure that one of the university’s most important strategic resources are deployed effectively.</t>
  </si>
  <si>
    <t>The COVID-19 pandemic is expected to have a lasting economic, psychological and social impact. For Carleton, this could translate into changes in the way we deliver on our academic mission and how we approach new challenges related to student recruitment. Enrolment patterns are expected to shift in both the short and long term to reflec increased demand for graduate programs in areas that respond to human adaptations in commerce, technology, the environment, and wellness. Research interest and funding is also expecteed to shift in addressing emerging post-pandemic issues..</t>
  </si>
  <si>
    <t>Since the pandemic began, we have seen more steady enrolment growth at the graduate level, and have slowly but steadily been recovering from the drop in first-year undergraduate intake in the Fall of 2020. Past growth flowing through, along with increased retention rates, largely offset those declines during the pandemic. The goal will be to eventually return to pre-pandemic undergraduate intake levels, which will be made possible with a return to significant in-person recruitment</t>
  </si>
  <si>
    <t xml:space="preserve">The 2022-23 budgeted expenses cover compulsory increases, such as negotiated salaries and benefits, utilities, contracted increases and discretionary allocations to support the university’s operating priorities. </t>
  </si>
  <si>
    <t>An additional $5.9 million has been allocated to University Budgets to support operational requirements such as IT, utilities, maintenance, cleaning, and insurance (a total of $2.7 million), benefit costs ($1.4 milliion), undergraduate and graduate student aid ($1.3 million) and library acquisitions ($0.5 million)</t>
  </si>
  <si>
    <t>Carleton University is pleased to present its operating budget for the 2023-24 academic year. This budget supports the university’s plans for the coming year through an alignment of the university’s strategic planning, risk assessment, operational planning and budgeting activities. The primary goal of this budget, as recommended by the Provost’s Budget Working Group (PBWG), is to advance the three directions of our Strategic Integrated Plan: Share Knowledge, Shape the Future; Serve Ottawa, Serve the World; and Strive for Wellness, Strive for Sustainability as well as to encourage innovation in recruitment, retention, programming, and curriculum.</t>
  </si>
  <si>
    <t>Carleton has experienced much success over the years. Our Equity, Diversity and Inclusion (EDI) Action Plan, Coordinated Accessibility Strategy and Kinàmàgawin (Learning Together) Indigenous initiatives strategy are well underway. We have undertaken a rebranding exercise to realign our key messages, storytelling, branding and marketing to enhance the university’s reputation at the regional, national and international levels. Our research activities continue to soar, with the university receiving a record-breaking $97.4 million in external funding and $37.5 million in Tri-Agency funding towards tackling some of the world’s most pressing issues.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</si>
  <si>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Students will continue to be supported by enhancements to mental health programs. A new Mental Health and Wellness website has been launched, featuring an interactive Wellness Services Navigator, to help students find tools and resources to understand, manage and improve their mental health and wellness while at university. The 2023-24 operating budget continues includes funding to support sexual violence prevention and individuals making disclosures and reports of sexual violence.</t>
  </si>
  <si>
    <t xml:space="preserve">
Budget priorities in Faculty RPCs include curriculum renewal; developing new and emerging programs; hiring of tenure stream faculty as well as instructors; recruitment; capital investments in teaching and research infrastructure; investments to support researchers; and expanding experiential learning opportunities.</t>
  </si>
  <si>
    <t>Priorities for central support services over the next few years include: new tools and initiatives to support high-impact practices in teaching and learning; investments to address information security risks; increasing capacity in student recruitment; enhancing student services; additional funding to support researchers and sustain research growth; funding to maintain the library’s acquisition and collection activities; and critical spending on deferred building maintenance and IT infrastructure evergreening.</t>
  </si>
  <si>
    <t>In addition to these institutional priorities, central contingenicies will provide support to RPCs by funding compensation and benefit increases as we exit Bill 124.</t>
  </si>
  <si>
    <t>Carleton University is pleased to present the operating budget for the 2024-25 academic year. This report describes the University’s current strategic context and fiscal environment, highlighting the key assumptions that underlie its long-term financial plan. This budget is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 These priorities provide institutional context for divisional academic planning, which, in turn, leads to investment in specific initiatives and activities throughout the University.</t>
  </si>
  <si>
    <t>Other financial pressures include the University’s deferred maintenance obligation which continues to grow; as well, our Enterprise Resource Planning system is nearing a point at which we will need to evaluate options for replacement.</t>
  </si>
  <si>
    <t>The University’s operating budget continues to be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t>
  </si>
  <si>
    <t>We plan to continue investing in strategically important programs such as the Bachelor of Nursing, Bachelor of Engineering (Mechatronics), Bachelor of Data Science, Bachelor of Cybersecurity, Bachelor of Accounting, Master of Biotechnology, and Master of Science in Clinical Trials in response to changes in societal needs and demands. Lastly, the University plans to allocate limited resources to continue support of our learning and research environments. After investment, the net base budget reduction is nearly $24 million.</t>
  </si>
  <si>
    <t>As shown in Section 3 of this report, the 2025-26 Operating Budget meets the objective set out by the Board of Governors that a budget be developed within the framework presented in November 2024.</t>
  </si>
  <si>
    <t>Class Binary</t>
  </si>
  <si>
    <t xml:space="preserve">no perceived resource dependence </t>
  </si>
  <si>
    <t>perceived resource dependence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</si>
</sst>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
      <sz val="11"/>
      <color rgb="FFFF0000"/>
      <name val="Calibri"/>
      <family val="2"/>
    </font>
    <font>
      <sz val="14"/>
      <color rgb="FF000000"/>
      <name val="-webkit-standard"/>
    </font>
    <font>
      <sz val="12"/>
      <color theme="1"/>
      <name val="Aptos Narrow"/>
      <scheme val="minor"/>
    </font>
    <font>
      <sz val="11"/>
      <color theme="1"/>
      <name val="FuturaStd"/>
    </font>
    <font>
      <sz val="7"/>
      <color theme="1"/>
      <name val="Calibri"/>
      <family val="2"/>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1" fillId="2" borderId="0" xfId="0" applyFont="1" applyFill="1" applyAlignment="1">
      <alignment horizontal="right"/>
    </xf>
    <xf numFmtId="0" fontId="0" fillId="2" borderId="0" xfId="0" applyFill="1" applyAlignment="1">
      <alignment horizontal="right"/>
    </xf>
    <xf numFmtId="0" fontId="4" fillId="0" borderId="0" xfId="0" applyFont="1"/>
    <xf numFmtId="0" fontId="14" fillId="0" borderId="0" xfId="0" applyFont="1"/>
    <xf numFmtId="0" fontId="14" fillId="0" borderId="0" xfId="0" applyFont="1" applyAlignment="1">
      <alignment shrinkToFit="1"/>
    </xf>
    <xf numFmtId="0" fontId="16" fillId="0" borderId="0" xfId="0" applyFont="1"/>
    <xf numFmtId="0" fontId="0" fillId="0" borderId="0" xfId="0" applyFill="1" applyAlignment="1">
      <alignment horizontal="right"/>
    </xf>
    <xf numFmtId="0" fontId="0" fillId="8" borderId="0" xfId="0" applyFill="1" applyAlignment="1">
      <alignment horizontal="right"/>
    </xf>
    <xf numFmtId="0" fontId="15"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645"/>
  <sheetViews>
    <sheetView tabSelected="1" zoomScaleNormal="100" workbookViewId="0">
      <selection activeCell="C633" sqref="C633"/>
    </sheetView>
  </sheetViews>
  <sheetFormatPr baseColWidth="10" defaultRowHeight="16"/>
  <cols>
    <col min="1" max="1" width="12.33203125" customWidth="1"/>
    <col min="2" max="2" width="16.33203125" customWidth="1"/>
    <col min="3" max="3" width="14.6640625" customWidth="1"/>
    <col min="4" max="5" width="15" style="13" hidden="1" customWidth="1"/>
    <col min="6" max="6" width="15" style="13" customWidth="1"/>
    <col min="7" max="7" width="15" style="21" customWidth="1"/>
    <col min="8" max="8" width="15" style="13" customWidth="1"/>
    <col min="9" max="9" width="10.83203125" customWidth="1"/>
    <col min="10" max="10" width="12" customWidth="1"/>
    <col min="11" max="11" width="18" customWidth="1"/>
    <col min="12" max="12" width="16.5" customWidth="1"/>
    <col min="13" max="13" width="10.83203125" customWidth="1"/>
    <col min="14" max="15" width="19" customWidth="1"/>
    <col min="16" max="16" width="12.5" customWidth="1"/>
    <col min="17" max="17" width="12.1640625" customWidth="1"/>
    <col min="18" max="18" width="12.5" customWidth="1"/>
    <col min="19" max="21" width="10.83203125" customWidth="1"/>
  </cols>
  <sheetData>
    <row r="1" spans="1:21">
      <c r="A1" s="2" t="s">
        <v>0</v>
      </c>
      <c r="B1" s="2" t="s">
        <v>1</v>
      </c>
      <c r="C1" s="5" t="s">
        <v>2</v>
      </c>
      <c r="D1" s="12" t="s">
        <v>412</v>
      </c>
      <c r="E1" s="12" t="s">
        <v>413</v>
      </c>
      <c r="F1" s="12" t="s">
        <v>393</v>
      </c>
      <c r="G1" s="20"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1">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1">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1">
        <v>0</v>
      </c>
      <c r="H4" s="13">
        <v>2</v>
      </c>
      <c r="I4" s="4">
        <v>3</v>
      </c>
      <c r="J4" s="4">
        <v>9</v>
      </c>
      <c r="K4" s="4" t="s">
        <v>11</v>
      </c>
      <c r="L4" s="4" t="s">
        <v>13</v>
      </c>
      <c r="M4" s="4">
        <v>2017</v>
      </c>
      <c r="N4" s="4">
        <v>1</v>
      </c>
      <c r="O4" s="4">
        <v>0</v>
      </c>
    </row>
    <row r="5" spans="1:21" ht="22" customHeight="1">
      <c r="A5" s="4" t="s">
        <v>9</v>
      </c>
      <c r="B5" s="4" t="s">
        <v>1027</v>
      </c>
      <c r="C5" s="6" t="s">
        <v>1200</v>
      </c>
      <c r="F5" s="13">
        <v>0</v>
      </c>
      <c r="I5" s="4"/>
      <c r="J5" s="4"/>
      <c r="K5" s="4"/>
      <c r="L5" s="4"/>
      <c r="M5" s="4"/>
      <c r="N5" s="4"/>
      <c r="O5" s="4"/>
    </row>
    <row r="6" spans="1:21" ht="22" customHeight="1">
      <c r="A6" s="4" t="s">
        <v>9</v>
      </c>
      <c r="B6" s="4" t="s">
        <v>1028</v>
      </c>
      <c r="C6" s="6" t="s">
        <v>1201</v>
      </c>
      <c r="F6" s="13">
        <v>0</v>
      </c>
      <c r="I6" s="4"/>
      <c r="J6" s="4"/>
      <c r="K6" s="4"/>
      <c r="L6" s="4"/>
      <c r="M6" s="4"/>
      <c r="N6" s="4"/>
      <c r="O6" s="4"/>
    </row>
    <row r="7" spans="1:21">
      <c r="A7" s="4" t="s">
        <v>9</v>
      </c>
      <c r="B7" s="4" t="s">
        <v>24</v>
      </c>
      <c r="C7" s="6" t="s">
        <v>19</v>
      </c>
      <c r="D7" s="13">
        <v>1</v>
      </c>
      <c r="E7" s="13" t="s">
        <v>399</v>
      </c>
      <c r="F7" s="13">
        <v>1</v>
      </c>
      <c r="G7" s="21">
        <v>0</v>
      </c>
      <c r="H7" s="13">
        <v>1</v>
      </c>
      <c r="I7" s="4">
        <v>6</v>
      </c>
      <c r="J7" s="4">
        <v>9</v>
      </c>
      <c r="K7" s="4" t="s">
        <v>11</v>
      </c>
      <c r="L7" s="4" t="s">
        <v>13</v>
      </c>
      <c r="M7" s="4">
        <v>2017</v>
      </c>
      <c r="N7" s="4">
        <v>1</v>
      </c>
      <c r="O7" s="4">
        <v>0</v>
      </c>
    </row>
    <row r="8" spans="1:21">
      <c r="A8" s="4" t="s">
        <v>9</v>
      </c>
      <c r="B8" s="4" t="s">
        <v>1029</v>
      </c>
      <c r="C8" s="6" t="s">
        <v>1202</v>
      </c>
      <c r="F8" s="13">
        <v>0</v>
      </c>
      <c r="I8" s="4"/>
      <c r="J8" s="4"/>
      <c r="K8" s="4"/>
      <c r="L8" s="4"/>
      <c r="M8" s="4"/>
      <c r="N8" s="4"/>
      <c r="O8" s="4"/>
    </row>
    <row r="9" spans="1:21">
      <c r="A9" s="4" t="s">
        <v>9</v>
      </c>
      <c r="B9" s="4" t="s">
        <v>25</v>
      </c>
      <c r="C9" s="6" t="s">
        <v>20</v>
      </c>
      <c r="D9" s="13">
        <v>1</v>
      </c>
      <c r="E9" s="13" t="s">
        <v>399</v>
      </c>
      <c r="F9" s="13">
        <v>1</v>
      </c>
      <c r="G9" s="21">
        <v>1</v>
      </c>
      <c r="H9" s="13">
        <v>2</v>
      </c>
      <c r="I9" s="4">
        <v>8</v>
      </c>
      <c r="J9" s="4">
        <v>9</v>
      </c>
      <c r="K9" s="4" t="s">
        <v>11</v>
      </c>
      <c r="L9" s="4" t="s">
        <v>13</v>
      </c>
      <c r="M9" s="4">
        <v>2017</v>
      </c>
      <c r="N9" s="4">
        <v>1</v>
      </c>
      <c r="O9" s="4">
        <v>0</v>
      </c>
    </row>
    <row r="10" spans="1:21">
      <c r="A10" s="4" t="s">
        <v>9</v>
      </c>
      <c r="B10" s="4" t="s">
        <v>26</v>
      </c>
      <c r="C10" s="6" t="s">
        <v>21</v>
      </c>
      <c r="D10" s="13">
        <v>0</v>
      </c>
      <c r="F10" s="13">
        <v>1</v>
      </c>
      <c r="G10" s="21">
        <v>0</v>
      </c>
      <c r="H10" s="13">
        <v>1</v>
      </c>
      <c r="I10" s="4">
        <v>9</v>
      </c>
      <c r="J10" s="4">
        <v>9</v>
      </c>
      <c r="K10" s="4" t="s">
        <v>11</v>
      </c>
      <c r="L10" s="4" t="s">
        <v>13</v>
      </c>
      <c r="M10" s="4">
        <v>2017</v>
      </c>
      <c r="N10" s="4">
        <v>1</v>
      </c>
      <c r="O10" s="4">
        <v>0</v>
      </c>
    </row>
    <row r="11" spans="1:21">
      <c r="A11" s="4" t="s">
        <v>8</v>
      </c>
      <c r="B11" s="4" t="s">
        <v>27</v>
      </c>
      <c r="C11" s="6" t="s">
        <v>28</v>
      </c>
      <c r="D11" s="13">
        <v>1</v>
      </c>
      <c r="E11" s="13" t="s">
        <v>395</v>
      </c>
      <c r="F11" s="13">
        <v>1</v>
      </c>
      <c r="G11" s="21">
        <v>1</v>
      </c>
      <c r="H11" s="13">
        <v>2</v>
      </c>
      <c r="I11" s="4">
        <v>1</v>
      </c>
      <c r="J11" s="4">
        <v>9</v>
      </c>
      <c r="K11" s="4" t="s">
        <v>11</v>
      </c>
      <c r="L11" s="4" t="s">
        <v>13</v>
      </c>
      <c r="M11" s="4">
        <v>2018</v>
      </c>
      <c r="N11" s="4">
        <v>1</v>
      </c>
      <c r="O11" s="4">
        <v>0</v>
      </c>
    </row>
    <row r="12" spans="1:21">
      <c r="A12" s="4" t="s">
        <v>8</v>
      </c>
      <c r="B12" s="4" t="s">
        <v>33</v>
      </c>
      <c r="C12" s="6" t="s">
        <v>29</v>
      </c>
      <c r="D12" s="13">
        <v>1</v>
      </c>
      <c r="E12" s="13" t="s">
        <v>399</v>
      </c>
      <c r="F12" s="13">
        <v>1</v>
      </c>
      <c r="G12" s="21">
        <v>1</v>
      </c>
      <c r="H12" s="13">
        <v>2</v>
      </c>
      <c r="I12" s="4">
        <v>2</v>
      </c>
      <c r="J12" s="4">
        <v>9</v>
      </c>
      <c r="K12" s="4" t="s">
        <v>11</v>
      </c>
      <c r="L12" s="4" t="s">
        <v>13</v>
      </c>
      <c r="M12" s="4">
        <v>2018</v>
      </c>
      <c r="N12" s="4">
        <v>1</v>
      </c>
      <c r="O12" s="4">
        <v>0</v>
      </c>
    </row>
    <row r="13" spans="1:21">
      <c r="A13" s="4" t="s">
        <v>8</v>
      </c>
      <c r="B13" s="4" t="s">
        <v>1030</v>
      </c>
      <c r="C13" s="6" t="s">
        <v>1203</v>
      </c>
      <c r="F13" s="13">
        <v>0</v>
      </c>
      <c r="I13" s="4"/>
      <c r="J13" s="4"/>
      <c r="K13" s="4"/>
      <c r="L13" s="4"/>
      <c r="M13" s="4"/>
      <c r="N13" s="4"/>
      <c r="O13" s="4"/>
    </row>
    <row r="14" spans="1:21">
      <c r="A14" s="4" t="s">
        <v>8</v>
      </c>
      <c r="B14" s="4" t="s">
        <v>1031</v>
      </c>
      <c r="C14" s="6" t="s">
        <v>1204</v>
      </c>
      <c r="F14" s="13">
        <v>0</v>
      </c>
      <c r="I14" s="4"/>
      <c r="J14" s="4"/>
      <c r="K14" s="4"/>
      <c r="L14" s="4"/>
      <c r="M14" s="4"/>
      <c r="N14" s="4"/>
      <c r="O14" s="4"/>
    </row>
    <row r="15" spans="1:21">
      <c r="A15" s="4" t="s">
        <v>8</v>
      </c>
      <c r="B15" s="4" t="s">
        <v>1032</v>
      </c>
      <c r="C15" s="6" t="s">
        <v>1205</v>
      </c>
      <c r="F15" s="13">
        <v>0</v>
      </c>
      <c r="I15" s="4"/>
      <c r="J15" s="4"/>
      <c r="K15" s="4"/>
      <c r="L15" s="4"/>
      <c r="M15" s="4"/>
      <c r="N15" s="4"/>
      <c r="O15" s="4"/>
    </row>
    <row r="16" spans="1:21">
      <c r="A16" s="4" t="s">
        <v>8</v>
      </c>
      <c r="B16" s="4" t="s">
        <v>34</v>
      </c>
      <c r="C16" s="6" t="s">
        <v>30</v>
      </c>
      <c r="D16" s="13">
        <v>1</v>
      </c>
      <c r="E16" s="13" t="s">
        <v>399</v>
      </c>
      <c r="F16" s="13">
        <v>1</v>
      </c>
      <c r="G16" s="21">
        <v>0</v>
      </c>
      <c r="H16" s="13">
        <v>1</v>
      </c>
      <c r="I16" s="4">
        <v>6</v>
      </c>
      <c r="J16" s="4">
        <v>9</v>
      </c>
      <c r="K16" s="4" t="s">
        <v>11</v>
      </c>
      <c r="L16" s="4" t="s">
        <v>13</v>
      </c>
      <c r="M16" s="4">
        <v>2018</v>
      </c>
      <c r="N16" s="4">
        <v>1</v>
      </c>
      <c r="O16" s="4">
        <v>0</v>
      </c>
    </row>
    <row r="17" spans="1:15">
      <c r="A17" s="4" t="s">
        <v>8</v>
      </c>
      <c r="B17" s="4" t="s">
        <v>35</v>
      </c>
      <c r="C17" s="6" t="s">
        <v>31</v>
      </c>
      <c r="D17" s="13">
        <v>1</v>
      </c>
      <c r="E17" s="13" t="s">
        <v>399</v>
      </c>
      <c r="F17" s="13">
        <v>1</v>
      </c>
      <c r="G17" s="21">
        <v>1</v>
      </c>
      <c r="H17" s="13">
        <v>2</v>
      </c>
      <c r="I17" s="4">
        <v>7</v>
      </c>
      <c r="J17" s="4">
        <v>9</v>
      </c>
      <c r="K17" s="4" t="s">
        <v>11</v>
      </c>
      <c r="L17" s="4" t="s">
        <v>13</v>
      </c>
      <c r="M17" s="4">
        <v>2018</v>
      </c>
      <c r="N17" s="4">
        <v>1</v>
      </c>
      <c r="O17" s="4">
        <v>0</v>
      </c>
    </row>
    <row r="18" spans="1:15">
      <c r="A18" s="4" t="s">
        <v>8</v>
      </c>
      <c r="B18" s="4" t="s">
        <v>1033</v>
      </c>
      <c r="C18" s="6" t="s">
        <v>1206</v>
      </c>
      <c r="F18" s="13">
        <v>0</v>
      </c>
      <c r="I18" s="4"/>
      <c r="J18" s="4"/>
      <c r="K18" s="4"/>
      <c r="L18" s="4"/>
      <c r="M18" s="4"/>
      <c r="N18" s="4"/>
      <c r="O18" s="4"/>
    </row>
    <row r="19" spans="1:15">
      <c r="A19" s="4" t="s">
        <v>8</v>
      </c>
      <c r="B19" s="4" t="s">
        <v>36</v>
      </c>
      <c r="C19" s="6" t="s">
        <v>32</v>
      </c>
      <c r="D19" s="13">
        <v>0</v>
      </c>
      <c r="F19" s="13">
        <v>1</v>
      </c>
      <c r="G19" s="21">
        <v>0</v>
      </c>
      <c r="H19" s="13">
        <v>1</v>
      </c>
      <c r="I19" s="4">
        <v>9</v>
      </c>
      <c r="J19" s="4">
        <v>9</v>
      </c>
      <c r="K19" s="4" t="s">
        <v>11</v>
      </c>
      <c r="L19" s="4" t="s">
        <v>13</v>
      </c>
      <c r="M19" s="4">
        <v>2018</v>
      </c>
      <c r="N19" s="4">
        <v>1</v>
      </c>
      <c r="O19" s="4">
        <v>0</v>
      </c>
    </row>
    <row r="20" spans="1:15">
      <c r="A20" s="4" t="s">
        <v>7</v>
      </c>
      <c r="B20" s="4" t="s">
        <v>37</v>
      </c>
      <c r="C20" s="7" t="s">
        <v>39</v>
      </c>
      <c r="D20" s="13">
        <v>1</v>
      </c>
      <c r="E20" s="13" t="s">
        <v>395</v>
      </c>
      <c r="F20" s="13">
        <v>1</v>
      </c>
      <c r="G20" s="21">
        <v>1</v>
      </c>
      <c r="H20" s="13">
        <v>2</v>
      </c>
      <c r="I20" s="4">
        <v>1</v>
      </c>
      <c r="J20" s="4">
        <v>7</v>
      </c>
      <c r="K20" s="4" t="s">
        <v>11</v>
      </c>
      <c r="L20" s="4" t="s">
        <v>13</v>
      </c>
      <c r="M20" s="4">
        <v>2019</v>
      </c>
      <c r="N20" s="4">
        <v>1</v>
      </c>
      <c r="O20" s="4">
        <v>1</v>
      </c>
    </row>
    <row r="21" spans="1:15">
      <c r="A21" s="4" t="s">
        <v>7</v>
      </c>
      <c r="B21" s="4" t="s">
        <v>44</v>
      </c>
      <c r="C21" s="7" t="s">
        <v>40</v>
      </c>
      <c r="D21" s="13">
        <v>1</v>
      </c>
      <c r="E21" s="13" t="s">
        <v>399</v>
      </c>
      <c r="F21" s="13">
        <v>1</v>
      </c>
      <c r="G21" s="21">
        <v>1</v>
      </c>
      <c r="H21" s="13">
        <v>2</v>
      </c>
      <c r="I21" s="4">
        <v>2</v>
      </c>
      <c r="J21" s="4">
        <v>7</v>
      </c>
      <c r="K21" s="4" t="s">
        <v>11</v>
      </c>
      <c r="L21" s="4" t="s">
        <v>13</v>
      </c>
      <c r="M21" s="4">
        <v>2019</v>
      </c>
      <c r="N21" s="4">
        <v>1</v>
      </c>
      <c r="O21" s="4">
        <v>1</v>
      </c>
    </row>
    <row r="22" spans="1:15">
      <c r="A22" s="4" t="s">
        <v>7</v>
      </c>
      <c r="B22" s="4" t="s">
        <v>1034</v>
      </c>
      <c r="C22" s="7" t="s">
        <v>1207</v>
      </c>
      <c r="F22" s="13">
        <v>0</v>
      </c>
      <c r="I22" s="4"/>
      <c r="J22" s="4"/>
      <c r="K22" s="4"/>
      <c r="L22" s="4"/>
      <c r="M22" s="4"/>
      <c r="N22" s="4"/>
      <c r="O22" s="4"/>
    </row>
    <row r="23" spans="1:15">
      <c r="A23" s="4" t="s">
        <v>7</v>
      </c>
      <c r="B23" s="4" t="s">
        <v>1035</v>
      </c>
      <c r="C23" s="7" t="s">
        <v>1208</v>
      </c>
      <c r="F23" s="13">
        <v>0</v>
      </c>
      <c r="I23" s="4"/>
      <c r="J23" s="4"/>
      <c r="K23" s="4"/>
      <c r="L23" s="4"/>
      <c r="M23" s="4"/>
      <c r="N23" s="4"/>
      <c r="O23" s="4"/>
    </row>
    <row r="24" spans="1:15">
      <c r="A24" s="4" t="s">
        <v>7</v>
      </c>
      <c r="B24" s="4" t="s">
        <v>45</v>
      </c>
      <c r="C24" s="8" t="s">
        <v>41</v>
      </c>
      <c r="D24" s="13">
        <v>1</v>
      </c>
      <c r="E24" s="13" t="s">
        <v>399</v>
      </c>
      <c r="F24" s="13">
        <v>1</v>
      </c>
      <c r="G24" s="21">
        <v>0</v>
      </c>
      <c r="H24" s="13">
        <v>1</v>
      </c>
      <c r="I24" s="4">
        <v>5</v>
      </c>
      <c r="J24" s="4">
        <v>7</v>
      </c>
      <c r="K24" s="4" t="s">
        <v>11</v>
      </c>
      <c r="L24" s="4" t="s">
        <v>13</v>
      </c>
      <c r="M24" s="4">
        <v>2019</v>
      </c>
      <c r="N24" s="4">
        <v>1</v>
      </c>
      <c r="O24" s="4">
        <v>1</v>
      </c>
    </row>
    <row r="25" spans="1:15">
      <c r="A25" s="4" t="s">
        <v>7</v>
      </c>
      <c r="B25" s="4" t="s">
        <v>46</v>
      </c>
      <c r="C25" s="8" t="s">
        <v>42</v>
      </c>
      <c r="D25" s="13">
        <v>1</v>
      </c>
      <c r="E25" s="13" t="s">
        <v>399</v>
      </c>
      <c r="F25" s="13">
        <v>1</v>
      </c>
      <c r="G25" s="21">
        <v>0</v>
      </c>
      <c r="H25" s="13">
        <v>2</v>
      </c>
      <c r="I25" s="4">
        <v>6</v>
      </c>
      <c r="J25" s="4">
        <v>7</v>
      </c>
      <c r="K25" s="4" t="s">
        <v>11</v>
      </c>
      <c r="L25" s="4" t="s">
        <v>13</v>
      </c>
      <c r="M25" s="4">
        <v>2019</v>
      </c>
      <c r="N25" s="4">
        <v>1</v>
      </c>
      <c r="O25" s="4">
        <v>1</v>
      </c>
    </row>
    <row r="26" spans="1:15">
      <c r="A26" s="4" t="s">
        <v>7</v>
      </c>
      <c r="B26" s="4" t="s">
        <v>47</v>
      </c>
      <c r="C26" s="8" t="s">
        <v>43</v>
      </c>
      <c r="D26" s="13">
        <v>0</v>
      </c>
      <c r="F26" s="13">
        <v>1</v>
      </c>
      <c r="G26" s="21">
        <v>0</v>
      </c>
      <c r="H26" s="13">
        <v>1</v>
      </c>
      <c r="I26" s="4">
        <v>7</v>
      </c>
      <c r="J26" s="4">
        <v>7</v>
      </c>
      <c r="K26" s="4" t="s">
        <v>11</v>
      </c>
      <c r="L26" s="4" t="s">
        <v>13</v>
      </c>
      <c r="M26" s="4">
        <v>2019</v>
      </c>
      <c r="N26" s="4">
        <v>1</v>
      </c>
      <c r="O26" s="4">
        <v>1</v>
      </c>
    </row>
    <row r="27" spans="1:15">
      <c r="A27" s="4" t="s">
        <v>38</v>
      </c>
      <c r="B27" s="4" t="s">
        <v>1036</v>
      </c>
      <c r="C27" s="8" t="s">
        <v>1209</v>
      </c>
      <c r="F27" s="13">
        <v>0</v>
      </c>
      <c r="I27" s="4"/>
      <c r="J27" s="4"/>
      <c r="K27" s="4"/>
      <c r="L27" s="4"/>
      <c r="M27" s="4"/>
      <c r="N27" s="4"/>
      <c r="O27" s="4"/>
    </row>
    <row r="28" spans="1:15">
      <c r="A28" s="4" t="s">
        <v>38</v>
      </c>
      <c r="B28" s="4" t="s">
        <v>1037</v>
      </c>
      <c r="C28" s="8" t="s">
        <v>1210</v>
      </c>
      <c r="F28" s="13">
        <v>0</v>
      </c>
      <c r="I28" s="4"/>
      <c r="J28" s="4"/>
      <c r="K28" s="4"/>
      <c r="L28" s="4"/>
      <c r="M28" s="4"/>
      <c r="N28" s="4"/>
      <c r="O28" s="4"/>
    </row>
    <row r="29" spans="1:15">
      <c r="A29" s="4" t="s">
        <v>38</v>
      </c>
      <c r="B29" s="4" t="s">
        <v>1038</v>
      </c>
      <c r="C29" s="8" t="s">
        <v>1211</v>
      </c>
      <c r="F29" s="13">
        <v>0</v>
      </c>
      <c r="I29" s="4"/>
      <c r="J29" s="4"/>
      <c r="K29" s="4"/>
      <c r="L29" s="4"/>
      <c r="M29" s="4"/>
      <c r="N29" s="4"/>
      <c r="O29" s="4"/>
    </row>
    <row r="30" spans="1:15">
      <c r="A30" s="4" t="s">
        <v>38</v>
      </c>
      <c r="B30" s="4" t="s">
        <v>1039</v>
      </c>
      <c r="C30" s="8" t="s">
        <v>1212</v>
      </c>
      <c r="F30" s="13">
        <v>0</v>
      </c>
      <c r="I30" s="4"/>
      <c r="J30" s="4"/>
      <c r="K30" s="4"/>
      <c r="L30" s="4"/>
      <c r="M30" s="4"/>
      <c r="N30" s="4"/>
      <c r="O30" s="4"/>
    </row>
    <row r="31" spans="1:15">
      <c r="A31" s="4" t="s">
        <v>38</v>
      </c>
      <c r="B31" s="4" t="s">
        <v>52</v>
      </c>
      <c r="C31" s="8" t="s">
        <v>48</v>
      </c>
      <c r="D31" s="13">
        <v>1</v>
      </c>
      <c r="E31" s="13" t="s">
        <v>395</v>
      </c>
      <c r="F31" s="13">
        <v>1</v>
      </c>
      <c r="G31" s="21">
        <v>1</v>
      </c>
      <c r="H31" s="13">
        <v>2</v>
      </c>
      <c r="I31" s="4">
        <v>5</v>
      </c>
      <c r="J31" s="4">
        <v>10</v>
      </c>
      <c r="K31" s="4" t="s">
        <v>11</v>
      </c>
      <c r="L31" s="4" t="s">
        <v>13</v>
      </c>
      <c r="M31" s="4">
        <v>2020</v>
      </c>
      <c r="N31" s="4">
        <v>1</v>
      </c>
      <c r="O31" s="4">
        <v>1</v>
      </c>
    </row>
    <row r="32" spans="1:15">
      <c r="A32" s="4" t="s">
        <v>38</v>
      </c>
      <c r="B32" s="4" t="s">
        <v>53</v>
      </c>
      <c r="C32" s="8" t="s">
        <v>49</v>
      </c>
      <c r="D32" s="13">
        <v>1</v>
      </c>
      <c r="E32" s="13" t="s">
        <v>399</v>
      </c>
      <c r="F32" s="13">
        <v>1</v>
      </c>
      <c r="G32" s="21">
        <v>1</v>
      </c>
      <c r="H32" s="13">
        <v>2</v>
      </c>
      <c r="I32" s="4">
        <v>6</v>
      </c>
      <c r="J32" s="4">
        <v>10</v>
      </c>
      <c r="K32" s="4" t="s">
        <v>11</v>
      </c>
      <c r="L32" s="4" t="s">
        <v>13</v>
      </c>
      <c r="M32" s="4">
        <v>2020</v>
      </c>
      <c r="N32" s="4">
        <v>1</v>
      </c>
      <c r="O32" s="4">
        <v>1</v>
      </c>
    </row>
    <row r="33" spans="1:15">
      <c r="A33" s="4" t="s">
        <v>38</v>
      </c>
      <c r="B33" s="4" t="s">
        <v>1040</v>
      </c>
      <c r="C33" s="8" t="s">
        <v>1213</v>
      </c>
      <c r="F33" s="13">
        <v>0</v>
      </c>
      <c r="I33" s="4"/>
      <c r="J33" s="4"/>
      <c r="K33" s="4"/>
      <c r="L33" s="4"/>
      <c r="M33" s="4"/>
      <c r="N33" s="4"/>
      <c r="O33" s="4"/>
    </row>
    <row r="34" spans="1:15">
      <c r="A34" s="4" t="s">
        <v>38</v>
      </c>
      <c r="B34" s="4" t="s">
        <v>54</v>
      </c>
      <c r="C34" s="8" t="s">
        <v>269</v>
      </c>
      <c r="D34" s="13">
        <v>1</v>
      </c>
      <c r="E34" s="13" t="s">
        <v>395</v>
      </c>
      <c r="F34" s="13">
        <v>1</v>
      </c>
      <c r="G34" s="21">
        <v>0</v>
      </c>
      <c r="H34" s="13">
        <v>2</v>
      </c>
      <c r="I34" s="4">
        <v>8</v>
      </c>
      <c r="J34" s="4">
        <v>10</v>
      </c>
      <c r="K34" s="4" t="s">
        <v>11</v>
      </c>
      <c r="L34" s="4" t="s">
        <v>13</v>
      </c>
      <c r="M34" s="4">
        <v>2020</v>
      </c>
      <c r="N34" s="4">
        <v>1</v>
      </c>
      <c r="O34" s="4">
        <v>1</v>
      </c>
    </row>
    <row r="35" spans="1:15">
      <c r="A35" s="4" t="s">
        <v>38</v>
      </c>
      <c r="B35" s="4" t="s">
        <v>55</v>
      </c>
      <c r="C35" s="8" t="s">
        <v>50</v>
      </c>
      <c r="D35" s="13">
        <v>1</v>
      </c>
      <c r="E35" s="13" t="s">
        <v>399</v>
      </c>
      <c r="F35" s="13">
        <v>1</v>
      </c>
      <c r="G35" s="21">
        <v>0</v>
      </c>
      <c r="H35" s="13">
        <v>1</v>
      </c>
      <c r="I35" s="4">
        <v>9</v>
      </c>
      <c r="J35" s="4">
        <v>10</v>
      </c>
      <c r="K35" s="4" t="s">
        <v>11</v>
      </c>
      <c r="L35" s="4" t="s">
        <v>13</v>
      </c>
      <c r="M35" s="4">
        <v>2020</v>
      </c>
      <c r="N35" s="4">
        <v>1</v>
      </c>
      <c r="O35" s="4">
        <v>1</v>
      </c>
    </row>
    <row r="36" spans="1:15">
      <c r="A36" s="4" t="s">
        <v>38</v>
      </c>
      <c r="B36" s="4" t="s">
        <v>268</v>
      </c>
      <c r="C36" s="8" t="s">
        <v>51</v>
      </c>
      <c r="D36" s="13">
        <v>1</v>
      </c>
      <c r="E36" s="13" t="s">
        <v>399</v>
      </c>
      <c r="F36" s="13">
        <v>1</v>
      </c>
      <c r="G36" s="21">
        <v>0</v>
      </c>
      <c r="H36" s="13">
        <v>2</v>
      </c>
      <c r="I36" s="4">
        <v>10</v>
      </c>
      <c r="J36" s="4">
        <v>10</v>
      </c>
      <c r="K36" s="4" t="s">
        <v>11</v>
      </c>
      <c r="L36" s="4" t="s">
        <v>13</v>
      </c>
      <c r="M36" s="4">
        <v>2020</v>
      </c>
      <c r="N36" s="4">
        <v>1</v>
      </c>
      <c r="O36" s="4">
        <v>1</v>
      </c>
    </row>
    <row r="37" spans="1:15">
      <c r="A37" s="4" t="s">
        <v>56</v>
      </c>
      <c r="B37" s="4" t="s">
        <v>57</v>
      </c>
      <c r="C37" s="8" t="s">
        <v>58</v>
      </c>
      <c r="D37" s="13">
        <v>1</v>
      </c>
      <c r="E37" s="13" t="s">
        <v>395</v>
      </c>
      <c r="F37" s="13">
        <v>1</v>
      </c>
      <c r="G37" s="21">
        <v>1</v>
      </c>
      <c r="H37" s="13">
        <v>2</v>
      </c>
      <c r="I37" s="4">
        <v>1</v>
      </c>
      <c r="J37" s="4">
        <v>6</v>
      </c>
      <c r="K37" s="4" t="s">
        <v>11</v>
      </c>
      <c r="L37" s="4" t="s">
        <v>13</v>
      </c>
      <c r="M37" s="4">
        <v>2021</v>
      </c>
      <c r="N37" s="4">
        <v>1</v>
      </c>
      <c r="O37" s="4">
        <v>1</v>
      </c>
    </row>
    <row r="38" spans="1:15">
      <c r="A38" s="4" t="s">
        <v>56</v>
      </c>
      <c r="B38" s="4" t="s">
        <v>61</v>
      </c>
      <c r="C38" s="8" t="s">
        <v>49</v>
      </c>
      <c r="D38" s="13">
        <v>1</v>
      </c>
      <c r="E38" s="13" t="s">
        <v>399</v>
      </c>
      <c r="F38" s="13">
        <v>1</v>
      </c>
      <c r="G38" s="21">
        <v>1</v>
      </c>
      <c r="H38" s="13">
        <v>2</v>
      </c>
      <c r="I38" s="4">
        <v>2</v>
      </c>
      <c r="J38" s="4">
        <v>6</v>
      </c>
      <c r="K38" s="4" t="s">
        <v>11</v>
      </c>
      <c r="L38" s="4" t="s">
        <v>13</v>
      </c>
      <c r="M38" s="4">
        <v>2021</v>
      </c>
      <c r="N38" s="4">
        <v>1</v>
      </c>
      <c r="O38" s="4">
        <v>1</v>
      </c>
    </row>
    <row r="39" spans="1:15">
      <c r="A39" s="4" t="s">
        <v>56</v>
      </c>
      <c r="B39" s="4" t="s">
        <v>1041</v>
      </c>
      <c r="C39" s="9" t="s">
        <v>1214</v>
      </c>
      <c r="F39" s="13">
        <v>0</v>
      </c>
      <c r="I39" s="4"/>
      <c r="J39" s="4"/>
      <c r="K39" s="4"/>
      <c r="L39" s="4"/>
      <c r="M39" s="4"/>
      <c r="N39" s="4"/>
      <c r="O39" s="4"/>
    </row>
    <row r="40" spans="1:15">
      <c r="A40" s="4" t="s">
        <v>56</v>
      </c>
      <c r="B40" s="4" t="s">
        <v>62</v>
      </c>
      <c r="C40" s="9" t="s">
        <v>59</v>
      </c>
      <c r="D40" s="13">
        <v>1</v>
      </c>
      <c r="E40" s="13" t="s">
        <v>395</v>
      </c>
      <c r="F40" s="13">
        <v>1</v>
      </c>
      <c r="G40" s="21">
        <v>1</v>
      </c>
      <c r="H40" s="13">
        <v>2</v>
      </c>
      <c r="I40" s="4">
        <v>4</v>
      </c>
      <c r="J40" s="4">
        <v>6</v>
      </c>
      <c r="K40" s="4" t="s">
        <v>11</v>
      </c>
      <c r="L40" s="4" t="s">
        <v>13</v>
      </c>
      <c r="M40" s="4">
        <v>2021</v>
      </c>
      <c r="N40" s="4">
        <v>1</v>
      </c>
      <c r="O40" s="4">
        <v>1</v>
      </c>
    </row>
    <row r="41" spans="1:15">
      <c r="A41" s="4" t="s">
        <v>56</v>
      </c>
      <c r="B41" s="4" t="s">
        <v>63</v>
      </c>
      <c r="C41" s="9" t="s">
        <v>60</v>
      </c>
      <c r="D41" s="13">
        <v>1</v>
      </c>
      <c r="E41" s="13" t="s">
        <v>399</v>
      </c>
      <c r="F41" s="13">
        <v>1</v>
      </c>
      <c r="G41" s="21">
        <v>0</v>
      </c>
      <c r="H41" s="13">
        <v>1</v>
      </c>
      <c r="I41" s="4">
        <v>5</v>
      </c>
      <c r="J41" s="4">
        <v>6</v>
      </c>
      <c r="K41" s="4" t="s">
        <v>11</v>
      </c>
      <c r="L41" s="4" t="s">
        <v>13</v>
      </c>
      <c r="M41" s="4">
        <v>2021</v>
      </c>
      <c r="N41" s="4">
        <v>1</v>
      </c>
      <c r="O41" s="4">
        <v>1</v>
      </c>
    </row>
    <row r="42" spans="1:15">
      <c r="A42" s="4" t="s">
        <v>56</v>
      </c>
      <c r="B42" s="4" t="s">
        <v>1042</v>
      </c>
      <c r="C42" s="9" t="s">
        <v>1215</v>
      </c>
      <c r="F42" s="13">
        <v>0</v>
      </c>
      <c r="I42" s="4"/>
      <c r="J42" s="4"/>
      <c r="K42" s="4"/>
      <c r="L42" s="4"/>
      <c r="M42" s="4"/>
      <c r="N42" s="4"/>
      <c r="O42" s="4"/>
    </row>
    <row r="43" spans="1:15">
      <c r="A43" s="4" t="s">
        <v>64</v>
      </c>
      <c r="B43" s="4" t="s">
        <v>65</v>
      </c>
      <c r="C43" s="9" t="s">
        <v>58</v>
      </c>
      <c r="D43" s="13">
        <v>1</v>
      </c>
      <c r="E43" s="13" t="s">
        <v>395</v>
      </c>
      <c r="F43" s="13">
        <v>1</v>
      </c>
      <c r="G43" s="21">
        <v>1</v>
      </c>
      <c r="H43" s="13">
        <v>2</v>
      </c>
      <c r="I43" s="4">
        <v>1</v>
      </c>
      <c r="J43" s="4">
        <v>7</v>
      </c>
      <c r="K43" s="4" t="s">
        <v>11</v>
      </c>
      <c r="L43" s="4" t="s">
        <v>13</v>
      </c>
      <c r="M43" s="4">
        <v>2022</v>
      </c>
      <c r="N43" s="4">
        <v>1</v>
      </c>
      <c r="O43" s="4">
        <v>1</v>
      </c>
    </row>
    <row r="44" spans="1:15">
      <c r="A44" s="4" t="s">
        <v>64</v>
      </c>
      <c r="B44" s="4" t="s">
        <v>71</v>
      </c>
      <c r="C44" s="9" t="s">
        <v>49</v>
      </c>
      <c r="D44" s="13">
        <v>1</v>
      </c>
      <c r="E44" s="13" t="s">
        <v>399</v>
      </c>
      <c r="F44" s="13">
        <v>1</v>
      </c>
      <c r="G44" s="21">
        <v>1</v>
      </c>
      <c r="H44" s="13">
        <v>2</v>
      </c>
      <c r="I44" s="4">
        <v>2</v>
      </c>
      <c r="J44" s="4">
        <v>7</v>
      </c>
      <c r="K44" s="4" t="s">
        <v>11</v>
      </c>
      <c r="L44" s="4" t="s">
        <v>13</v>
      </c>
      <c r="M44" s="4">
        <v>2022</v>
      </c>
      <c r="N44" s="4">
        <v>1</v>
      </c>
      <c r="O44" s="4">
        <v>1</v>
      </c>
    </row>
    <row r="45" spans="1:15">
      <c r="A45" s="4" t="s">
        <v>64</v>
      </c>
      <c r="B45" s="4" t="s">
        <v>72</v>
      </c>
      <c r="C45" s="9" t="s">
        <v>66</v>
      </c>
      <c r="D45" s="13">
        <v>1</v>
      </c>
      <c r="E45" s="13" t="s">
        <v>399</v>
      </c>
      <c r="F45" s="13">
        <v>1</v>
      </c>
      <c r="G45" s="21">
        <v>1</v>
      </c>
      <c r="H45" s="13">
        <v>2</v>
      </c>
      <c r="I45" s="4">
        <v>3</v>
      </c>
      <c r="J45" s="4">
        <v>7</v>
      </c>
      <c r="K45" s="4" t="s">
        <v>11</v>
      </c>
      <c r="L45" s="4" t="s">
        <v>13</v>
      </c>
      <c r="M45" s="4">
        <v>2022</v>
      </c>
      <c r="N45" s="4">
        <v>1</v>
      </c>
      <c r="O45" s="4">
        <v>1</v>
      </c>
    </row>
    <row r="46" spans="1:15">
      <c r="A46" s="4" t="s">
        <v>64</v>
      </c>
      <c r="B46" s="4" t="s">
        <v>73</v>
      </c>
      <c r="C46" s="9" t="s">
        <v>67</v>
      </c>
      <c r="D46" s="13">
        <v>1</v>
      </c>
      <c r="E46" s="13" t="s">
        <v>399</v>
      </c>
      <c r="F46" s="13">
        <v>1</v>
      </c>
      <c r="G46" s="21">
        <v>0</v>
      </c>
      <c r="H46" s="13">
        <v>2</v>
      </c>
      <c r="I46" s="4">
        <v>4</v>
      </c>
      <c r="J46" s="4">
        <v>7</v>
      </c>
      <c r="K46" s="4" t="s">
        <v>11</v>
      </c>
      <c r="L46" s="4" t="s">
        <v>13</v>
      </c>
      <c r="M46" s="4">
        <v>2022</v>
      </c>
      <c r="N46" s="4">
        <v>1</v>
      </c>
      <c r="O46" s="4">
        <v>1</v>
      </c>
    </row>
    <row r="47" spans="1:15">
      <c r="A47" s="4" t="s">
        <v>64</v>
      </c>
      <c r="B47" s="4" t="s">
        <v>74</v>
      </c>
      <c r="C47" s="9" t="s">
        <v>68</v>
      </c>
      <c r="D47" s="13">
        <v>1</v>
      </c>
      <c r="E47" s="13" t="s">
        <v>397</v>
      </c>
      <c r="F47" s="13">
        <v>1</v>
      </c>
      <c r="G47" s="21">
        <v>0</v>
      </c>
      <c r="H47" s="13">
        <v>2</v>
      </c>
      <c r="I47" s="4">
        <v>5</v>
      </c>
      <c r="J47" s="4">
        <v>7</v>
      </c>
      <c r="K47" s="4" t="s">
        <v>11</v>
      </c>
      <c r="L47" s="4" t="s">
        <v>13</v>
      </c>
      <c r="M47" s="4">
        <v>2022</v>
      </c>
      <c r="N47" s="4">
        <v>1</v>
      </c>
      <c r="O47" s="4">
        <v>1</v>
      </c>
    </row>
    <row r="48" spans="1:15">
      <c r="A48" s="4" t="s">
        <v>64</v>
      </c>
      <c r="B48" s="4" t="s">
        <v>75</v>
      </c>
      <c r="C48" s="9" t="s">
        <v>69</v>
      </c>
      <c r="D48" s="13">
        <v>1</v>
      </c>
      <c r="E48" s="13" t="s">
        <v>399</v>
      </c>
      <c r="F48" s="13">
        <v>1</v>
      </c>
      <c r="G48" s="21">
        <v>0</v>
      </c>
      <c r="H48" s="13">
        <v>1</v>
      </c>
      <c r="I48" s="4">
        <v>6</v>
      </c>
      <c r="J48" s="4">
        <v>7</v>
      </c>
      <c r="K48" s="4" t="s">
        <v>11</v>
      </c>
      <c r="L48" s="4" t="s">
        <v>13</v>
      </c>
      <c r="M48" s="4">
        <v>2022</v>
      </c>
      <c r="N48" s="4">
        <v>1</v>
      </c>
      <c r="O48" s="4">
        <v>1</v>
      </c>
    </row>
    <row r="49" spans="1:15">
      <c r="A49" s="4" t="s">
        <v>64</v>
      </c>
      <c r="B49" s="4" t="s">
        <v>76</v>
      </c>
      <c r="C49" s="9" t="s">
        <v>70</v>
      </c>
      <c r="D49" s="13">
        <v>1</v>
      </c>
      <c r="E49" s="13" t="s">
        <v>399</v>
      </c>
      <c r="F49" s="13">
        <v>1</v>
      </c>
      <c r="G49" s="21">
        <v>1</v>
      </c>
      <c r="H49" s="13">
        <v>2</v>
      </c>
      <c r="I49" s="4">
        <v>7</v>
      </c>
      <c r="J49" s="4">
        <v>7</v>
      </c>
      <c r="K49" s="4" t="s">
        <v>11</v>
      </c>
      <c r="L49" s="4" t="s">
        <v>13</v>
      </c>
      <c r="M49" s="4">
        <v>2022</v>
      </c>
      <c r="N49" s="4">
        <v>1</v>
      </c>
      <c r="O49" s="4">
        <v>1</v>
      </c>
    </row>
    <row r="50" spans="1:15">
      <c r="A50" s="4" t="s">
        <v>77</v>
      </c>
      <c r="B50" s="4" t="s">
        <v>78</v>
      </c>
      <c r="C50" s="9" t="s">
        <v>79</v>
      </c>
      <c r="D50" s="13">
        <v>1</v>
      </c>
      <c r="E50" s="13" t="s">
        <v>395</v>
      </c>
      <c r="F50" s="13">
        <v>1</v>
      </c>
      <c r="G50" s="21">
        <v>1</v>
      </c>
      <c r="H50" s="13">
        <v>2</v>
      </c>
      <c r="I50" s="4">
        <v>1</v>
      </c>
      <c r="J50" s="4">
        <v>8</v>
      </c>
      <c r="K50" s="4" t="s">
        <v>11</v>
      </c>
      <c r="L50" s="4" t="s">
        <v>13</v>
      </c>
      <c r="M50" s="4">
        <v>2023</v>
      </c>
      <c r="N50" s="4">
        <v>1</v>
      </c>
      <c r="O50" s="4">
        <v>1</v>
      </c>
    </row>
    <row r="51" spans="1:15">
      <c r="A51" s="4" t="s">
        <v>77</v>
      </c>
      <c r="B51" s="4" t="s">
        <v>86</v>
      </c>
      <c r="C51" s="9" t="s">
        <v>80</v>
      </c>
      <c r="D51" s="13">
        <v>1</v>
      </c>
      <c r="E51" s="13" t="s">
        <v>399</v>
      </c>
      <c r="F51" s="13">
        <v>1</v>
      </c>
      <c r="G51" s="21">
        <v>1</v>
      </c>
      <c r="H51" s="13">
        <v>2</v>
      </c>
      <c r="I51" s="4">
        <v>2</v>
      </c>
      <c r="J51" s="4">
        <v>8</v>
      </c>
      <c r="K51" s="4" t="s">
        <v>11</v>
      </c>
      <c r="L51" s="4" t="s">
        <v>13</v>
      </c>
      <c r="M51" s="4">
        <v>2023</v>
      </c>
      <c r="N51" s="4">
        <v>1</v>
      </c>
      <c r="O51" s="4">
        <v>1</v>
      </c>
    </row>
    <row r="52" spans="1:15">
      <c r="A52" s="4" t="s">
        <v>77</v>
      </c>
      <c r="B52" s="4" t="s">
        <v>87</v>
      </c>
      <c r="C52" s="9" t="s">
        <v>81</v>
      </c>
      <c r="D52" s="13">
        <v>1</v>
      </c>
      <c r="E52" s="13" t="s">
        <v>399</v>
      </c>
      <c r="F52" s="13">
        <v>1</v>
      </c>
      <c r="G52" s="21">
        <v>0</v>
      </c>
      <c r="H52" s="13">
        <v>2</v>
      </c>
      <c r="I52" s="4">
        <v>3</v>
      </c>
      <c r="J52" s="4">
        <v>8</v>
      </c>
      <c r="K52" s="4" t="s">
        <v>11</v>
      </c>
      <c r="L52" s="4" t="s">
        <v>13</v>
      </c>
      <c r="M52" s="4">
        <v>2023</v>
      </c>
      <c r="N52" s="4">
        <v>1</v>
      </c>
      <c r="O52" s="4">
        <v>1</v>
      </c>
    </row>
    <row r="53" spans="1:15">
      <c r="A53" s="4" t="s">
        <v>77</v>
      </c>
      <c r="B53" s="4" t="s">
        <v>88</v>
      </c>
      <c r="C53" s="9" t="s">
        <v>82</v>
      </c>
      <c r="D53" s="13">
        <v>1</v>
      </c>
      <c r="E53" s="13" t="s">
        <v>399</v>
      </c>
      <c r="F53" s="13">
        <v>1</v>
      </c>
      <c r="G53" s="21">
        <v>1</v>
      </c>
      <c r="H53" s="13">
        <v>2</v>
      </c>
      <c r="I53" s="4">
        <v>4</v>
      </c>
      <c r="J53" s="4">
        <v>8</v>
      </c>
      <c r="K53" s="4" t="s">
        <v>11</v>
      </c>
      <c r="L53" s="4" t="s">
        <v>13</v>
      </c>
      <c r="M53" s="4">
        <v>2023</v>
      </c>
      <c r="N53" s="4">
        <v>1</v>
      </c>
      <c r="O53" s="4">
        <v>1</v>
      </c>
    </row>
    <row r="54" spans="1:15">
      <c r="A54" s="4" t="s">
        <v>77</v>
      </c>
      <c r="B54" s="4" t="s">
        <v>89</v>
      </c>
      <c r="C54" s="9" t="s">
        <v>83</v>
      </c>
      <c r="D54" s="13">
        <v>1</v>
      </c>
      <c r="E54" s="13" t="s">
        <v>399</v>
      </c>
      <c r="F54" s="13">
        <v>1</v>
      </c>
      <c r="G54" s="21">
        <v>0</v>
      </c>
      <c r="H54" s="13">
        <v>2</v>
      </c>
      <c r="I54" s="4">
        <v>5</v>
      </c>
      <c r="J54" s="4">
        <v>8</v>
      </c>
      <c r="K54" s="4" t="s">
        <v>11</v>
      </c>
      <c r="L54" s="4" t="s">
        <v>13</v>
      </c>
      <c r="M54" s="4">
        <v>2023</v>
      </c>
      <c r="N54" s="4">
        <v>1</v>
      </c>
      <c r="O54" s="4">
        <v>1</v>
      </c>
    </row>
    <row r="55" spans="1:15">
      <c r="A55" s="4" t="s">
        <v>77</v>
      </c>
      <c r="B55" s="4" t="s">
        <v>1043</v>
      </c>
      <c r="C55" s="9" t="s">
        <v>1216</v>
      </c>
      <c r="F55" s="13">
        <v>0</v>
      </c>
      <c r="I55" s="4"/>
      <c r="J55" s="4"/>
      <c r="K55" s="4"/>
      <c r="L55" s="4"/>
      <c r="M55" s="4"/>
      <c r="N55" s="4"/>
      <c r="O55" s="4"/>
    </row>
    <row r="56" spans="1:15">
      <c r="A56" s="4" t="s">
        <v>77</v>
      </c>
      <c r="B56" s="4" t="s">
        <v>90</v>
      </c>
      <c r="C56" s="9" t="s">
        <v>84</v>
      </c>
      <c r="D56" s="13">
        <v>1</v>
      </c>
      <c r="E56" s="13" t="s">
        <v>399</v>
      </c>
      <c r="F56" s="13">
        <v>1</v>
      </c>
      <c r="G56" s="21">
        <v>0</v>
      </c>
      <c r="H56" s="13">
        <v>1</v>
      </c>
      <c r="I56" s="4">
        <v>7</v>
      </c>
      <c r="J56" s="4">
        <v>8</v>
      </c>
      <c r="K56" s="4" t="s">
        <v>11</v>
      </c>
      <c r="L56" s="4" t="s">
        <v>13</v>
      </c>
      <c r="M56" s="4">
        <v>2023</v>
      </c>
      <c r="N56" s="4">
        <v>1</v>
      </c>
      <c r="O56" s="4">
        <v>1</v>
      </c>
    </row>
    <row r="57" spans="1:15">
      <c r="A57" s="4" t="s">
        <v>77</v>
      </c>
      <c r="B57" s="4" t="s">
        <v>91</v>
      </c>
      <c r="C57" s="9" t="s">
        <v>85</v>
      </c>
      <c r="D57" s="13">
        <v>1</v>
      </c>
      <c r="E57" s="13" t="s">
        <v>399</v>
      </c>
      <c r="F57" s="13">
        <v>1</v>
      </c>
      <c r="G57" s="21">
        <v>1</v>
      </c>
      <c r="H57" s="13">
        <v>2</v>
      </c>
      <c r="I57" s="4">
        <v>8</v>
      </c>
      <c r="J57" s="4">
        <v>8</v>
      </c>
      <c r="K57" s="4" t="s">
        <v>11</v>
      </c>
      <c r="L57" s="4" t="s">
        <v>13</v>
      </c>
      <c r="M57" s="4">
        <v>2023</v>
      </c>
      <c r="N57" s="4">
        <v>1</v>
      </c>
      <c r="O57" s="4">
        <v>1</v>
      </c>
    </row>
    <row r="58" spans="1:15">
      <c r="A58" s="4" t="s">
        <v>92</v>
      </c>
      <c r="B58" s="4" t="s">
        <v>93</v>
      </c>
      <c r="C58" s="9" t="s">
        <v>94</v>
      </c>
      <c r="D58" s="13">
        <v>1</v>
      </c>
      <c r="E58" s="13" t="s">
        <v>395</v>
      </c>
      <c r="F58" s="13">
        <v>1</v>
      </c>
      <c r="G58" s="21">
        <v>1</v>
      </c>
      <c r="H58" s="13">
        <v>2</v>
      </c>
      <c r="I58" s="4">
        <v>1</v>
      </c>
      <c r="J58" s="4">
        <v>8</v>
      </c>
      <c r="K58" s="4" t="s">
        <v>11</v>
      </c>
      <c r="L58" s="4" t="s">
        <v>13</v>
      </c>
      <c r="M58" s="4">
        <v>2024</v>
      </c>
      <c r="N58" s="4">
        <v>1</v>
      </c>
      <c r="O58" s="4">
        <v>1</v>
      </c>
    </row>
    <row r="59" spans="1:15">
      <c r="A59" s="4" t="s">
        <v>92</v>
      </c>
      <c r="B59" s="4" t="s">
        <v>101</v>
      </c>
      <c r="C59" s="9" t="s">
        <v>95</v>
      </c>
      <c r="D59" s="13">
        <v>1</v>
      </c>
      <c r="E59" s="13" t="s">
        <v>399</v>
      </c>
      <c r="F59" s="13">
        <v>1</v>
      </c>
      <c r="G59" s="21">
        <v>1</v>
      </c>
      <c r="H59" s="13">
        <v>2</v>
      </c>
      <c r="I59" s="4">
        <v>2</v>
      </c>
      <c r="J59" s="4">
        <v>8</v>
      </c>
      <c r="K59" s="4" t="s">
        <v>11</v>
      </c>
      <c r="L59" s="4" t="s">
        <v>13</v>
      </c>
      <c r="M59" s="4">
        <v>2024</v>
      </c>
      <c r="N59" s="4">
        <v>1</v>
      </c>
      <c r="O59" s="4">
        <v>1</v>
      </c>
    </row>
    <row r="60" spans="1:15">
      <c r="A60" s="4" t="s">
        <v>92</v>
      </c>
      <c r="B60" s="4" t="s">
        <v>102</v>
      </c>
      <c r="C60" s="9" t="s">
        <v>96</v>
      </c>
      <c r="D60" s="13">
        <v>1</v>
      </c>
      <c r="E60" s="13" t="s">
        <v>399</v>
      </c>
      <c r="F60" s="13">
        <v>1</v>
      </c>
      <c r="G60" s="21">
        <v>1</v>
      </c>
      <c r="H60" s="13">
        <v>2</v>
      </c>
      <c r="I60" s="4">
        <v>3</v>
      </c>
      <c r="J60" s="4">
        <v>8</v>
      </c>
      <c r="K60" s="4" t="s">
        <v>11</v>
      </c>
      <c r="L60" s="4" t="s">
        <v>13</v>
      </c>
      <c r="M60" s="4">
        <v>2024</v>
      </c>
      <c r="N60" s="4">
        <v>1</v>
      </c>
      <c r="O60" s="4">
        <v>1</v>
      </c>
    </row>
    <row r="61" spans="1:15">
      <c r="A61" s="4" t="s">
        <v>92</v>
      </c>
      <c r="B61" s="4" t="s">
        <v>103</v>
      </c>
      <c r="C61" s="9" t="s">
        <v>83</v>
      </c>
      <c r="D61" s="13">
        <v>1</v>
      </c>
      <c r="E61" s="13" t="s">
        <v>399</v>
      </c>
      <c r="F61" s="13">
        <v>1</v>
      </c>
      <c r="G61" s="21">
        <v>0</v>
      </c>
      <c r="H61" s="13">
        <v>2</v>
      </c>
      <c r="I61" s="4">
        <v>4</v>
      </c>
      <c r="J61" s="4">
        <v>8</v>
      </c>
      <c r="K61" s="4" t="s">
        <v>11</v>
      </c>
      <c r="L61" s="4" t="s">
        <v>13</v>
      </c>
      <c r="M61" s="4">
        <v>2024</v>
      </c>
      <c r="N61" s="4">
        <v>1</v>
      </c>
      <c r="O61" s="4">
        <v>1</v>
      </c>
    </row>
    <row r="62" spans="1:15">
      <c r="A62" s="4" t="s">
        <v>92</v>
      </c>
      <c r="B62" s="4" t="s">
        <v>104</v>
      </c>
      <c r="C62" s="9" t="s">
        <v>97</v>
      </c>
      <c r="D62" s="13">
        <v>1</v>
      </c>
      <c r="E62" s="13" t="s">
        <v>397</v>
      </c>
      <c r="F62" s="13">
        <v>1</v>
      </c>
      <c r="G62" s="21">
        <v>0</v>
      </c>
      <c r="H62" s="13">
        <v>2</v>
      </c>
      <c r="I62" s="4">
        <v>5</v>
      </c>
      <c r="J62" s="4">
        <v>8</v>
      </c>
      <c r="K62" s="4" t="s">
        <v>11</v>
      </c>
      <c r="L62" s="4" t="s">
        <v>13</v>
      </c>
      <c r="M62" s="4">
        <v>2024</v>
      </c>
      <c r="N62" s="4">
        <v>1</v>
      </c>
      <c r="O62" s="4">
        <v>1</v>
      </c>
    </row>
    <row r="63" spans="1:15">
      <c r="A63" s="4" t="s">
        <v>92</v>
      </c>
      <c r="B63" s="4" t="s">
        <v>105</v>
      </c>
      <c r="C63" s="9" t="s">
        <v>98</v>
      </c>
      <c r="D63" s="13">
        <v>1</v>
      </c>
      <c r="E63" s="13" t="s">
        <v>399</v>
      </c>
      <c r="F63" s="13">
        <v>1</v>
      </c>
      <c r="G63" s="21">
        <v>0</v>
      </c>
      <c r="H63" s="13">
        <v>1</v>
      </c>
      <c r="I63" s="4">
        <v>6</v>
      </c>
      <c r="J63" s="4">
        <v>8</v>
      </c>
      <c r="K63" s="4" t="s">
        <v>11</v>
      </c>
      <c r="L63" s="4" t="s">
        <v>13</v>
      </c>
      <c r="M63" s="4">
        <v>2024</v>
      </c>
      <c r="N63" s="4">
        <v>1</v>
      </c>
      <c r="O63" s="4">
        <v>1</v>
      </c>
    </row>
    <row r="64" spans="1:15">
      <c r="A64" s="4" t="s">
        <v>92</v>
      </c>
      <c r="B64" s="4" t="s">
        <v>106</v>
      </c>
      <c r="C64" s="9" t="s">
        <v>99</v>
      </c>
      <c r="D64" s="13">
        <v>1</v>
      </c>
      <c r="E64" s="13" t="s">
        <v>399</v>
      </c>
      <c r="F64" s="13">
        <v>1</v>
      </c>
      <c r="G64" s="21">
        <v>1</v>
      </c>
      <c r="H64" s="13">
        <v>2</v>
      </c>
      <c r="I64" s="4">
        <v>7</v>
      </c>
      <c r="J64" s="4">
        <v>8</v>
      </c>
      <c r="K64" s="4" t="s">
        <v>11</v>
      </c>
      <c r="L64" s="4" t="s">
        <v>13</v>
      </c>
      <c r="M64" s="4">
        <v>2024</v>
      </c>
      <c r="N64" s="4">
        <v>1</v>
      </c>
      <c r="O64" s="4">
        <v>1</v>
      </c>
    </row>
    <row r="65" spans="1:15">
      <c r="A65" s="4" t="s">
        <v>92</v>
      </c>
      <c r="B65" s="4" t="s">
        <v>107</v>
      </c>
      <c r="C65" s="9" t="s">
        <v>100</v>
      </c>
      <c r="D65" s="13">
        <v>1</v>
      </c>
      <c r="E65" s="13" t="s">
        <v>399</v>
      </c>
      <c r="F65" s="13">
        <v>1</v>
      </c>
      <c r="G65" s="21">
        <v>1</v>
      </c>
      <c r="H65" s="13">
        <v>2</v>
      </c>
      <c r="I65" s="4">
        <v>8</v>
      </c>
      <c r="J65" s="4">
        <v>8</v>
      </c>
      <c r="K65" s="4" t="s">
        <v>11</v>
      </c>
      <c r="L65" s="4" t="s">
        <v>13</v>
      </c>
      <c r="M65" s="4">
        <v>2024</v>
      </c>
      <c r="N65" s="4">
        <v>1</v>
      </c>
      <c r="O65" s="4">
        <v>1</v>
      </c>
    </row>
    <row r="66" spans="1:15">
      <c r="A66" s="4" t="s">
        <v>108</v>
      </c>
      <c r="B66" s="4" t="s">
        <v>109</v>
      </c>
      <c r="C66" s="9" t="s">
        <v>110</v>
      </c>
      <c r="D66" s="13">
        <v>1</v>
      </c>
      <c r="E66" s="13" t="s">
        <v>395</v>
      </c>
      <c r="F66" s="13">
        <v>1</v>
      </c>
      <c r="G66" s="21">
        <v>1</v>
      </c>
      <c r="H66" s="13">
        <v>2</v>
      </c>
      <c r="I66" s="4">
        <v>1</v>
      </c>
      <c r="J66" s="4">
        <v>8</v>
      </c>
      <c r="K66" s="4" t="s">
        <v>11</v>
      </c>
      <c r="L66" s="4" t="s">
        <v>13</v>
      </c>
      <c r="M66" s="4">
        <v>2025</v>
      </c>
      <c r="N66" s="4">
        <v>1</v>
      </c>
      <c r="O66" s="4">
        <v>1</v>
      </c>
    </row>
    <row r="67" spans="1:15">
      <c r="A67" s="4" t="s">
        <v>108</v>
      </c>
      <c r="B67" s="4" t="s">
        <v>117</v>
      </c>
      <c r="C67" s="9" t="s">
        <v>111</v>
      </c>
      <c r="D67" s="13">
        <v>1</v>
      </c>
      <c r="E67" s="13" t="s">
        <v>399</v>
      </c>
      <c r="F67" s="13">
        <v>1</v>
      </c>
      <c r="G67" s="21">
        <v>1</v>
      </c>
      <c r="H67" s="13">
        <v>2</v>
      </c>
      <c r="I67" s="4">
        <v>2</v>
      </c>
      <c r="J67" s="4">
        <v>8</v>
      </c>
      <c r="K67" s="4" t="s">
        <v>11</v>
      </c>
      <c r="L67" s="4" t="s">
        <v>13</v>
      </c>
      <c r="M67" s="4">
        <v>2025</v>
      </c>
      <c r="N67" s="4">
        <v>1</v>
      </c>
      <c r="O67" s="4">
        <v>1</v>
      </c>
    </row>
    <row r="68" spans="1:15">
      <c r="A68" s="4" t="s">
        <v>108</v>
      </c>
      <c r="B68" s="4" t="s">
        <v>118</v>
      </c>
      <c r="C68" s="9" t="s">
        <v>112</v>
      </c>
      <c r="D68" s="13">
        <v>1</v>
      </c>
      <c r="E68" s="13" t="s">
        <v>399</v>
      </c>
      <c r="F68" s="13">
        <v>1</v>
      </c>
      <c r="G68" s="21">
        <v>0</v>
      </c>
      <c r="H68" s="13">
        <v>2</v>
      </c>
      <c r="I68" s="4">
        <v>3</v>
      </c>
      <c r="J68" s="4">
        <v>8</v>
      </c>
      <c r="K68" s="4" t="s">
        <v>11</v>
      </c>
      <c r="L68" s="4" t="s">
        <v>13</v>
      </c>
      <c r="M68" s="4">
        <v>2025</v>
      </c>
      <c r="N68" s="4">
        <v>1</v>
      </c>
      <c r="O68" s="4">
        <v>1</v>
      </c>
    </row>
    <row r="69" spans="1:15">
      <c r="A69" s="4" t="s">
        <v>108</v>
      </c>
      <c r="B69" s="4" t="s">
        <v>119</v>
      </c>
      <c r="C69" s="9" t="s">
        <v>113</v>
      </c>
      <c r="D69" s="13">
        <v>1</v>
      </c>
      <c r="E69" s="13" t="s">
        <v>397</v>
      </c>
      <c r="F69" s="13">
        <v>1</v>
      </c>
      <c r="G69" s="21">
        <v>0</v>
      </c>
      <c r="H69" s="13">
        <v>2</v>
      </c>
      <c r="I69" s="4">
        <v>4</v>
      </c>
      <c r="J69" s="4">
        <v>8</v>
      </c>
      <c r="K69" s="4" t="s">
        <v>11</v>
      </c>
      <c r="L69" s="4" t="s">
        <v>13</v>
      </c>
      <c r="M69" s="4">
        <v>2025</v>
      </c>
      <c r="N69" s="4">
        <v>1</v>
      </c>
      <c r="O69" s="4">
        <v>1</v>
      </c>
    </row>
    <row r="70" spans="1:15">
      <c r="A70" s="4" t="s">
        <v>108</v>
      </c>
      <c r="B70" s="4" t="s">
        <v>1044</v>
      </c>
      <c r="C70" s="9" t="s">
        <v>1217</v>
      </c>
      <c r="F70" s="13">
        <v>0</v>
      </c>
      <c r="I70" s="4"/>
      <c r="J70" s="4"/>
      <c r="K70" s="4"/>
      <c r="L70" s="4"/>
      <c r="M70" s="4"/>
      <c r="N70" s="4"/>
      <c r="O70" s="4"/>
    </row>
    <row r="71" spans="1:15">
      <c r="A71" s="4" t="s">
        <v>108</v>
      </c>
      <c r="B71" s="4" t="s">
        <v>120</v>
      </c>
      <c r="C71" s="9" t="s">
        <v>114</v>
      </c>
      <c r="D71" s="13">
        <v>1</v>
      </c>
      <c r="E71" s="13" t="s">
        <v>399</v>
      </c>
      <c r="F71" s="13">
        <v>1</v>
      </c>
      <c r="G71" s="21">
        <v>0</v>
      </c>
      <c r="H71" s="13">
        <v>1</v>
      </c>
      <c r="I71" s="4">
        <v>6</v>
      </c>
      <c r="J71" s="4">
        <v>8</v>
      </c>
      <c r="K71" s="4" t="s">
        <v>11</v>
      </c>
      <c r="L71" s="4" t="s">
        <v>13</v>
      </c>
      <c r="M71" s="4">
        <v>2025</v>
      </c>
      <c r="N71" s="4">
        <v>1</v>
      </c>
      <c r="O71" s="4">
        <v>1</v>
      </c>
    </row>
    <row r="72" spans="1:15">
      <c r="A72" s="4" t="s">
        <v>108</v>
      </c>
      <c r="B72" s="4" t="s">
        <v>121</v>
      </c>
      <c r="C72" s="9" t="s">
        <v>115</v>
      </c>
      <c r="D72" s="13">
        <v>1</v>
      </c>
      <c r="E72" s="13" t="s">
        <v>399</v>
      </c>
      <c r="F72" s="13">
        <v>1</v>
      </c>
      <c r="G72" s="21">
        <v>1</v>
      </c>
      <c r="H72" s="13">
        <v>2</v>
      </c>
      <c r="I72" s="4">
        <v>7</v>
      </c>
      <c r="J72" s="4">
        <v>8</v>
      </c>
      <c r="K72" s="4" t="s">
        <v>11</v>
      </c>
      <c r="L72" s="4" t="s">
        <v>13</v>
      </c>
      <c r="M72" s="4">
        <v>2025</v>
      </c>
      <c r="N72" s="4">
        <v>1</v>
      </c>
      <c r="O72" s="4">
        <v>1</v>
      </c>
    </row>
    <row r="73" spans="1:15">
      <c r="A73" s="4" t="s">
        <v>108</v>
      </c>
      <c r="B73" s="4" t="s">
        <v>122</v>
      </c>
      <c r="C73" s="9" t="s">
        <v>116</v>
      </c>
      <c r="D73" s="13">
        <v>1</v>
      </c>
      <c r="E73" s="13" t="s">
        <v>399</v>
      </c>
      <c r="F73" s="13">
        <v>1</v>
      </c>
      <c r="G73" s="21">
        <v>1</v>
      </c>
      <c r="H73" s="13">
        <v>2</v>
      </c>
      <c r="I73" s="4">
        <v>8</v>
      </c>
      <c r="J73" s="4">
        <v>8</v>
      </c>
      <c r="K73" s="4" t="s">
        <v>11</v>
      </c>
      <c r="L73" s="4" t="s">
        <v>13</v>
      </c>
      <c r="M73" s="4">
        <v>2025</v>
      </c>
      <c r="N73" s="4">
        <v>1</v>
      </c>
      <c r="O73" s="4">
        <v>1</v>
      </c>
    </row>
    <row r="74" spans="1:15">
      <c r="A74" s="4" t="s">
        <v>123</v>
      </c>
      <c r="B74" s="4" t="s">
        <v>1045</v>
      </c>
      <c r="C74" s="9" t="s">
        <v>1218</v>
      </c>
      <c r="F74" s="13">
        <v>0</v>
      </c>
      <c r="I74" s="4"/>
      <c r="J74" s="4"/>
      <c r="K74" s="4"/>
      <c r="L74" s="4"/>
      <c r="M74" s="4"/>
      <c r="N74" s="4"/>
      <c r="O74" s="4"/>
    </row>
    <row r="75" spans="1:15">
      <c r="A75" s="4" t="s">
        <v>123</v>
      </c>
      <c r="B75" s="4" t="s">
        <v>136</v>
      </c>
      <c r="C75" s="9" t="s">
        <v>125</v>
      </c>
      <c r="D75" s="13">
        <v>1</v>
      </c>
      <c r="E75" s="13" t="s">
        <v>399</v>
      </c>
      <c r="F75" s="13">
        <v>1</v>
      </c>
      <c r="G75" s="21">
        <v>1</v>
      </c>
      <c r="H75" s="13">
        <v>2</v>
      </c>
      <c r="I75" s="4">
        <v>2</v>
      </c>
      <c r="J75" s="4">
        <v>21</v>
      </c>
      <c r="K75" s="4" t="s">
        <v>124</v>
      </c>
      <c r="L75" s="4" t="s">
        <v>13</v>
      </c>
      <c r="M75" s="4">
        <v>2017</v>
      </c>
      <c r="N75" s="4">
        <v>1</v>
      </c>
      <c r="O75" s="4">
        <v>0</v>
      </c>
    </row>
    <row r="76" spans="1:15">
      <c r="A76" s="4" t="s">
        <v>123</v>
      </c>
      <c r="B76" s="4" t="s">
        <v>1046</v>
      </c>
      <c r="C76" s="9" t="s">
        <v>1219</v>
      </c>
      <c r="F76" s="13">
        <v>0</v>
      </c>
      <c r="I76" s="4"/>
      <c r="J76" s="4"/>
      <c r="K76" s="4"/>
      <c r="L76" s="4"/>
      <c r="M76" s="4"/>
      <c r="N76" s="4"/>
      <c r="O76" s="4"/>
    </row>
    <row r="77" spans="1:15">
      <c r="A77" s="4" t="s">
        <v>123</v>
      </c>
      <c r="B77" s="4" t="s">
        <v>1047</v>
      </c>
      <c r="C77" s="9" t="s">
        <v>1220</v>
      </c>
      <c r="F77" s="13">
        <v>0</v>
      </c>
      <c r="I77" s="4"/>
      <c r="J77" s="4"/>
      <c r="K77" s="4"/>
      <c r="L77" s="4"/>
      <c r="M77" s="4"/>
      <c r="N77" s="4"/>
      <c r="O77" s="4"/>
    </row>
    <row r="78" spans="1:15">
      <c r="A78" s="4" t="s">
        <v>123</v>
      </c>
      <c r="B78" s="4" t="s">
        <v>1048</v>
      </c>
      <c r="C78" s="9" t="s">
        <v>1221</v>
      </c>
      <c r="F78" s="13">
        <v>0</v>
      </c>
      <c r="I78" s="4"/>
      <c r="J78" s="4"/>
      <c r="K78" s="4"/>
      <c r="L78" s="4"/>
      <c r="M78" s="4"/>
      <c r="N78" s="4"/>
      <c r="O78" s="4"/>
    </row>
    <row r="79" spans="1:15">
      <c r="A79" s="4" t="s">
        <v>123</v>
      </c>
      <c r="B79" s="4" t="s">
        <v>137</v>
      </c>
      <c r="C79" s="9" t="s">
        <v>126</v>
      </c>
      <c r="D79" s="13">
        <v>1</v>
      </c>
      <c r="E79" s="13" t="s">
        <v>397</v>
      </c>
      <c r="F79" s="13">
        <v>1</v>
      </c>
      <c r="G79" s="21">
        <v>0</v>
      </c>
      <c r="H79" s="13">
        <v>1</v>
      </c>
      <c r="I79" s="4">
        <v>6</v>
      </c>
      <c r="J79" s="4">
        <v>21</v>
      </c>
      <c r="K79" s="4" t="s">
        <v>124</v>
      </c>
      <c r="L79" s="4" t="s">
        <v>13</v>
      </c>
      <c r="M79" s="4">
        <v>2017</v>
      </c>
      <c r="N79" s="4">
        <v>1</v>
      </c>
      <c r="O79" s="4">
        <v>0</v>
      </c>
    </row>
    <row r="80" spans="1:15">
      <c r="A80" s="4" t="s">
        <v>123</v>
      </c>
      <c r="B80" s="4" t="s">
        <v>1049</v>
      </c>
      <c r="C80" s="9" t="s">
        <v>1222</v>
      </c>
      <c r="F80" s="13">
        <v>0</v>
      </c>
      <c r="I80" s="4"/>
      <c r="J80" s="4"/>
      <c r="K80" s="4"/>
      <c r="L80" s="4"/>
      <c r="M80" s="4"/>
      <c r="N80" s="4"/>
      <c r="O80" s="4"/>
    </row>
    <row r="81" spans="1:15">
      <c r="A81" s="4" t="s">
        <v>123</v>
      </c>
      <c r="B81" s="4" t="s">
        <v>138</v>
      </c>
      <c r="C81" s="9" t="s">
        <v>127</v>
      </c>
      <c r="D81" s="13">
        <v>1</v>
      </c>
      <c r="E81" s="13" t="s">
        <v>397</v>
      </c>
      <c r="F81" s="13">
        <v>1</v>
      </c>
      <c r="G81" s="21">
        <v>0</v>
      </c>
      <c r="H81" s="13">
        <v>1</v>
      </c>
      <c r="I81" s="4">
        <v>8</v>
      </c>
      <c r="J81" s="4">
        <v>21</v>
      </c>
      <c r="K81" s="4" t="s">
        <v>124</v>
      </c>
      <c r="L81" s="4" t="s">
        <v>13</v>
      </c>
      <c r="M81" s="4">
        <v>2017</v>
      </c>
      <c r="N81" s="4">
        <v>1</v>
      </c>
      <c r="O81" s="4">
        <v>0</v>
      </c>
    </row>
    <row r="82" spans="1:15">
      <c r="A82" s="4" t="s">
        <v>123</v>
      </c>
      <c r="B82" s="4" t="s">
        <v>1050</v>
      </c>
      <c r="C82" s="9" t="s">
        <v>1223</v>
      </c>
      <c r="F82" s="13">
        <v>0</v>
      </c>
      <c r="I82" s="4"/>
      <c r="J82" s="4"/>
      <c r="K82" s="4"/>
      <c r="L82" s="4"/>
      <c r="M82" s="4"/>
      <c r="N82" s="4"/>
      <c r="O82" s="4"/>
    </row>
    <row r="83" spans="1:15">
      <c r="A83" s="4" t="s">
        <v>123</v>
      </c>
      <c r="B83" s="4" t="s">
        <v>139</v>
      </c>
      <c r="C83" s="9" t="s">
        <v>128</v>
      </c>
      <c r="D83" s="13">
        <v>0</v>
      </c>
      <c r="F83" s="13">
        <v>1</v>
      </c>
      <c r="G83" s="21">
        <v>0</v>
      </c>
      <c r="H83" s="13">
        <v>1</v>
      </c>
      <c r="I83" s="4">
        <v>10</v>
      </c>
      <c r="J83" s="4">
        <v>21</v>
      </c>
      <c r="K83" s="4" t="s">
        <v>124</v>
      </c>
      <c r="L83" s="4" t="s">
        <v>13</v>
      </c>
      <c r="M83" s="4">
        <v>2017</v>
      </c>
      <c r="N83" s="4">
        <v>1</v>
      </c>
      <c r="O83" s="4">
        <v>0</v>
      </c>
    </row>
    <row r="84" spans="1:15">
      <c r="A84" s="4" t="s">
        <v>123</v>
      </c>
      <c r="B84" s="4" t="s">
        <v>140</v>
      </c>
      <c r="C84" s="9" t="s">
        <v>129</v>
      </c>
      <c r="D84" s="13">
        <v>1</v>
      </c>
      <c r="E84" s="13" t="s">
        <v>397</v>
      </c>
      <c r="F84" s="13">
        <v>1</v>
      </c>
      <c r="G84" s="21">
        <v>0</v>
      </c>
      <c r="H84" s="13">
        <v>1</v>
      </c>
      <c r="I84" s="4">
        <v>11</v>
      </c>
      <c r="J84" s="4">
        <v>21</v>
      </c>
      <c r="K84" s="4" t="s">
        <v>124</v>
      </c>
      <c r="L84" s="4" t="s">
        <v>13</v>
      </c>
      <c r="M84" s="4">
        <v>2017</v>
      </c>
      <c r="N84" s="4">
        <v>1</v>
      </c>
      <c r="O84" s="4">
        <v>0</v>
      </c>
    </row>
    <row r="85" spans="1:15">
      <c r="A85" s="4" t="s">
        <v>123</v>
      </c>
      <c r="B85" s="4" t="s">
        <v>1051</v>
      </c>
      <c r="C85" s="9" t="s">
        <v>1224</v>
      </c>
      <c r="F85" s="13">
        <v>0</v>
      </c>
      <c r="I85" s="4"/>
      <c r="J85" s="4"/>
      <c r="K85" s="4"/>
      <c r="L85" s="4"/>
      <c r="M85" s="4"/>
      <c r="N85" s="4"/>
      <c r="O85" s="4"/>
    </row>
    <row r="86" spans="1:15">
      <c r="A86" s="4" t="s">
        <v>123</v>
      </c>
      <c r="B86" s="4" t="s">
        <v>1052</v>
      </c>
      <c r="C86" s="9" t="s">
        <v>1225</v>
      </c>
      <c r="F86" s="13">
        <v>0</v>
      </c>
      <c r="I86" s="4"/>
      <c r="J86" s="4"/>
      <c r="K86" s="4"/>
      <c r="L86" s="4"/>
      <c r="M86" s="4"/>
      <c r="N86" s="4"/>
      <c r="O86" s="4"/>
    </row>
    <row r="87" spans="1:15">
      <c r="A87" s="4" t="s">
        <v>123</v>
      </c>
      <c r="B87" s="4" t="s">
        <v>141</v>
      </c>
      <c r="C87" s="9" t="s">
        <v>130</v>
      </c>
      <c r="D87" s="13">
        <v>0</v>
      </c>
      <c r="F87" s="13">
        <v>1</v>
      </c>
      <c r="G87" s="21">
        <v>0</v>
      </c>
      <c r="H87" s="13">
        <v>1</v>
      </c>
      <c r="I87" s="4">
        <v>14</v>
      </c>
      <c r="J87" s="4">
        <v>21</v>
      </c>
      <c r="K87" s="4" t="s">
        <v>124</v>
      </c>
      <c r="L87" s="4" t="s">
        <v>13</v>
      </c>
      <c r="M87" s="4">
        <v>2017</v>
      </c>
      <c r="N87" s="4">
        <v>1</v>
      </c>
      <c r="O87" s="4">
        <v>0</v>
      </c>
    </row>
    <row r="88" spans="1:15">
      <c r="A88" s="4" t="s">
        <v>123</v>
      </c>
      <c r="B88" s="4" t="s">
        <v>142</v>
      </c>
      <c r="C88" s="9" t="s">
        <v>131</v>
      </c>
      <c r="D88" s="13">
        <v>0</v>
      </c>
      <c r="F88" s="13">
        <v>1</v>
      </c>
      <c r="G88" s="21">
        <v>0</v>
      </c>
      <c r="H88" s="13">
        <v>1</v>
      </c>
      <c r="I88" s="4">
        <v>15</v>
      </c>
      <c r="J88" s="4">
        <v>21</v>
      </c>
      <c r="K88" s="4" t="s">
        <v>124</v>
      </c>
      <c r="L88" s="4" t="s">
        <v>13</v>
      </c>
      <c r="M88" s="4">
        <v>2017</v>
      </c>
      <c r="N88" s="4">
        <v>1</v>
      </c>
      <c r="O88" s="4">
        <v>0</v>
      </c>
    </row>
    <row r="89" spans="1:15">
      <c r="A89" s="4" t="s">
        <v>123</v>
      </c>
      <c r="B89" s="4" t="s">
        <v>1053</v>
      </c>
      <c r="C89" s="9" t="s">
        <v>1226</v>
      </c>
      <c r="F89" s="13">
        <v>0</v>
      </c>
      <c r="I89" s="4"/>
      <c r="J89" s="4"/>
      <c r="K89" s="4"/>
      <c r="L89" s="4"/>
      <c r="M89" s="4"/>
      <c r="N89" s="4"/>
      <c r="O89" s="4"/>
    </row>
    <row r="90" spans="1:15">
      <c r="A90" s="4" t="s">
        <v>123</v>
      </c>
      <c r="B90" s="4" t="s">
        <v>143</v>
      </c>
      <c r="C90" s="9" t="s">
        <v>132</v>
      </c>
      <c r="D90" s="13">
        <v>1</v>
      </c>
      <c r="E90" s="13" t="s">
        <v>397</v>
      </c>
      <c r="F90" s="13">
        <v>1</v>
      </c>
      <c r="G90" s="21">
        <v>0</v>
      </c>
      <c r="H90" s="13">
        <v>1</v>
      </c>
      <c r="I90" s="4">
        <v>17</v>
      </c>
      <c r="J90" s="4">
        <v>21</v>
      </c>
      <c r="K90" s="4" t="s">
        <v>124</v>
      </c>
      <c r="L90" s="4" t="s">
        <v>13</v>
      </c>
      <c r="M90" s="4">
        <v>2017</v>
      </c>
      <c r="N90" s="4">
        <v>1</v>
      </c>
      <c r="O90" s="4">
        <v>0</v>
      </c>
    </row>
    <row r="91" spans="1:15">
      <c r="A91" s="4" t="s">
        <v>123</v>
      </c>
      <c r="B91" s="4" t="s">
        <v>1054</v>
      </c>
      <c r="C91" s="9" t="s">
        <v>1227</v>
      </c>
      <c r="F91" s="13">
        <v>0</v>
      </c>
      <c r="I91" s="4"/>
      <c r="J91" s="4"/>
      <c r="K91" s="4"/>
      <c r="L91" s="4"/>
      <c r="M91" s="4"/>
      <c r="N91" s="4"/>
      <c r="O91" s="4"/>
    </row>
    <row r="92" spans="1:15">
      <c r="A92" s="4" t="s">
        <v>123</v>
      </c>
      <c r="B92" s="4" t="s">
        <v>144</v>
      </c>
      <c r="C92" s="9" t="s">
        <v>133</v>
      </c>
      <c r="D92" s="13">
        <v>1</v>
      </c>
      <c r="E92" s="13" t="s">
        <v>399</v>
      </c>
      <c r="F92" s="13">
        <v>1</v>
      </c>
      <c r="G92" s="21">
        <v>0</v>
      </c>
      <c r="H92" s="13">
        <v>2</v>
      </c>
      <c r="I92" s="4">
        <v>19</v>
      </c>
      <c r="J92" s="4">
        <v>21</v>
      </c>
      <c r="K92" s="4" t="s">
        <v>124</v>
      </c>
      <c r="L92" s="4" t="s">
        <v>13</v>
      </c>
      <c r="M92" s="4">
        <v>2017</v>
      </c>
      <c r="N92" s="4">
        <v>1</v>
      </c>
      <c r="O92" s="4">
        <v>0</v>
      </c>
    </row>
    <row r="93" spans="1:15">
      <c r="A93" s="4" t="s">
        <v>123</v>
      </c>
      <c r="B93" s="4" t="s">
        <v>145</v>
      </c>
      <c r="C93" s="9" t="s">
        <v>134</v>
      </c>
      <c r="D93" s="13">
        <v>1</v>
      </c>
      <c r="E93" s="13" t="s">
        <v>399</v>
      </c>
      <c r="F93" s="13">
        <v>1</v>
      </c>
      <c r="G93" s="21">
        <v>0</v>
      </c>
      <c r="H93" s="13">
        <v>1</v>
      </c>
      <c r="I93" s="4">
        <v>20</v>
      </c>
      <c r="J93" s="4">
        <v>21</v>
      </c>
      <c r="K93" s="4" t="s">
        <v>124</v>
      </c>
      <c r="L93" s="4" t="s">
        <v>13</v>
      </c>
      <c r="M93" s="4">
        <v>2017</v>
      </c>
      <c r="N93" s="4">
        <v>1</v>
      </c>
      <c r="O93" s="4">
        <v>0</v>
      </c>
    </row>
    <row r="94" spans="1:15">
      <c r="A94" s="4" t="s">
        <v>123</v>
      </c>
      <c r="B94" s="4" t="s">
        <v>146</v>
      </c>
      <c r="C94" s="6" t="s">
        <v>135</v>
      </c>
      <c r="D94" s="13">
        <v>1</v>
      </c>
      <c r="E94" s="13" t="s">
        <v>399</v>
      </c>
      <c r="F94" s="13">
        <v>1</v>
      </c>
      <c r="G94" s="21">
        <v>0</v>
      </c>
      <c r="H94" s="13">
        <v>2</v>
      </c>
      <c r="I94" s="4">
        <v>21</v>
      </c>
      <c r="J94" s="4">
        <v>21</v>
      </c>
      <c r="K94" s="4" t="s">
        <v>124</v>
      </c>
      <c r="L94" s="4" t="s">
        <v>13</v>
      </c>
      <c r="M94" s="4">
        <v>2017</v>
      </c>
      <c r="N94" s="4">
        <v>1</v>
      </c>
      <c r="O94" s="4">
        <v>0</v>
      </c>
    </row>
    <row r="95" spans="1:15">
      <c r="A95" s="4" t="s">
        <v>147</v>
      </c>
      <c r="B95" s="4" t="s">
        <v>1055</v>
      </c>
      <c r="C95" s="9" t="s">
        <v>1228</v>
      </c>
      <c r="F95" s="13">
        <v>0</v>
      </c>
      <c r="I95" s="4"/>
      <c r="J95" s="4"/>
      <c r="K95" s="4"/>
      <c r="L95" s="4"/>
      <c r="M95" s="4"/>
      <c r="N95" s="4"/>
      <c r="O95" s="4"/>
    </row>
    <row r="96" spans="1:15">
      <c r="A96" s="4" t="s">
        <v>147</v>
      </c>
      <c r="B96" s="4" t="s">
        <v>1056</v>
      </c>
      <c r="C96" s="10" t="s">
        <v>1229</v>
      </c>
      <c r="F96" s="13">
        <v>0</v>
      </c>
      <c r="I96" s="4"/>
      <c r="J96" s="4"/>
      <c r="K96" s="4"/>
      <c r="L96" s="4"/>
      <c r="M96" s="4"/>
      <c r="N96" s="4"/>
      <c r="O96" s="4"/>
    </row>
    <row r="97" spans="1:15">
      <c r="A97" s="4" t="s">
        <v>147</v>
      </c>
      <c r="B97" s="4" t="s">
        <v>159</v>
      </c>
      <c r="C97" s="9" t="s">
        <v>148</v>
      </c>
      <c r="D97" s="13">
        <v>1</v>
      </c>
      <c r="E97" s="13" t="s">
        <v>399</v>
      </c>
      <c r="F97" s="13">
        <v>1</v>
      </c>
      <c r="G97" s="21">
        <v>1</v>
      </c>
      <c r="H97" s="13">
        <v>2</v>
      </c>
      <c r="I97" s="4">
        <v>3</v>
      </c>
      <c r="J97" s="4">
        <v>25</v>
      </c>
      <c r="K97" s="4" t="s">
        <v>124</v>
      </c>
      <c r="L97" s="4" t="s">
        <v>13</v>
      </c>
      <c r="M97" s="4">
        <v>2018</v>
      </c>
      <c r="N97" s="4">
        <v>1</v>
      </c>
      <c r="O97" s="4">
        <v>0</v>
      </c>
    </row>
    <row r="98" spans="1:15">
      <c r="A98" s="4" t="s">
        <v>147</v>
      </c>
      <c r="B98" s="4" t="s">
        <v>1057</v>
      </c>
      <c r="C98" s="9" t="s">
        <v>1230</v>
      </c>
      <c r="F98" s="13">
        <v>0</v>
      </c>
      <c r="I98" s="4"/>
      <c r="J98" s="4"/>
      <c r="K98" s="4"/>
      <c r="L98" s="4"/>
      <c r="M98" s="4"/>
      <c r="N98" s="4"/>
      <c r="O98" s="4"/>
    </row>
    <row r="99" spans="1:15">
      <c r="A99" s="4" t="s">
        <v>147</v>
      </c>
      <c r="B99" s="4" t="s">
        <v>160</v>
      </c>
      <c r="C99" s="9" t="s">
        <v>149</v>
      </c>
      <c r="D99" s="13">
        <v>1</v>
      </c>
      <c r="E99" s="13" t="s">
        <v>397</v>
      </c>
      <c r="F99" s="13">
        <v>1</v>
      </c>
      <c r="G99" s="21">
        <v>0</v>
      </c>
      <c r="H99" s="13">
        <v>1</v>
      </c>
      <c r="I99" s="4">
        <v>5</v>
      </c>
      <c r="J99" s="4">
        <v>25</v>
      </c>
      <c r="K99" s="4" t="s">
        <v>124</v>
      </c>
      <c r="L99" s="4" t="s">
        <v>13</v>
      </c>
      <c r="M99" s="4">
        <v>2018</v>
      </c>
      <c r="N99" s="4">
        <v>1</v>
      </c>
      <c r="O99" s="4">
        <v>0</v>
      </c>
    </row>
    <row r="100" spans="1:15">
      <c r="A100" s="4" t="s">
        <v>147</v>
      </c>
      <c r="B100" s="4" t="s">
        <v>161</v>
      </c>
      <c r="C100" s="9" t="s">
        <v>150</v>
      </c>
      <c r="D100" s="13">
        <v>1</v>
      </c>
      <c r="E100" s="13" t="s">
        <v>397</v>
      </c>
      <c r="F100" s="13">
        <v>1</v>
      </c>
      <c r="G100" s="21">
        <v>0</v>
      </c>
      <c r="H100" s="13">
        <v>1</v>
      </c>
      <c r="I100" s="4">
        <v>6</v>
      </c>
      <c r="J100" s="4">
        <v>25</v>
      </c>
      <c r="K100" s="4" t="s">
        <v>124</v>
      </c>
      <c r="L100" s="4" t="s">
        <v>13</v>
      </c>
      <c r="M100" s="4">
        <v>2018</v>
      </c>
      <c r="N100" s="4">
        <v>1</v>
      </c>
      <c r="O100" s="4">
        <v>0</v>
      </c>
    </row>
    <row r="101" spans="1:15">
      <c r="A101" s="4" t="s">
        <v>147</v>
      </c>
      <c r="B101" s="4" t="s">
        <v>162</v>
      </c>
      <c r="C101" s="9" t="s">
        <v>151</v>
      </c>
      <c r="D101" s="13">
        <v>1</v>
      </c>
      <c r="E101" s="13" t="s">
        <v>397</v>
      </c>
      <c r="F101" s="13">
        <v>1</v>
      </c>
      <c r="G101" s="21">
        <v>0</v>
      </c>
      <c r="H101" s="13">
        <v>1</v>
      </c>
      <c r="I101" s="4">
        <v>7</v>
      </c>
      <c r="J101" s="4">
        <v>25</v>
      </c>
      <c r="K101" s="4" t="s">
        <v>124</v>
      </c>
      <c r="L101" s="4" t="s">
        <v>13</v>
      </c>
      <c r="M101" s="4">
        <v>2018</v>
      </c>
      <c r="N101" s="4">
        <v>1</v>
      </c>
      <c r="O101" s="4">
        <v>0</v>
      </c>
    </row>
    <row r="102" spans="1:15">
      <c r="A102" s="4" t="s">
        <v>147</v>
      </c>
      <c r="B102" s="4" t="s">
        <v>163</v>
      </c>
      <c r="C102" s="9" t="s">
        <v>152</v>
      </c>
      <c r="D102" s="13">
        <v>1</v>
      </c>
      <c r="E102" s="13" t="s">
        <v>397</v>
      </c>
      <c r="F102" s="13">
        <v>1</v>
      </c>
      <c r="G102" s="21">
        <v>0</v>
      </c>
      <c r="H102" s="13">
        <v>1</v>
      </c>
      <c r="I102" s="4">
        <v>8</v>
      </c>
      <c r="J102" s="4">
        <v>25</v>
      </c>
      <c r="K102" s="4" t="s">
        <v>124</v>
      </c>
      <c r="L102" s="4" t="s">
        <v>13</v>
      </c>
      <c r="M102" s="4">
        <v>2018</v>
      </c>
      <c r="N102" s="4">
        <v>1</v>
      </c>
      <c r="O102" s="4">
        <v>0</v>
      </c>
    </row>
    <row r="103" spans="1:15">
      <c r="A103" s="4" t="s">
        <v>147</v>
      </c>
      <c r="B103" s="4" t="s">
        <v>1058</v>
      </c>
      <c r="C103" s="9" t="s">
        <v>1231</v>
      </c>
      <c r="F103" s="13">
        <v>0</v>
      </c>
      <c r="I103" s="4"/>
      <c r="J103" s="4"/>
      <c r="K103" s="4"/>
      <c r="L103" s="4"/>
      <c r="M103" s="4"/>
      <c r="N103" s="4"/>
      <c r="O103" s="4"/>
    </row>
    <row r="104" spans="1:15">
      <c r="A104" s="4" t="s">
        <v>147</v>
      </c>
      <c r="B104" s="4" t="s">
        <v>1059</v>
      </c>
      <c r="C104" s="9" t="s">
        <v>1232</v>
      </c>
      <c r="F104" s="13">
        <v>0</v>
      </c>
      <c r="I104" s="4"/>
      <c r="J104" s="4"/>
      <c r="K104" s="4"/>
      <c r="L104" s="4"/>
      <c r="M104" s="4"/>
      <c r="N104" s="4"/>
      <c r="O104" s="4"/>
    </row>
    <row r="105" spans="1:15">
      <c r="A105" s="4" t="s">
        <v>147</v>
      </c>
      <c r="B105" s="4" t="s">
        <v>1060</v>
      </c>
      <c r="C105" s="9" t="s">
        <v>1233</v>
      </c>
      <c r="F105" s="13">
        <v>0</v>
      </c>
      <c r="I105" s="4"/>
      <c r="J105" s="4"/>
      <c r="K105" s="4"/>
      <c r="L105" s="4"/>
      <c r="M105" s="4"/>
      <c r="N105" s="4"/>
      <c r="O105" s="4"/>
    </row>
    <row r="106" spans="1:15">
      <c r="A106" s="4" t="s">
        <v>147</v>
      </c>
      <c r="B106" s="4" t="s">
        <v>1061</v>
      </c>
      <c r="C106" s="9" t="s">
        <v>1234</v>
      </c>
      <c r="F106" s="13">
        <v>0</v>
      </c>
      <c r="I106" s="4"/>
      <c r="J106" s="4"/>
      <c r="K106" s="4"/>
      <c r="L106" s="4"/>
      <c r="M106" s="4"/>
      <c r="N106" s="4"/>
      <c r="O106" s="4"/>
    </row>
    <row r="107" spans="1:15">
      <c r="A107" s="4" t="s">
        <v>147</v>
      </c>
      <c r="B107" s="4" t="s">
        <v>1062</v>
      </c>
      <c r="C107" s="9" t="s">
        <v>1235</v>
      </c>
      <c r="F107" s="13">
        <v>0</v>
      </c>
      <c r="I107" s="4"/>
      <c r="J107" s="4"/>
      <c r="K107" s="4"/>
      <c r="L107" s="4"/>
      <c r="M107" s="4"/>
      <c r="N107" s="4"/>
      <c r="O107" s="4"/>
    </row>
    <row r="108" spans="1:15">
      <c r="A108" s="4" t="s">
        <v>147</v>
      </c>
      <c r="B108" s="4" t="s">
        <v>164</v>
      </c>
      <c r="C108" s="9" t="s">
        <v>153</v>
      </c>
      <c r="D108" s="13">
        <v>0</v>
      </c>
      <c r="F108" s="13">
        <v>1</v>
      </c>
      <c r="G108" s="21">
        <v>0</v>
      </c>
      <c r="H108" s="13">
        <v>1</v>
      </c>
      <c r="I108" s="4">
        <v>14</v>
      </c>
      <c r="J108" s="4">
        <v>25</v>
      </c>
      <c r="K108" s="4" t="s">
        <v>124</v>
      </c>
      <c r="L108" s="4" t="s">
        <v>13</v>
      </c>
      <c r="M108" s="4">
        <v>2018</v>
      </c>
      <c r="N108" s="4">
        <v>1</v>
      </c>
      <c r="O108" s="4">
        <v>0</v>
      </c>
    </row>
    <row r="109" spans="1:15">
      <c r="A109" s="4" t="s">
        <v>147</v>
      </c>
      <c r="B109" s="4" t="s">
        <v>1063</v>
      </c>
      <c r="C109" s="10" t="s">
        <v>1236</v>
      </c>
      <c r="F109" s="13">
        <v>0</v>
      </c>
      <c r="I109" s="4"/>
      <c r="J109" s="4"/>
      <c r="K109" s="4"/>
      <c r="L109" s="4"/>
      <c r="M109" s="4"/>
      <c r="N109" s="4"/>
      <c r="O109" s="4"/>
    </row>
    <row r="110" spans="1:15">
      <c r="A110" s="4" t="s">
        <v>147</v>
      </c>
      <c r="B110" s="4" t="s">
        <v>1064</v>
      </c>
      <c r="C110" s="9" t="s">
        <v>1237</v>
      </c>
      <c r="F110" s="13">
        <v>0</v>
      </c>
      <c r="I110" s="4"/>
      <c r="J110" s="4"/>
      <c r="K110" s="4"/>
      <c r="L110" s="4"/>
      <c r="M110" s="4"/>
      <c r="N110" s="4"/>
      <c r="O110" s="4"/>
    </row>
    <row r="111" spans="1:15">
      <c r="A111" s="4" t="s">
        <v>147</v>
      </c>
      <c r="B111" s="4" t="s">
        <v>165</v>
      </c>
      <c r="C111" s="9" t="s">
        <v>154</v>
      </c>
      <c r="D111" s="13">
        <v>0</v>
      </c>
      <c r="F111" s="13">
        <v>1</v>
      </c>
      <c r="G111" s="21">
        <v>0</v>
      </c>
      <c r="H111" s="13">
        <v>1</v>
      </c>
      <c r="I111" s="4">
        <v>17</v>
      </c>
      <c r="J111" s="4">
        <v>25</v>
      </c>
      <c r="K111" s="4" t="s">
        <v>124</v>
      </c>
      <c r="L111" s="4" t="s">
        <v>13</v>
      </c>
      <c r="M111" s="4">
        <v>2018</v>
      </c>
      <c r="N111" s="4">
        <v>1</v>
      </c>
      <c r="O111" s="4">
        <v>0</v>
      </c>
    </row>
    <row r="112" spans="1:15">
      <c r="A112" s="4" t="s">
        <v>147</v>
      </c>
      <c r="B112" s="4" t="s">
        <v>1065</v>
      </c>
      <c r="C112" s="9" t="s">
        <v>1238</v>
      </c>
      <c r="F112" s="13">
        <v>0</v>
      </c>
      <c r="I112" s="4"/>
      <c r="J112" s="4"/>
      <c r="K112" s="4"/>
      <c r="L112" s="4"/>
      <c r="M112" s="4"/>
      <c r="N112" s="4"/>
      <c r="O112" s="4"/>
    </row>
    <row r="113" spans="1:15">
      <c r="A113" s="4" t="s">
        <v>147</v>
      </c>
      <c r="B113" s="4" t="s">
        <v>166</v>
      </c>
      <c r="C113" s="9" t="s">
        <v>155</v>
      </c>
      <c r="D113" s="13">
        <v>0</v>
      </c>
      <c r="F113" s="13">
        <v>1</v>
      </c>
      <c r="G113" s="21">
        <v>0</v>
      </c>
      <c r="H113" s="13">
        <v>1</v>
      </c>
      <c r="I113" s="4">
        <v>19</v>
      </c>
      <c r="J113" s="4">
        <v>25</v>
      </c>
      <c r="K113" s="4" t="s">
        <v>124</v>
      </c>
      <c r="L113" s="4" t="s">
        <v>13</v>
      </c>
      <c r="M113" s="4">
        <v>2018</v>
      </c>
      <c r="N113" s="4">
        <v>1</v>
      </c>
      <c r="O113" s="4">
        <v>0</v>
      </c>
    </row>
    <row r="114" spans="1:15">
      <c r="A114" s="4" t="s">
        <v>147</v>
      </c>
      <c r="B114" s="4" t="s">
        <v>1066</v>
      </c>
      <c r="C114" s="10" t="s">
        <v>1226</v>
      </c>
      <c r="F114" s="13">
        <v>0</v>
      </c>
      <c r="I114" s="4"/>
      <c r="J114" s="4"/>
      <c r="K114" s="4"/>
      <c r="L114" s="4"/>
      <c r="M114" s="4"/>
      <c r="N114" s="4"/>
      <c r="O114" s="4"/>
    </row>
    <row r="115" spans="1:15">
      <c r="A115" s="4" t="s">
        <v>147</v>
      </c>
      <c r="B115" s="4" t="s">
        <v>167</v>
      </c>
      <c r="C115" s="9" t="s">
        <v>156</v>
      </c>
      <c r="D115" s="13">
        <v>1</v>
      </c>
      <c r="E115" s="13" t="s">
        <v>397</v>
      </c>
      <c r="F115" s="13">
        <v>1</v>
      </c>
      <c r="G115" s="21">
        <v>0</v>
      </c>
      <c r="H115" s="13">
        <v>1</v>
      </c>
      <c r="I115" s="4">
        <v>21</v>
      </c>
      <c r="J115" s="4">
        <v>25</v>
      </c>
      <c r="K115" s="4" t="s">
        <v>124</v>
      </c>
      <c r="L115" s="4" t="s">
        <v>13</v>
      </c>
      <c r="M115" s="4">
        <v>2018</v>
      </c>
      <c r="N115" s="4">
        <v>1</v>
      </c>
      <c r="O115" s="4">
        <v>0</v>
      </c>
    </row>
    <row r="116" spans="1:15">
      <c r="A116" s="4" t="s">
        <v>147</v>
      </c>
      <c r="B116" s="4" t="s">
        <v>168</v>
      </c>
      <c r="C116" s="10" t="s">
        <v>391</v>
      </c>
      <c r="D116" s="13">
        <v>1</v>
      </c>
      <c r="E116" s="13" t="s">
        <v>399</v>
      </c>
      <c r="F116" s="13">
        <v>1</v>
      </c>
      <c r="G116" s="21">
        <v>0</v>
      </c>
      <c r="H116" s="13">
        <v>1</v>
      </c>
      <c r="I116" s="4">
        <v>22</v>
      </c>
      <c r="J116" s="4">
        <v>25</v>
      </c>
      <c r="K116" s="4" t="s">
        <v>124</v>
      </c>
      <c r="L116" s="4" t="s">
        <v>13</v>
      </c>
      <c r="M116" s="4">
        <v>2018</v>
      </c>
      <c r="N116" s="4">
        <v>1</v>
      </c>
      <c r="O116" s="4">
        <v>0</v>
      </c>
    </row>
    <row r="117" spans="1:15">
      <c r="A117" s="4" t="s">
        <v>147</v>
      </c>
      <c r="B117" s="4" t="s">
        <v>1067</v>
      </c>
      <c r="C117" s="9" t="s">
        <v>1239</v>
      </c>
      <c r="F117" s="13">
        <v>0</v>
      </c>
      <c r="I117" s="4"/>
      <c r="J117" s="4"/>
      <c r="K117" s="4"/>
      <c r="L117" s="4"/>
      <c r="M117" s="4"/>
      <c r="N117" s="4"/>
      <c r="O117" s="4"/>
    </row>
    <row r="118" spans="1:15">
      <c r="A118" s="4" t="s">
        <v>147</v>
      </c>
      <c r="B118" s="4" t="s">
        <v>169</v>
      </c>
      <c r="C118" s="10" t="s">
        <v>157</v>
      </c>
      <c r="D118" s="13">
        <v>1</v>
      </c>
      <c r="E118" s="13" t="s">
        <v>399</v>
      </c>
      <c r="F118" s="13">
        <v>1</v>
      </c>
      <c r="G118" s="21">
        <v>0</v>
      </c>
      <c r="H118" s="13">
        <v>1</v>
      </c>
      <c r="I118" s="4">
        <v>24</v>
      </c>
      <c r="J118" s="4">
        <v>25</v>
      </c>
      <c r="K118" s="4" t="s">
        <v>124</v>
      </c>
      <c r="L118" s="4" t="s">
        <v>13</v>
      </c>
      <c r="M118" s="4">
        <v>2018</v>
      </c>
      <c r="N118" s="4">
        <v>1</v>
      </c>
      <c r="O118" s="4">
        <v>0</v>
      </c>
    </row>
    <row r="119" spans="1:15">
      <c r="A119" s="4" t="s">
        <v>147</v>
      </c>
      <c r="B119" s="4" t="s">
        <v>170</v>
      </c>
      <c r="C119" s="9" t="s">
        <v>158</v>
      </c>
      <c r="D119" s="13">
        <v>1</v>
      </c>
      <c r="E119" s="13" t="s">
        <v>399</v>
      </c>
      <c r="F119" s="13">
        <v>1</v>
      </c>
      <c r="G119" s="21">
        <v>0</v>
      </c>
      <c r="H119" s="13">
        <v>2</v>
      </c>
      <c r="I119" s="4">
        <v>25</v>
      </c>
      <c r="J119" s="4">
        <v>25</v>
      </c>
      <c r="K119" s="4" t="s">
        <v>124</v>
      </c>
      <c r="L119" s="4" t="s">
        <v>13</v>
      </c>
      <c r="M119" s="4">
        <v>2018</v>
      </c>
      <c r="N119" s="4">
        <v>1</v>
      </c>
      <c r="O119" s="4">
        <v>0</v>
      </c>
    </row>
    <row r="120" spans="1:15">
      <c r="A120" s="4" t="s">
        <v>171</v>
      </c>
      <c r="B120" s="4" t="s">
        <v>1068</v>
      </c>
      <c r="C120" s="9" t="s">
        <v>1240</v>
      </c>
      <c r="F120" s="13">
        <v>0</v>
      </c>
      <c r="I120" s="4"/>
      <c r="J120" s="4"/>
      <c r="K120" s="4"/>
      <c r="L120" s="4"/>
      <c r="M120" s="4"/>
      <c r="N120" s="4"/>
      <c r="O120" s="4"/>
    </row>
    <row r="121" spans="1:15">
      <c r="A121" s="4" t="s">
        <v>171</v>
      </c>
      <c r="B121" s="4" t="s">
        <v>1069</v>
      </c>
      <c r="C121" s="9" t="s">
        <v>1241</v>
      </c>
      <c r="F121" s="13">
        <v>0</v>
      </c>
      <c r="I121" s="4"/>
      <c r="J121" s="4"/>
      <c r="K121" s="4"/>
      <c r="L121" s="4"/>
      <c r="M121" s="4"/>
      <c r="N121" s="4"/>
      <c r="O121" s="4"/>
    </row>
    <row r="122" spans="1:15">
      <c r="A122" s="4" t="s">
        <v>171</v>
      </c>
      <c r="B122" s="4" t="s">
        <v>1070</v>
      </c>
      <c r="C122" s="9" t="s">
        <v>1242</v>
      </c>
      <c r="F122" s="13">
        <v>0</v>
      </c>
      <c r="I122" s="4"/>
      <c r="J122" s="4"/>
      <c r="K122" s="4"/>
      <c r="L122" s="4"/>
      <c r="M122" s="4"/>
      <c r="N122" s="4"/>
      <c r="O122" s="4"/>
    </row>
    <row r="123" spans="1:15">
      <c r="A123" s="4" t="s">
        <v>171</v>
      </c>
      <c r="B123" s="4" t="s">
        <v>181</v>
      </c>
      <c r="C123" s="9" t="s">
        <v>172</v>
      </c>
      <c r="D123" s="13">
        <v>1</v>
      </c>
      <c r="E123" s="13" t="s">
        <v>399</v>
      </c>
      <c r="F123" s="13">
        <v>1</v>
      </c>
      <c r="G123" s="21">
        <v>1</v>
      </c>
      <c r="H123" s="13">
        <v>2</v>
      </c>
      <c r="I123" s="4">
        <v>4</v>
      </c>
      <c r="J123" s="4">
        <v>16</v>
      </c>
      <c r="K123" s="4" t="s">
        <v>124</v>
      </c>
      <c r="L123" s="4" t="s">
        <v>13</v>
      </c>
      <c r="M123" s="4">
        <v>2019</v>
      </c>
      <c r="N123" s="4">
        <v>1</v>
      </c>
      <c r="O123" s="4">
        <v>1</v>
      </c>
    </row>
    <row r="124" spans="1:15">
      <c r="A124" s="4" t="s">
        <v>171</v>
      </c>
      <c r="B124" s="4" t="s">
        <v>1071</v>
      </c>
      <c r="C124" s="9" t="s">
        <v>1243</v>
      </c>
      <c r="F124" s="13">
        <v>0</v>
      </c>
      <c r="I124" s="4"/>
      <c r="J124" s="4"/>
      <c r="K124" s="4"/>
      <c r="L124" s="4"/>
      <c r="M124" s="4"/>
      <c r="N124" s="4"/>
      <c r="O124" s="4"/>
    </row>
    <row r="125" spans="1:15">
      <c r="A125" s="4" t="s">
        <v>171</v>
      </c>
      <c r="B125" s="4" t="s">
        <v>1072</v>
      </c>
      <c r="C125" s="9" t="s">
        <v>1244</v>
      </c>
      <c r="F125" s="13">
        <v>0</v>
      </c>
      <c r="I125" s="4"/>
      <c r="J125" s="4"/>
      <c r="K125" s="4"/>
      <c r="L125" s="4"/>
      <c r="M125" s="4"/>
      <c r="N125" s="4"/>
      <c r="O125" s="4"/>
    </row>
    <row r="126" spans="1:15">
      <c r="A126" s="4" t="s">
        <v>171</v>
      </c>
      <c r="B126" s="4" t="s">
        <v>182</v>
      </c>
      <c r="C126" s="9" t="s">
        <v>400</v>
      </c>
      <c r="D126" s="13">
        <v>1</v>
      </c>
      <c r="E126" s="13" t="s">
        <v>397</v>
      </c>
      <c r="F126" s="13">
        <v>1</v>
      </c>
      <c r="G126" s="21">
        <v>0</v>
      </c>
      <c r="H126" s="13">
        <v>1</v>
      </c>
      <c r="I126" s="4">
        <v>7</v>
      </c>
      <c r="J126" s="4">
        <v>16</v>
      </c>
      <c r="K126" s="4" t="s">
        <v>124</v>
      </c>
      <c r="L126" s="4" t="s">
        <v>13</v>
      </c>
      <c r="M126" s="4">
        <v>2019</v>
      </c>
      <c r="N126" s="4">
        <v>1</v>
      </c>
      <c r="O126" s="4">
        <v>1</v>
      </c>
    </row>
    <row r="127" spans="1:15">
      <c r="A127" s="4" t="s">
        <v>171</v>
      </c>
      <c r="B127" s="4" t="s">
        <v>1073</v>
      </c>
      <c r="C127" s="9" t="s">
        <v>1245</v>
      </c>
      <c r="F127" s="13">
        <v>0</v>
      </c>
      <c r="I127" s="4"/>
      <c r="J127" s="4"/>
      <c r="K127" s="4"/>
      <c r="L127" s="4"/>
      <c r="M127" s="4"/>
      <c r="N127" s="4"/>
      <c r="O127" s="4"/>
    </row>
    <row r="128" spans="1:15">
      <c r="A128" s="4" t="s">
        <v>171</v>
      </c>
      <c r="B128" s="4" t="s">
        <v>183</v>
      </c>
      <c r="C128" s="9" t="s">
        <v>173</v>
      </c>
      <c r="D128" s="13">
        <v>1</v>
      </c>
      <c r="E128" s="13" t="s">
        <v>397</v>
      </c>
      <c r="F128" s="13">
        <v>1</v>
      </c>
      <c r="G128" s="21">
        <v>0</v>
      </c>
      <c r="H128" s="13">
        <v>1</v>
      </c>
      <c r="I128" s="4">
        <v>9</v>
      </c>
      <c r="J128" s="4">
        <v>16</v>
      </c>
      <c r="K128" s="4" t="s">
        <v>124</v>
      </c>
      <c r="L128" s="4" t="s">
        <v>13</v>
      </c>
      <c r="M128" s="4">
        <v>2019</v>
      </c>
      <c r="N128" s="4">
        <v>1</v>
      </c>
      <c r="O128" s="4">
        <v>1</v>
      </c>
    </row>
    <row r="129" spans="1:15">
      <c r="A129" s="4" t="s">
        <v>171</v>
      </c>
      <c r="B129" s="4" t="s">
        <v>184</v>
      </c>
      <c r="C129" s="9" t="s">
        <v>174</v>
      </c>
      <c r="D129" s="13">
        <v>1</v>
      </c>
      <c r="E129" s="13" t="s">
        <v>397</v>
      </c>
      <c r="F129" s="13">
        <v>1</v>
      </c>
      <c r="G129" s="21">
        <v>0</v>
      </c>
      <c r="H129" s="13">
        <v>1</v>
      </c>
      <c r="I129" s="4">
        <v>10</v>
      </c>
      <c r="J129" s="4">
        <v>16</v>
      </c>
      <c r="K129" s="4" t="s">
        <v>124</v>
      </c>
      <c r="L129" s="4" t="s">
        <v>13</v>
      </c>
      <c r="M129" s="4">
        <v>2019</v>
      </c>
      <c r="N129" s="4">
        <v>1</v>
      </c>
      <c r="O129" s="4">
        <v>1</v>
      </c>
    </row>
    <row r="130" spans="1:15">
      <c r="A130" s="4" t="s">
        <v>171</v>
      </c>
      <c r="B130" s="4" t="s">
        <v>185</v>
      </c>
      <c r="C130" s="9" t="s">
        <v>175</v>
      </c>
      <c r="D130" s="13">
        <v>1</v>
      </c>
      <c r="E130" s="13" t="s">
        <v>399</v>
      </c>
      <c r="F130" s="13">
        <v>1</v>
      </c>
      <c r="G130" s="21">
        <v>1</v>
      </c>
      <c r="H130" s="13">
        <v>1</v>
      </c>
      <c r="I130" s="4">
        <v>11</v>
      </c>
      <c r="J130" s="4">
        <v>16</v>
      </c>
      <c r="K130" s="4" t="s">
        <v>124</v>
      </c>
      <c r="L130" s="4" t="s">
        <v>13</v>
      </c>
      <c r="M130" s="4">
        <v>2019</v>
      </c>
      <c r="N130" s="4">
        <v>1</v>
      </c>
      <c r="O130" s="4">
        <v>1</v>
      </c>
    </row>
    <row r="131" spans="1:15">
      <c r="A131" s="4" t="s">
        <v>171</v>
      </c>
      <c r="B131" s="4" t="s">
        <v>186</v>
      </c>
      <c r="C131" s="9" t="s">
        <v>176</v>
      </c>
      <c r="D131" s="13">
        <v>1</v>
      </c>
      <c r="E131" s="13" t="s">
        <v>397</v>
      </c>
      <c r="F131" s="13">
        <v>1</v>
      </c>
      <c r="G131" s="21">
        <v>0</v>
      </c>
      <c r="H131" s="13">
        <v>1</v>
      </c>
      <c r="I131" s="4">
        <v>12</v>
      </c>
      <c r="J131" s="4">
        <v>16</v>
      </c>
      <c r="K131" s="4" t="s">
        <v>124</v>
      </c>
      <c r="L131" s="4" t="s">
        <v>13</v>
      </c>
      <c r="M131" s="4">
        <v>2019</v>
      </c>
      <c r="N131" s="4">
        <v>1</v>
      </c>
      <c r="O131" s="4">
        <v>1</v>
      </c>
    </row>
    <row r="132" spans="1:15">
      <c r="A132" s="4" t="s">
        <v>171</v>
      </c>
      <c r="B132" s="4" t="s">
        <v>187</v>
      </c>
      <c r="C132" s="9" t="s">
        <v>177</v>
      </c>
      <c r="D132" s="13">
        <v>1</v>
      </c>
      <c r="E132" s="13" t="s">
        <v>399</v>
      </c>
      <c r="F132" s="13">
        <v>1</v>
      </c>
      <c r="G132" s="21">
        <v>0</v>
      </c>
      <c r="H132" s="13">
        <v>2</v>
      </c>
      <c r="I132" s="4">
        <v>13</v>
      </c>
      <c r="J132" s="4">
        <v>16</v>
      </c>
      <c r="K132" s="4" t="s">
        <v>124</v>
      </c>
      <c r="L132" s="4" t="s">
        <v>13</v>
      </c>
      <c r="M132" s="4">
        <v>2019</v>
      </c>
      <c r="N132" s="4">
        <v>1</v>
      </c>
      <c r="O132" s="4">
        <v>1</v>
      </c>
    </row>
    <row r="133" spans="1:15">
      <c r="A133" s="4" t="s">
        <v>171</v>
      </c>
      <c r="B133" s="4" t="s">
        <v>188</v>
      </c>
      <c r="C133" s="9" t="s">
        <v>178</v>
      </c>
      <c r="D133" s="13">
        <v>1</v>
      </c>
      <c r="E133" s="13" t="s">
        <v>397</v>
      </c>
      <c r="F133" s="13">
        <v>1</v>
      </c>
      <c r="G133" s="21">
        <v>1</v>
      </c>
      <c r="H133" s="13">
        <v>1</v>
      </c>
      <c r="I133" s="4">
        <v>14</v>
      </c>
      <c r="J133" s="4">
        <v>16</v>
      </c>
      <c r="K133" s="4" t="s">
        <v>124</v>
      </c>
      <c r="L133" s="4" t="s">
        <v>13</v>
      </c>
      <c r="M133" s="4">
        <v>2019</v>
      </c>
      <c r="N133" s="4">
        <v>1</v>
      </c>
      <c r="O133" s="4">
        <v>1</v>
      </c>
    </row>
    <row r="134" spans="1:15">
      <c r="A134" s="4" t="s">
        <v>171</v>
      </c>
      <c r="B134" s="4" t="s">
        <v>189</v>
      </c>
      <c r="C134" s="9" t="s">
        <v>179</v>
      </c>
      <c r="D134" s="13">
        <v>0</v>
      </c>
      <c r="F134" s="13">
        <v>1</v>
      </c>
      <c r="G134" s="21">
        <v>1</v>
      </c>
      <c r="H134" s="13">
        <v>1</v>
      </c>
      <c r="I134" s="4">
        <v>15</v>
      </c>
      <c r="J134" s="4">
        <v>16</v>
      </c>
      <c r="K134" s="4" t="s">
        <v>124</v>
      </c>
      <c r="L134" s="4" t="s">
        <v>13</v>
      </c>
      <c r="M134" s="4">
        <v>2019</v>
      </c>
      <c r="N134" s="4">
        <v>1</v>
      </c>
      <c r="O134" s="4">
        <v>1</v>
      </c>
    </row>
    <row r="135" spans="1:15">
      <c r="A135" s="4" t="s">
        <v>171</v>
      </c>
      <c r="B135" s="4" t="s">
        <v>190</v>
      </c>
      <c r="C135" s="9" t="s">
        <v>180</v>
      </c>
      <c r="D135" s="13">
        <v>0</v>
      </c>
      <c r="F135" s="13">
        <v>1</v>
      </c>
      <c r="G135" s="21">
        <v>0</v>
      </c>
      <c r="H135" s="13">
        <v>1</v>
      </c>
      <c r="I135" s="4">
        <v>16</v>
      </c>
      <c r="J135" s="4">
        <v>16</v>
      </c>
      <c r="K135" s="4" t="s">
        <v>124</v>
      </c>
      <c r="L135" s="4" t="s">
        <v>13</v>
      </c>
      <c r="M135" s="4">
        <v>2019</v>
      </c>
      <c r="N135" s="4">
        <v>1</v>
      </c>
      <c r="O135" s="4">
        <v>1</v>
      </c>
    </row>
    <row r="136" spans="1:15">
      <c r="A136" s="4" t="s">
        <v>191</v>
      </c>
      <c r="B136" s="4" t="s">
        <v>1074</v>
      </c>
      <c r="C136" s="9" t="s">
        <v>1246</v>
      </c>
      <c r="F136" s="13">
        <v>0</v>
      </c>
      <c r="I136" s="4"/>
      <c r="J136" s="4"/>
      <c r="K136" s="4"/>
      <c r="L136" s="4"/>
      <c r="M136" s="4"/>
      <c r="N136" s="4"/>
      <c r="O136" s="4"/>
    </row>
    <row r="137" spans="1:15">
      <c r="A137" s="4" t="s">
        <v>191</v>
      </c>
      <c r="B137" s="4" t="s">
        <v>204</v>
      </c>
      <c r="C137" s="11" t="s">
        <v>196</v>
      </c>
      <c r="D137" s="13">
        <v>1</v>
      </c>
      <c r="E137" s="13" t="s">
        <v>399</v>
      </c>
      <c r="F137" s="13">
        <v>1</v>
      </c>
      <c r="G137" s="21">
        <v>1</v>
      </c>
      <c r="H137" s="13">
        <v>1</v>
      </c>
      <c r="I137" s="4">
        <v>2</v>
      </c>
      <c r="J137" s="4">
        <v>17</v>
      </c>
      <c r="K137" s="4" t="s">
        <v>124</v>
      </c>
      <c r="L137" s="4" t="s">
        <v>13</v>
      </c>
      <c r="M137" s="4">
        <v>2020</v>
      </c>
      <c r="N137" s="4">
        <v>1</v>
      </c>
      <c r="O137" s="4">
        <v>1</v>
      </c>
    </row>
    <row r="138" spans="1:15">
      <c r="A138" s="4" t="s">
        <v>191</v>
      </c>
      <c r="B138" s="4" t="s">
        <v>1075</v>
      </c>
      <c r="C138" s="9" t="s">
        <v>1247</v>
      </c>
      <c r="F138" s="13">
        <v>0</v>
      </c>
      <c r="I138" s="4"/>
      <c r="J138" s="4"/>
      <c r="K138" s="4"/>
      <c r="L138" s="4"/>
      <c r="M138" s="4"/>
      <c r="N138" s="4"/>
      <c r="O138" s="4"/>
    </row>
    <row r="139" spans="1:15">
      <c r="A139" s="4" t="s">
        <v>191</v>
      </c>
      <c r="B139" s="4" t="s">
        <v>1076</v>
      </c>
      <c r="C139" s="11" t="s">
        <v>1248</v>
      </c>
      <c r="F139" s="13">
        <v>0</v>
      </c>
      <c r="I139" s="4"/>
      <c r="J139" s="4"/>
      <c r="K139" s="4"/>
      <c r="L139" s="4"/>
      <c r="M139" s="4"/>
      <c r="N139" s="4"/>
      <c r="O139" s="4"/>
    </row>
    <row r="140" spans="1:15">
      <c r="A140" s="4" t="s">
        <v>191</v>
      </c>
      <c r="B140" s="4" t="s">
        <v>205</v>
      </c>
      <c r="C140" s="11" t="s">
        <v>401</v>
      </c>
      <c r="D140" s="13">
        <v>1</v>
      </c>
      <c r="E140" s="13" t="s">
        <v>397</v>
      </c>
      <c r="F140" s="13">
        <v>1</v>
      </c>
      <c r="G140" s="21">
        <v>0</v>
      </c>
      <c r="H140" s="13">
        <v>1</v>
      </c>
      <c r="I140" s="4">
        <v>5</v>
      </c>
      <c r="J140" s="4">
        <v>17</v>
      </c>
      <c r="K140" s="4" t="s">
        <v>124</v>
      </c>
      <c r="L140" s="4" t="s">
        <v>13</v>
      </c>
      <c r="M140" s="4">
        <v>2020</v>
      </c>
      <c r="N140" s="4">
        <v>1</v>
      </c>
      <c r="O140" s="4">
        <v>1</v>
      </c>
    </row>
    <row r="141" spans="1:15">
      <c r="A141" s="4" t="s">
        <v>191</v>
      </c>
      <c r="B141" s="4" t="s">
        <v>206</v>
      </c>
      <c r="C141" s="11" t="s">
        <v>197</v>
      </c>
      <c r="D141" s="13">
        <v>1</v>
      </c>
      <c r="E141" s="13" t="s">
        <v>397</v>
      </c>
      <c r="F141" s="13">
        <v>1</v>
      </c>
      <c r="G141" s="21">
        <v>0</v>
      </c>
      <c r="H141" s="13">
        <v>1</v>
      </c>
      <c r="I141" s="4">
        <v>6</v>
      </c>
      <c r="J141" s="4">
        <v>17</v>
      </c>
      <c r="K141" s="4" t="s">
        <v>124</v>
      </c>
      <c r="L141" s="4" t="s">
        <v>13</v>
      </c>
      <c r="M141" s="4">
        <v>2020</v>
      </c>
      <c r="N141" s="4">
        <v>1</v>
      </c>
      <c r="O141" s="4">
        <v>1</v>
      </c>
    </row>
    <row r="142" spans="1:15">
      <c r="A142" s="4" t="s">
        <v>191</v>
      </c>
      <c r="B142" s="4" t="s">
        <v>1077</v>
      </c>
      <c r="C142" s="11" t="s">
        <v>1249</v>
      </c>
      <c r="F142" s="13">
        <v>0</v>
      </c>
      <c r="I142" s="4"/>
      <c r="J142" s="4"/>
      <c r="K142" s="4"/>
      <c r="L142" s="4"/>
      <c r="M142" s="4"/>
      <c r="N142" s="4"/>
      <c r="O142" s="4"/>
    </row>
    <row r="143" spans="1:15">
      <c r="A143" s="4" t="s">
        <v>191</v>
      </c>
      <c r="B143" s="4" t="s">
        <v>1078</v>
      </c>
      <c r="C143" s="9" t="s">
        <v>1250</v>
      </c>
      <c r="F143" s="13">
        <v>0</v>
      </c>
      <c r="I143" s="4"/>
      <c r="J143" s="4"/>
      <c r="K143" s="4"/>
      <c r="L143" s="4"/>
      <c r="M143" s="4"/>
      <c r="N143" s="4"/>
      <c r="O143" s="4"/>
    </row>
    <row r="144" spans="1:15">
      <c r="A144" s="4" t="s">
        <v>191</v>
      </c>
      <c r="B144" s="4" t="s">
        <v>207</v>
      </c>
      <c r="C144" s="11" t="s">
        <v>198</v>
      </c>
      <c r="D144" s="13">
        <v>1</v>
      </c>
      <c r="E144" s="13" t="s">
        <v>397</v>
      </c>
      <c r="F144" s="13">
        <v>1</v>
      </c>
      <c r="G144" s="21">
        <v>0</v>
      </c>
      <c r="H144" s="13">
        <v>1</v>
      </c>
      <c r="I144" s="4">
        <v>9</v>
      </c>
      <c r="J144" s="4">
        <v>17</v>
      </c>
      <c r="K144" s="4" t="s">
        <v>124</v>
      </c>
      <c r="L144" s="4" t="s">
        <v>13</v>
      </c>
      <c r="M144" s="4">
        <v>2020</v>
      </c>
      <c r="N144" s="4">
        <v>1</v>
      </c>
      <c r="O144" s="4">
        <v>1</v>
      </c>
    </row>
    <row r="145" spans="1:15">
      <c r="A145" s="4" t="s">
        <v>191</v>
      </c>
      <c r="B145" s="4" t="s">
        <v>1079</v>
      </c>
      <c r="C145" s="11" t="s">
        <v>1251</v>
      </c>
      <c r="F145" s="13">
        <v>0</v>
      </c>
      <c r="I145" s="4"/>
      <c r="J145" s="4"/>
      <c r="K145" s="4"/>
      <c r="L145" s="4"/>
      <c r="M145" s="4"/>
      <c r="N145" s="4"/>
      <c r="O145" s="4"/>
    </row>
    <row r="146" spans="1:15">
      <c r="A146" s="4" t="s">
        <v>191</v>
      </c>
      <c r="B146" s="4" t="s">
        <v>208</v>
      </c>
      <c r="C146" s="11" t="s">
        <v>156</v>
      </c>
      <c r="D146" s="13">
        <v>1</v>
      </c>
      <c r="E146" s="13" t="s">
        <v>397</v>
      </c>
      <c r="F146" s="13">
        <v>1</v>
      </c>
      <c r="G146" s="21">
        <v>0</v>
      </c>
      <c r="H146" s="13">
        <v>1</v>
      </c>
      <c r="I146" s="4">
        <v>11</v>
      </c>
      <c r="J146" s="4">
        <v>17</v>
      </c>
      <c r="K146" s="4" t="s">
        <v>124</v>
      </c>
      <c r="L146" s="4" t="s">
        <v>13</v>
      </c>
      <c r="M146" s="4">
        <v>2020</v>
      </c>
      <c r="N146" s="4">
        <v>1</v>
      </c>
      <c r="O146" s="4">
        <v>1</v>
      </c>
    </row>
    <row r="147" spans="1:15">
      <c r="A147" s="4" t="s">
        <v>191</v>
      </c>
      <c r="B147" s="4" t="s">
        <v>209</v>
      </c>
      <c r="C147" s="11" t="s">
        <v>199</v>
      </c>
      <c r="D147" s="13">
        <v>1</v>
      </c>
      <c r="E147" s="13" t="s">
        <v>399</v>
      </c>
      <c r="F147" s="13">
        <v>1</v>
      </c>
      <c r="G147" s="21">
        <v>1</v>
      </c>
      <c r="H147" s="13">
        <v>1</v>
      </c>
      <c r="I147" s="4">
        <v>12</v>
      </c>
      <c r="J147" s="4">
        <v>17</v>
      </c>
      <c r="K147" s="4" t="s">
        <v>124</v>
      </c>
      <c r="L147" s="4" t="s">
        <v>13</v>
      </c>
      <c r="M147" s="4">
        <v>2020</v>
      </c>
      <c r="N147" s="4">
        <v>1</v>
      </c>
      <c r="O147" s="4">
        <v>1</v>
      </c>
    </row>
    <row r="148" spans="1:15">
      <c r="A148" s="4" t="s">
        <v>191</v>
      </c>
      <c r="B148" s="4" t="s">
        <v>210</v>
      </c>
      <c r="C148" s="11" t="s">
        <v>200</v>
      </c>
      <c r="D148" s="13">
        <v>1</v>
      </c>
      <c r="E148" s="13" t="s">
        <v>399</v>
      </c>
      <c r="F148" s="13">
        <v>1</v>
      </c>
      <c r="G148" s="21">
        <v>0</v>
      </c>
      <c r="H148" s="13">
        <v>1</v>
      </c>
      <c r="I148" s="4">
        <v>13</v>
      </c>
      <c r="J148" s="4">
        <v>17</v>
      </c>
      <c r="K148" s="4" t="s">
        <v>124</v>
      </c>
      <c r="L148" s="4" t="s">
        <v>13</v>
      </c>
      <c r="M148" s="4">
        <v>2020</v>
      </c>
      <c r="N148" s="4">
        <v>1</v>
      </c>
      <c r="O148" s="4">
        <v>1</v>
      </c>
    </row>
    <row r="149" spans="1:15">
      <c r="A149" s="4" t="s">
        <v>191</v>
      </c>
      <c r="B149" s="4" t="s">
        <v>211</v>
      </c>
      <c r="C149" s="11" t="s">
        <v>158</v>
      </c>
      <c r="D149" s="13">
        <v>1</v>
      </c>
      <c r="E149" s="13" t="s">
        <v>399</v>
      </c>
      <c r="F149" s="13">
        <v>1</v>
      </c>
      <c r="G149" s="21">
        <v>0</v>
      </c>
      <c r="H149" s="13">
        <v>2</v>
      </c>
      <c r="I149" s="4">
        <v>14</v>
      </c>
      <c r="J149" s="4">
        <v>17</v>
      </c>
      <c r="K149" s="4" t="s">
        <v>124</v>
      </c>
      <c r="L149" s="4" t="s">
        <v>13</v>
      </c>
      <c r="M149" s="4">
        <v>2020</v>
      </c>
      <c r="N149" s="4">
        <v>1</v>
      </c>
      <c r="O149" s="4">
        <v>1</v>
      </c>
    </row>
    <row r="150" spans="1:15">
      <c r="A150" s="4" t="s">
        <v>191</v>
      </c>
      <c r="B150" s="4" t="s">
        <v>212</v>
      </c>
      <c r="C150" s="11" t="s">
        <v>201</v>
      </c>
      <c r="D150" s="13">
        <v>1</v>
      </c>
      <c r="E150" s="13" t="s">
        <v>397</v>
      </c>
      <c r="F150" s="13">
        <v>1</v>
      </c>
      <c r="G150" s="21">
        <v>1</v>
      </c>
      <c r="H150" s="13">
        <v>1</v>
      </c>
      <c r="I150" s="4">
        <v>15</v>
      </c>
      <c r="J150" s="4">
        <v>17</v>
      </c>
      <c r="K150" s="4" t="s">
        <v>124</v>
      </c>
      <c r="L150" s="4" t="s">
        <v>13</v>
      </c>
      <c r="M150" s="4">
        <v>2020</v>
      </c>
      <c r="N150" s="4">
        <v>1</v>
      </c>
      <c r="O150" s="4">
        <v>1</v>
      </c>
    </row>
    <row r="151" spans="1:15">
      <c r="A151" s="4" t="s">
        <v>191</v>
      </c>
      <c r="B151" s="4" t="s">
        <v>213</v>
      </c>
      <c r="C151" s="11" t="s">
        <v>202</v>
      </c>
      <c r="D151" s="13">
        <v>0</v>
      </c>
      <c r="F151" s="13">
        <v>1</v>
      </c>
      <c r="G151" s="21">
        <v>0</v>
      </c>
      <c r="H151" s="13">
        <v>1</v>
      </c>
      <c r="I151" s="4">
        <v>16</v>
      </c>
      <c r="J151" s="4">
        <v>17</v>
      </c>
      <c r="K151" s="4" t="s">
        <v>124</v>
      </c>
      <c r="L151" s="4" t="s">
        <v>13</v>
      </c>
      <c r="M151" s="4">
        <v>2020</v>
      </c>
      <c r="N151" s="4">
        <v>1</v>
      </c>
      <c r="O151" s="4">
        <v>1</v>
      </c>
    </row>
    <row r="152" spans="1:15">
      <c r="A152" s="4" t="s">
        <v>191</v>
      </c>
      <c r="B152" s="4" t="s">
        <v>214</v>
      </c>
      <c r="C152" s="11" t="s">
        <v>203</v>
      </c>
      <c r="D152" s="13">
        <v>0</v>
      </c>
      <c r="F152" s="13">
        <v>1</v>
      </c>
      <c r="G152" s="21">
        <v>0</v>
      </c>
      <c r="H152" s="13">
        <v>1</v>
      </c>
      <c r="I152" s="4">
        <v>17</v>
      </c>
      <c r="J152" s="4">
        <v>17</v>
      </c>
      <c r="K152" s="4" t="s">
        <v>124</v>
      </c>
      <c r="L152" s="4" t="s">
        <v>13</v>
      </c>
      <c r="M152" s="4">
        <v>2020</v>
      </c>
      <c r="N152" s="4">
        <v>1</v>
      </c>
      <c r="O152" s="4">
        <v>1</v>
      </c>
    </row>
    <row r="153" spans="1:15">
      <c r="A153" s="4" t="s">
        <v>217</v>
      </c>
      <c r="B153" s="4" t="s">
        <v>1080</v>
      </c>
      <c r="C153" s="11" t="s">
        <v>1252</v>
      </c>
      <c r="F153" s="13">
        <v>0</v>
      </c>
      <c r="I153" s="4"/>
      <c r="J153" s="4"/>
      <c r="K153" s="4"/>
      <c r="L153" s="4"/>
      <c r="M153" s="4"/>
      <c r="N153" s="4"/>
      <c r="O153" s="4"/>
    </row>
    <row r="154" spans="1:15">
      <c r="A154" s="4" t="s">
        <v>217</v>
      </c>
      <c r="B154" s="4" t="s">
        <v>1081</v>
      </c>
      <c r="C154" s="11" t="s">
        <v>1253</v>
      </c>
      <c r="F154" s="13">
        <v>0</v>
      </c>
      <c r="I154" s="4"/>
      <c r="J154" s="4"/>
      <c r="K154" s="4"/>
      <c r="L154" s="4"/>
      <c r="M154" s="4"/>
      <c r="N154" s="4"/>
      <c r="O154" s="4"/>
    </row>
    <row r="155" spans="1:15">
      <c r="A155" s="4" t="s">
        <v>217</v>
      </c>
      <c r="B155" s="4" t="s">
        <v>1082</v>
      </c>
      <c r="C155" s="11" t="s">
        <v>1254</v>
      </c>
      <c r="F155" s="13">
        <v>0</v>
      </c>
      <c r="I155" s="4"/>
      <c r="J155" s="4"/>
      <c r="K155" s="4"/>
      <c r="L155" s="4"/>
      <c r="M155" s="4"/>
      <c r="N155" s="4"/>
      <c r="O155" s="4"/>
    </row>
    <row r="156" spans="1:15">
      <c r="A156" s="4" t="s">
        <v>217</v>
      </c>
      <c r="B156" s="4" t="s">
        <v>1083</v>
      </c>
      <c r="C156" s="11" t="s">
        <v>1255</v>
      </c>
      <c r="F156" s="13">
        <v>0</v>
      </c>
      <c r="I156" s="4"/>
      <c r="J156" s="4"/>
      <c r="K156" s="4"/>
      <c r="L156" s="4"/>
      <c r="M156" s="4"/>
      <c r="N156" s="4"/>
      <c r="O156" s="4"/>
    </row>
    <row r="157" spans="1:15">
      <c r="A157" s="4" t="s">
        <v>217</v>
      </c>
      <c r="B157" s="4" t="s">
        <v>1084</v>
      </c>
      <c r="C157" s="11" t="s">
        <v>1256</v>
      </c>
      <c r="F157" s="13">
        <v>0</v>
      </c>
      <c r="I157" s="4"/>
      <c r="J157" s="4"/>
      <c r="K157" s="4"/>
      <c r="L157" s="4"/>
      <c r="M157" s="4"/>
      <c r="N157" s="4"/>
      <c r="O157" s="4"/>
    </row>
    <row r="158" spans="1:15">
      <c r="A158" s="4" t="s">
        <v>217</v>
      </c>
      <c r="B158" s="4" t="s">
        <v>229</v>
      </c>
      <c r="C158" s="11" t="s">
        <v>218</v>
      </c>
      <c r="D158" s="13">
        <v>1</v>
      </c>
      <c r="E158" s="13" t="s">
        <v>397</v>
      </c>
      <c r="F158" s="13">
        <v>1</v>
      </c>
      <c r="G158" s="21">
        <v>0</v>
      </c>
      <c r="H158" s="13">
        <v>1</v>
      </c>
      <c r="I158" s="4">
        <v>6</v>
      </c>
      <c r="J158" s="4">
        <v>22</v>
      </c>
      <c r="K158" s="4" t="s">
        <v>124</v>
      </c>
      <c r="L158" s="4" t="s">
        <v>13</v>
      </c>
      <c r="M158" s="4">
        <v>2021</v>
      </c>
      <c r="N158" s="4">
        <v>1</v>
      </c>
      <c r="O158" s="4">
        <v>1</v>
      </c>
    </row>
    <row r="159" spans="1:15">
      <c r="A159" s="4" t="s">
        <v>217</v>
      </c>
      <c r="B159" s="4" t="s">
        <v>1085</v>
      </c>
      <c r="C159" s="11" t="s">
        <v>1257</v>
      </c>
      <c r="F159" s="13">
        <v>0</v>
      </c>
      <c r="I159" s="4"/>
      <c r="J159" s="4"/>
      <c r="K159" s="4"/>
      <c r="L159" s="4"/>
      <c r="M159" s="4"/>
      <c r="N159" s="4"/>
      <c r="O159" s="4"/>
    </row>
    <row r="160" spans="1:15">
      <c r="A160" s="4" t="s">
        <v>217</v>
      </c>
      <c r="B160" s="4" t="s">
        <v>230</v>
      </c>
      <c r="C160" s="11" t="s">
        <v>219</v>
      </c>
      <c r="D160" s="13">
        <v>1</v>
      </c>
      <c r="E160" s="13" t="s">
        <v>397</v>
      </c>
      <c r="F160" s="13">
        <v>1</v>
      </c>
      <c r="G160" s="21">
        <v>0</v>
      </c>
      <c r="H160" s="13">
        <v>1</v>
      </c>
      <c r="I160" s="4">
        <v>8</v>
      </c>
      <c r="J160" s="4">
        <v>22</v>
      </c>
      <c r="K160" s="4" t="s">
        <v>124</v>
      </c>
      <c r="L160" s="4" t="s">
        <v>13</v>
      </c>
      <c r="M160" s="4">
        <v>2021</v>
      </c>
      <c r="N160" s="4">
        <v>1</v>
      </c>
      <c r="O160" s="4">
        <v>1</v>
      </c>
    </row>
    <row r="161" spans="1:15">
      <c r="A161" s="4" t="s">
        <v>217</v>
      </c>
      <c r="B161" s="4" t="s">
        <v>231</v>
      </c>
      <c r="C161" s="11" t="s">
        <v>220</v>
      </c>
      <c r="D161" s="13">
        <v>1</v>
      </c>
      <c r="E161" s="13" t="s">
        <v>397</v>
      </c>
      <c r="F161" s="13">
        <v>1</v>
      </c>
      <c r="G161" s="21">
        <v>0</v>
      </c>
      <c r="H161" s="13">
        <v>1</v>
      </c>
      <c r="I161" s="4">
        <v>9</v>
      </c>
      <c r="J161" s="4">
        <v>22</v>
      </c>
      <c r="K161" s="4" t="s">
        <v>124</v>
      </c>
      <c r="L161" s="4" t="s">
        <v>13</v>
      </c>
      <c r="M161" s="4">
        <v>2021</v>
      </c>
      <c r="N161" s="4">
        <v>1</v>
      </c>
      <c r="O161" s="4">
        <v>1</v>
      </c>
    </row>
    <row r="162" spans="1:15">
      <c r="A162" s="4" t="s">
        <v>217</v>
      </c>
      <c r="B162" s="4" t="s">
        <v>1086</v>
      </c>
      <c r="C162" s="11" t="s">
        <v>1258</v>
      </c>
      <c r="F162" s="13">
        <v>0</v>
      </c>
      <c r="I162" s="4"/>
      <c r="J162" s="4"/>
      <c r="K162" s="4"/>
      <c r="L162" s="4"/>
      <c r="M162" s="4"/>
      <c r="N162" s="4"/>
      <c r="O162" s="4"/>
    </row>
    <row r="163" spans="1:15">
      <c r="A163" s="4" t="s">
        <v>217</v>
      </c>
      <c r="B163" s="4" t="s">
        <v>1087</v>
      </c>
      <c r="C163" s="11" t="s">
        <v>1259</v>
      </c>
      <c r="F163" s="13">
        <v>0</v>
      </c>
      <c r="I163" s="4"/>
      <c r="J163" s="4"/>
      <c r="K163" s="4"/>
      <c r="L163" s="4"/>
      <c r="M163" s="4"/>
      <c r="N163" s="4"/>
      <c r="O163" s="4"/>
    </row>
    <row r="164" spans="1:15">
      <c r="A164" s="4" t="s">
        <v>217</v>
      </c>
      <c r="B164" s="4" t="s">
        <v>232</v>
      </c>
      <c r="C164" s="11" t="s">
        <v>221</v>
      </c>
      <c r="D164" s="13">
        <v>1</v>
      </c>
      <c r="E164" s="13" t="s">
        <v>397</v>
      </c>
      <c r="F164" s="13">
        <v>1</v>
      </c>
      <c r="G164" s="21">
        <v>0</v>
      </c>
      <c r="H164" s="13">
        <v>1</v>
      </c>
      <c r="I164" s="4">
        <v>12</v>
      </c>
      <c r="J164" s="4">
        <v>22</v>
      </c>
      <c r="K164" s="4" t="s">
        <v>124</v>
      </c>
      <c r="L164" s="4" t="s">
        <v>13</v>
      </c>
      <c r="M164" s="4">
        <v>2021</v>
      </c>
      <c r="N164" s="4">
        <v>1</v>
      </c>
      <c r="O164" s="4">
        <v>1</v>
      </c>
    </row>
    <row r="165" spans="1:15">
      <c r="A165" s="4" t="s">
        <v>217</v>
      </c>
      <c r="B165" s="4" t="s">
        <v>233</v>
      </c>
      <c r="C165" s="11" t="s">
        <v>222</v>
      </c>
      <c r="D165" s="13">
        <v>1</v>
      </c>
      <c r="E165" s="13" t="s">
        <v>395</v>
      </c>
      <c r="F165" s="13">
        <v>1</v>
      </c>
      <c r="G165" s="21">
        <v>0</v>
      </c>
      <c r="H165" s="13">
        <v>2</v>
      </c>
      <c r="I165" s="4">
        <v>13</v>
      </c>
      <c r="J165" s="4">
        <v>22</v>
      </c>
      <c r="K165" s="4" t="s">
        <v>124</v>
      </c>
      <c r="L165" s="4" t="s">
        <v>13</v>
      </c>
      <c r="M165" s="4">
        <v>2021</v>
      </c>
      <c r="N165" s="4">
        <v>1</v>
      </c>
      <c r="O165" s="4">
        <v>1</v>
      </c>
    </row>
    <row r="166" spans="1:15">
      <c r="A166" s="4" t="s">
        <v>217</v>
      </c>
      <c r="B166" s="4" t="s">
        <v>1088</v>
      </c>
      <c r="C166" s="9" t="s">
        <v>1260</v>
      </c>
      <c r="F166" s="13">
        <v>0</v>
      </c>
      <c r="I166" s="4"/>
      <c r="J166" s="4"/>
      <c r="K166" s="4"/>
      <c r="L166" s="4"/>
      <c r="M166" s="4"/>
      <c r="N166" s="4"/>
      <c r="O166" s="4"/>
    </row>
    <row r="167" spans="1:15">
      <c r="A167" s="4" t="s">
        <v>217</v>
      </c>
      <c r="B167" s="4" t="s">
        <v>234</v>
      </c>
      <c r="C167" s="9" t="s">
        <v>223</v>
      </c>
      <c r="D167" s="13">
        <v>1</v>
      </c>
      <c r="E167" s="13" t="s">
        <v>397</v>
      </c>
      <c r="F167" s="13">
        <v>1</v>
      </c>
      <c r="G167" s="21">
        <v>0</v>
      </c>
      <c r="H167" s="13">
        <v>1</v>
      </c>
      <c r="I167" s="4">
        <v>15</v>
      </c>
      <c r="J167" s="4">
        <v>22</v>
      </c>
      <c r="K167" s="4" t="s">
        <v>124</v>
      </c>
      <c r="L167" s="4" t="s">
        <v>13</v>
      </c>
      <c r="M167" s="4">
        <v>2021</v>
      </c>
      <c r="N167" s="4">
        <v>1</v>
      </c>
      <c r="O167" s="4">
        <v>1</v>
      </c>
    </row>
    <row r="168" spans="1:15">
      <c r="A168" s="4" t="s">
        <v>217</v>
      </c>
      <c r="B168" s="4" t="s">
        <v>235</v>
      </c>
      <c r="C168" s="9" t="s">
        <v>224</v>
      </c>
      <c r="D168" s="13">
        <v>1</v>
      </c>
      <c r="E168" s="13" t="s">
        <v>399</v>
      </c>
      <c r="F168" s="13">
        <v>1</v>
      </c>
      <c r="G168" s="21">
        <v>0</v>
      </c>
      <c r="H168" s="13">
        <v>2</v>
      </c>
      <c r="I168" s="4">
        <v>16</v>
      </c>
      <c r="J168" s="4">
        <v>22</v>
      </c>
      <c r="K168" s="4" t="s">
        <v>124</v>
      </c>
      <c r="L168" s="4" t="s">
        <v>13</v>
      </c>
      <c r="M168" s="4">
        <v>2021</v>
      </c>
      <c r="N168" s="4">
        <v>1</v>
      </c>
      <c r="O168" s="4">
        <v>1</v>
      </c>
    </row>
    <row r="169" spans="1:15">
      <c r="A169" s="4" t="s">
        <v>217</v>
      </c>
      <c r="B169" s="4" t="s">
        <v>1089</v>
      </c>
      <c r="C169" s="9" t="s">
        <v>1261</v>
      </c>
      <c r="F169" s="13">
        <v>0</v>
      </c>
      <c r="I169" s="4"/>
      <c r="J169" s="4"/>
      <c r="K169" s="4"/>
      <c r="L169" s="4"/>
      <c r="M169" s="4"/>
      <c r="N169" s="4"/>
      <c r="O169" s="4"/>
    </row>
    <row r="170" spans="1:15">
      <c r="A170" s="4" t="s">
        <v>217</v>
      </c>
      <c r="B170" s="4" t="s">
        <v>236</v>
      </c>
      <c r="C170" s="9" t="s">
        <v>225</v>
      </c>
      <c r="D170" s="13">
        <v>1</v>
      </c>
      <c r="E170" s="13" t="s">
        <v>399</v>
      </c>
      <c r="F170" s="13">
        <v>1</v>
      </c>
      <c r="G170" s="21">
        <v>0</v>
      </c>
      <c r="H170" s="13">
        <v>1</v>
      </c>
      <c r="I170" s="4">
        <v>18</v>
      </c>
      <c r="J170" s="4">
        <v>22</v>
      </c>
      <c r="K170" s="4" t="s">
        <v>124</v>
      </c>
      <c r="L170" s="4" t="s">
        <v>13</v>
      </c>
      <c r="M170" s="4">
        <v>2021</v>
      </c>
      <c r="N170" s="4">
        <v>1</v>
      </c>
      <c r="O170" s="4">
        <v>1</v>
      </c>
    </row>
    <row r="171" spans="1:15">
      <c r="A171" s="4" t="s">
        <v>217</v>
      </c>
      <c r="B171" s="4" t="s">
        <v>237</v>
      </c>
      <c r="C171" s="9" t="s">
        <v>226</v>
      </c>
      <c r="D171" s="13">
        <v>1</v>
      </c>
      <c r="E171" s="13" t="s">
        <v>399</v>
      </c>
      <c r="F171" s="13">
        <v>1</v>
      </c>
      <c r="G171" s="21">
        <v>0</v>
      </c>
      <c r="H171" s="13">
        <v>2</v>
      </c>
      <c r="I171" s="4">
        <v>19</v>
      </c>
      <c r="J171" s="4">
        <v>22</v>
      </c>
      <c r="K171" s="4" t="s">
        <v>124</v>
      </c>
      <c r="L171" s="4" t="s">
        <v>13</v>
      </c>
      <c r="M171" s="4">
        <v>2021</v>
      </c>
      <c r="N171" s="4">
        <v>1</v>
      </c>
      <c r="O171" s="4">
        <v>1</v>
      </c>
    </row>
    <row r="172" spans="1:15">
      <c r="A172" s="4" t="s">
        <v>217</v>
      </c>
      <c r="B172" s="4" t="s">
        <v>238</v>
      </c>
      <c r="C172" s="9" t="s">
        <v>227</v>
      </c>
      <c r="D172" s="13">
        <v>1</v>
      </c>
      <c r="E172" s="13" t="s">
        <v>397</v>
      </c>
      <c r="F172" s="13">
        <v>1</v>
      </c>
      <c r="G172" s="21">
        <v>1</v>
      </c>
      <c r="H172" s="13">
        <v>1</v>
      </c>
      <c r="I172" s="4">
        <v>20</v>
      </c>
      <c r="J172" s="4">
        <v>22</v>
      </c>
      <c r="K172" s="4" t="s">
        <v>124</v>
      </c>
      <c r="L172" s="4" t="s">
        <v>13</v>
      </c>
      <c r="M172" s="4">
        <v>2021</v>
      </c>
      <c r="N172" s="4">
        <v>1</v>
      </c>
      <c r="O172" s="4">
        <v>1</v>
      </c>
    </row>
    <row r="173" spans="1:15">
      <c r="A173" s="4" t="s">
        <v>217</v>
      </c>
      <c r="B173" s="4" t="s">
        <v>239</v>
      </c>
      <c r="C173" s="9" t="s">
        <v>402</v>
      </c>
      <c r="D173" s="13">
        <v>0</v>
      </c>
      <c r="F173" s="13">
        <v>1</v>
      </c>
      <c r="G173" s="21">
        <v>0</v>
      </c>
      <c r="H173" s="13">
        <v>1</v>
      </c>
      <c r="I173" s="4">
        <v>21</v>
      </c>
      <c r="J173" s="4">
        <v>22</v>
      </c>
      <c r="K173" s="4" t="s">
        <v>124</v>
      </c>
      <c r="L173" s="4" t="s">
        <v>13</v>
      </c>
      <c r="M173" s="4">
        <v>2021</v>
      </c>
      <c r="N173" s="4">
        <v>1</v>
      </c>
      <c r="O173" s="4">
        <v>1</v>
      </c>
    </row>
    <row r="174" spans="1:15">
      <c r="A174" s="4" t="s">
        <v>217</v>
      </c>
      <c r="B174" s="4" t="s">
        <v>240</v>
      </c>
      <c r="C174" s="9" t="s">
        <v>228</v>
      </c>
      <c r="D174" s="13">
        <v>0</v>
      </c>
      <c r="F174" s="13">
        <v>1</v>
      </c>
      <c r="G174" s="21">
        <v>0</v>
      </c>
      <c r="H174" s="13">
        <v>1</v>
      </c>
      <c r="I174" s="4">
        <v>22</v>
      </c>
      <c r="J174" s="4">
        <v>22</v>
      </c>
      <c r="K174" s="4" t="s">
        <v>124</v>
      </c>
      <c r="L174" s="4" t="s">
        <v>13</v>
      </c>
      <c r="M174" s="4">
        <v>2021</v>
      </c>
      <c r="N174" s="4">
        <v>1</v>
      </c>
      <c r="O174" s="4">
        <v>1</v>
      </c>
    </row>
    <row r="175" spans="1:15">
      <c r="A175" s="4" t="s">
        <v>241</v>
      </c>
      <c r="B175" s="4" t="s">
        <v>1090</v>
      </c>
      <c r="C175" s="9" t="s">
        <v>1262</v>
      </c>
      <c r="F175" s="13">
        <v>0</v>
      </c>
      <c r="I175" s="4"/>
      <c r="J175" s="4"/>
      <c r="K175" s="4"/>
      <c r="L175" s="4"/>
      <c r="M175" s="4"/>
      <c r="N175" s="4"/>
      <c r="O175" s="4"/>
    </row>
    <row r="176" spans="1:15">
      <c r="A176" s="4" t="s">
        <v>241</v>
      </c>
      <c r="B176" s="4" t="s">
        <v>1091</v>
      </c>
      <c r="C176" s="9" t="s">
        <v>1263</v>
      </c>
      <c r="F176" s="13">
        <v>0</v>
      </c>
      <c r="I176" s="4"/>
      <c r="J176" s="4"/>
      <c r="K176" s="4"/>
      <c r="L176" s="4"/>
      <c r="M176" s="4"/>
      <c r="N176" s="4"/>
      <c r="O176" s="4"/>
    </row>
    <row r="177" spans="1:15">
      <c r="A177" s="4" t="s">
        <v>241</v>
      </c>
      <c r="B177" s="4" t="s">
        <v>1092</v>
      </c>
      <c r="C177" s="9" t="s">
        <v>1264</v>
      </c>
      <c r="F177" s="13">
        <v>0</v>
      </c>
      <c r="I177" s="4"/>
      <c r="J177" s="4"/>
      <c r="K177" s="4"/>
      <c r="L177" s="4"/>
      <c r="M177" s="4"/>
      <c r="N177" s="4"/>
      <c r="O177" s="4"/>
    </row>
    <row r="178" spans="1:15">
      <c r="A178" s="4" t="s">
        <v>241</v>
      </c>
      <c r="B178" s="4" t="s">
        <v>1093</v>
      </c>
      <c r="C178" s="9" t="s">
        <v>1265</v>
      </c>
      <c r="F178" s="13">
        <v>0</v>
      </c>
      <c r="I178" s="4"/>
      <c r="J178" s="4"/>
      <c r="K178" s="4"/>
      <c r="L178" s="4"/>
      <c r="M178" s="4"/>
      <c r="N178" s="4"/>
      <c r="O178" s="4"/>
    </row>
    <row r="179" spans="1:15">
      <c r="A179" s="4" t="s">
        <v>241</v>
      </c>
      <c r="B179" s="4" t="s">
        <v>1094</v>
      </c>
      <c r="C179" s="9" t="s">
        <v>1266</v>
      </c>
      <c r="F179" s="13">
        <v>0</v>
      </c>
      <c r="I179" s="4"/>
      <c r="J179" s="4"/>
      <c r="K179" s="4"/>
      <c r="L179" s="4"/>
      <c r="M179" s="4"/>
      <c r="N179" s="4"/>
      <c r="O179" s="4"/>
    </row>
    <row r="180" spans="1:15">
      <c r="A180" s="4" t="s">
        <v>241</v>
      </c>
      <c r="B180" s="4" t="s">
        <v>1095</v>
      </c>
      <c r="C180" s="9" t="s">
        <v>1267</v>
      </c>
      <c r="F180" s="13">
        <v>0</v>
      </c>
      <c r="I180" s="4"/>
      <c r="J180" s="4"/>
      <c r="K180" s="4"/>
      <c r="L180" s="4"/>
      <c r="M180" s="4"/>
      <c r="N180" s="4"/>
      <c r="O180" s="4"/>
    </row>
    <row r="181" spans="1:15">
      <c r="A181" s="4" t="s">
        <v>241</v>
      </c>
      <c r="B181" s="4" t="s">
        <v>1096</v>
      </c>
      <c r="C181" s="9" t="s">
        <v>1268</v>
      </c>
      <c r="F181" s="13">
        <v>0</v>
      </c>
      <c r="I181" s="4"/>
      <c r="J181" s="4"/>
      <c r="K181" s="4"/>
      <c r="L181" s="4"/>
      <c r="M181" s="4"/>
      <c r="N181" s="4"/>
      <c r="O181" s="4"/>
    </row>
    <row r="182" spans="1:15">
      <c r="A182" s="4" t="s">
        <v>241</v>
      </c>
      <c r="B182" s="4" t="s">
        <v>253</v>
      </c>
      <c r="C182" s="9" t="s">
        <v>403</v>
      </c>
      <c r="D182" s="13">
        <v>1</v>
      </c>
      <c r="E182" s="13" t="s">
        <v>397</v>
      </c>
      <c r="F182" s="13">
        <v>1</v>
      </c>
      <c r="G182" s="21">
        <v>0</v>
      </c>
      <c r="H182" s="13">
        <v>1</v>
      </c>
      <c r="I182" s="4">
        <v>8</v>
      </c>
      <c r="J182" s="4">
        <v>29</v>
      </c>
      <c r="K182" s="4" t="s">
        <v>124</v>
      </c>
      <c r="L182" s="4" t="s">
        <v>13</v>
      </c>
      <c r="M182" s="4">
        <v>2022</v>
      </c>
      <c r="N182" s="4">
        <v>1</v>
      </c>
      <c r="O182" s="4">
        <v>1</v>
      </c>
    </row>
    <row r="183" spans="1:15">
      <c r="A183" s="4" t="s">
        <v>241</v>
      </c>
      <c r="B183" s="4" t="s">
        <v>1097</v>
      </c>
      <c r="C183" s="9" t="s">
        <v>1269</v>
      </c>
      <c r="F183" s="13">
        <v>0</v>
      </c>
      <c r="I183" s="4"/>
      <c r="J183" s="4"/>
      <c r="K183" s="4"/>
      <c r="L183" s="4"/>
      <c r="M183" s="4"/>
      <c r="N183" s="4"/>
      <c r="O183" s="4"/>
    </row>
    <row r="184" spans="1:15">
      <c r="A184" s="4" t="s">
        <v>241</v>
      </c>
      <c r="B184" s="4" t="s">
        <v>254</v>
      </c>
      <c r="C184" s="9" t="s">
        <v>219</v>
      </c>
      <c r="D184" s="13">
        <v>1</v>
      </c>
      <c r="E184" s="13" t="s">
        <v>397</v>
      </c>
      <c r="F184" s="13">
        <v>1</v>
      </c>
      <c r="G184" s="21">
        <v>0</v>
      </c>
      <c r="H184" s="13">
        <v>1</v>
      </c>
      <c r="I184" s="4">
        <v>10</v>
      </c>
      <c r="J184" s="4">
        <v>29</v>
      </c>
      <c r="K184" s="4" t="s">
        <v>124</v>
      </c>
      <c r="L184" s="4" t="s">
        <v>13</v>
      </c>
      <c r="M184" s="4">
        <v>2022</v>
      </c>
      <c r="N184" s="4">
        <v>1</v>
      </c>
      <c r="O184" s="4">
        <v>1</v>
      </c>
    </row>
    <row r="185" spans="1:15">
      <c r="A185" s="4" t="s">
        <v>241</v>
      </c>
      <c r="B185" s="4" t="s">
        <v>255</v>
      </c>
      <c r="C185" s="9" t="s">
        <v>220</v>
      </c>
      <c r="D185" s="13">
        <v>1</v>
      </c>
      <c r="E185" s="13" t="s">
        <v>397</v>
      </c>
      <c r="F185" s="13">
        <v>1</v>
      </c>
      <c r="G185" s="21">
        <v>0</v>
      </c>
      <c r="H185" s="13">
        <v>1</v>
      </c>
      <c r="I185" s="4">
        <v>11</v>
      </c>
      <c r="J185" s="4">
        <v>29</v>
      </c>
      <c r="K185" s="4" t="s">
        <v>124</v>
      </c>
      <c r="L185" s="4" t="s">
        <v>13</v>
      </c>
      <c r="M185" s="4">
        <v>2022</v>
      </c>
      <c r="N185" s="4">
        <v>1</v>
      </c>
      <c r="O185" s="4">
        <v>1</v>
      </c>
    </row>
    <row r="186" spans="1:15">
      <c r="A186" s="4" t="s">
        <v>241</v>
      </c>
      <c r="B186" s="4" t="s">
        <v>1098</v>
      </c>
      <c r="C186" s="9" t="s">
        <v>1270</v>
      </c>
      <c r="F186" s="13">
        <v>0</v>
      </c>
      <c r="I186" s="4"/>
      <c r="J186" s="4"/>
      <c r="K186" s="4"/>
      <c r="L186" s="4"/>
      <c r="M186" s="4"/>
      <c r="N186" s="4"/>
      <c r="O186" s="4"/>
    </row>
    <row r="187" spans="1:15">
      <c r="A187" s="4" t="s">
        <v>241</v>
      </c>
      <c r="B187" s="4" t="s">
        <v>1099</v>
      </c>
      <c r="C187" s="9" t="s">
        <v>1258</v>
      </c>
      <c r="F187" s="13">
        <v>0</v>
      </c>
      <c r="I187" s="4"/>
      <c r="J187" s="4"/>
      <c r="K187" s="4"/>
      <c r="L187" s="4"/>
      <c r="M187" s="4"/>
      <c r="N187" s="4"/>
      <c r="O187" s="4"/>
    </row>
    <row r="188" spans="1:15">
      <c r="A188" s="4" t="s">
        <v>241</v>
      </c>
      <c r="B188" s="4" t="s">
        <v>256</v>
      </c>
      <c r="C188" s="9" t="s">
        <v>242</v>
      </c>
      <c r="D188" s="13">
        <v>1</v>
      </c>
      <c r="E188" s="13" t="s">
        <v>397</v>
      </c>
      <c r="F188" s="13">
        <v>1</v>
      </c>
      <c r="G188" s="21">
        <v>1</v>
      </c>
      <c r="H188" s="13">
        <v>2</v>
      </c>
      <c r="I188" s="4">
        <v>14</v>
      </c>
      <c r="J188" s="4">
        <v>29</v>
      </c>
      <c r="K188" s="4" t="s">
        <v>124</v>
      </c>
      <c r="L188" s="4" t="s">
        <v>13</v>
      </c>
      <c r="M188" s="4">
        <v>2022</v>
      </c>
      <c r="N188" s="4">
        <v>1</v>
      </c>
      <c r="O188" s="4">
        <v>1</v>
      </c>
    </row>
    <row r="189" spans="1:15">
      <c r="A189" s="4" t="s">
        <v>241</v>
      </c>
      <c r="B189" s="4" t="s">
        <v>1100</v>
      </c>
      <c r="C189" s="9" t="s">
        <v>1271</v>
      </c>
      <c r="F189" s="13">
        <v>0</v>
      </c>
      <c r="I189" s="4"/>
      <c r="J189" s="4"/>
      <c r="K189" s="4"/>
      <c r="L189" s="4"/>
      <c r="M189" s="4"/>
      <c r="N189" s="4"/>
      <c r="O189" s="4"/>
    </row>
    <row r="190" spans="1:15">
      <c r="A190" s="4" t="s">
        <v>241</v>
      </c>
      <c r="B190" s="4" t="s">
        <v>257</v>
      </c>
      <c r="C190" s="9" t="s">
        <v>243</v>
      </c>
      <c r="D190" s="13">
        <v>1</v>
      </c>
      <c r="E190" s="13" t="s">
        <v>397</v>
      </c>
      <c r="F190" s="13">
        <v>1</v>
      </c>
      <c r="G190" s="21">
        <v>0</v>
      </c>
      <c r="H190" s="13">
        <v>1</v>
      </c>
      <c r="I190" s="4">
        <v>16</v>
      </c>
      <c r="J190" s="4">
        <v>29</v>
      </c>
      <c r="K190" s="4" t="s">
        <v>124</v>
      </c>
      <c r="L190" s="4" t="s">
        <v>13</v>
      </c>
      <c r="M190" s="4">
        <v>2022</v>
      </c>
      <c r="N190" s="4">
        <v>1</v>
      </c>
      <c r="O190" s="4">
        <v>1</v>
      </c>
    </row>
    <row r="191" spans="1:15">
      <c r="A191" s="4" t="s">
        <v>241</v>
      </c>
      <c r="B191" s="4" t="s">
        <v>258</v>
      </c>
      <c r="C191" s="9" t="s">
        <v>244</v>
      </c>
      <c r="D191" s="13">
        <v>1</v>
      </c>
      <c r="E191" s="13" t="s">
        <v>395</v>
      </c>
      <c r="F191" s="13">
        <v>1</v>
      </c>
      <c r="G191" s="21">
        <v>0</v>
      </c>
      <c r="H191" s="13">
        <v>2</v>
      </c>
      <c r="I191" s="4">
        <v>17</v>
      </c>
      <c r="J191" s="4">
        <v>29</v>
      </c>
      <c r="K191" s="4" t="s">
        <v>124</v>
      </c>
      <c r="L191" s="4" t="s">
        <v>13</v>
      </c>
      <c r="M191" s="4">
        <v>2022</v>
      </c>
      <c r="N191" s="4">
        <v>1</v>
      </c>
      <c r="O191" s="4">
        <v>1</v>
      </c>
    </row>
    <row r="192" spans="1:15">
      <c r="A192" s="4" t="s">
        <v>241</v>
      </c>
      <c r="B192" s="4" t="s">
        <v>1101</v>
      </c>
      <c r="C192" s="9" t="s">
        <v>1272</v>
      </c>
      <c r="F192" s="13">
        <v>0</v>
      </c>
      <c r="I192" s="4"/>
      <c r="J192" s="4"/>
      <c r="K192" s="4"/>
      <c r="L192" s="4"/>
      <c r="M192" s="4"/>
      <c r="N192" s="4"/>
      <c r="O192" s="4"/>
    </row>
    <row r="193" spans="1:15">
      <c r="A193" s="4" t="s">
        <v>241</v>
      </c>
      <c r="B193" s="4" t="s">
        <v>259</v>
      </c>
      <c r="C193" s="9" t="s">
        <v>245</v>
      </c>
      <c r="D193" s="13">
        <v>1</v>
      </c>
      <c r="E193" s="13" t="s">
        <v>397</v>
      </c>
      <c r="F193" s="13">
        <v>1</v>
      </c>
      <c r="G193" s="21">
        <v>0</v>
      </c>
      <c r="H193" s="13">
        <v>1</v>
      </c>
      <c r="I193" s="4">
        <v>19</v>
      </c>
      <c r="J193" s="4">
        <v>29</v>
      </c>
      <c r="K193" s="4" t="s">
        <v>124</v>
      </c>
      <c r="L193" s="4" t="s">
        <v>13</v>
      </c>
      <c r="M193" s="4">
        <v>2022</v>
      </c>
      <c r="N193" s="4">
        <v>1</v>
      </c>
      <c r="O193" s="4">
        <v>1</v>
      </c>
    </row>
    <row r="194" spans="1:15">
      <c r="A194" s="4" t="s">
        <v>241</v>
      </c>
      <c r="B194" s="4" t="s">
        <v>1102</v>
      </c>
      <c r="C194" s="9" t="s">
        <v>1273</v>
      </c>
      <c r="F194" s="13">
        <v>0</v>
      </c>
      <c r="I194" s="4"/>
      <c r="J194" s="4"/>
      <c r="K194" s="4"/>
      <c r="L194" s="4"/>
      <c r="M194" s="4"/>
      <c r="N194" s="4"/>
      <c r="O194" s="4"/>
    </row>
    <row r="195" spans="1:15">
      <c r="A195" s="4" t="s">
        <v>241</v>
      </c>
      <c r="B195" s="4" t="s">
        <v>260</v>
      </c>
      <c r="C195" s="9" t="s">
        <v>246</v>
      </c>
      <c r="D195" s="13">
        <v>1</v>
      </c>
      <c r="E195" s="13" t="s">
        <v>397</v>
      </c>
      <c r="F195" s="13">
        <v>1</v>
      </c>
      <c r="G195" s="21">
        <v>0</v>
      </c>
      <c r="H195" s="13">
        <v>1</v>
      </c>
      <c r="I195" s="4">
        <v>21</v>
      </c>
      <c r="J195" s="4">
        <v>29</v>
      </c>
      <c r="K195" s="4" t="s">
        <v>124</v>
      </c>
      <c r="L195" s="4" t="s">
        <v>13</v>
      </c>
      <c r="M195" s="4">
        <v>2022</v>
      </c>
      <c r="N195" s="4">
        <v>1</v>
      </c>
      <c r="O195" s="4">
        <v>1</v>
      </c>
    </row>
    <row r="196" spans="1:15">
      <c r="A196" s="4" t="s">
        <v>241</v>
      </c>
      <c r="B196" s="4" t="s">
        <v>261</v>
      </c>
      <c r="C196" s="9" t="s">
        <v>247</v>
      </c>
      <c r="D196" s="13">
        <v>1</v>
      </c>
      <c r="E196" s="13" t="s">
        <v>399</v>
      </c>
      <c r="F196" s="13">
        <v>1</v>
      </c>
      <c r="G196" s="21">
        <v>0</v>
      </c>
      <c r="H196" s="13">
        <v>2</v>
      </c>
      <c r="I196" s="4">
        <v>22</v>
      </c>
      <c r="J196" s="4">
        <v>29</v>
      </c>
      <c r="K196" s="4" t="s">
        <v>124</v>
      </c>
      <c r="L196" s="4" t="s">
        <v>13</v>
      </c>
      <c r="M196" s="4">
        <v>2022</v>
      </c>
      <c r="N196" s="4">
        <v>1</v>
      </c>
      <c r="O196" s="4">
        <v>1</v>
      </c>
    </row>
    <row r="197" spans="1:15">
      <c r="A197" s="4" t="s">
        <v>241</v>
      </c>
      <c r="B197" s="4" t="s">
        <v>1103</v>
      </c>
      <c r="C197" s="9" t="s">
        <v>1274</v>
      </c>
      <c r="F197" s="13">
        <v>0</v>
      </c>
      <c r="I197" s="4"/>
      <c r="J197" s="4"/>
      <c r="K197" s="4"/>
      <c r="L197" s="4"/>
      <c r="M197" s="4"/>
      <c r="N197" s="4"/>
      <c r="O197" s="4"/>
    </row>
    <row r="198" spans="1:15">
      <c r="A198" s="4" t="s">
        <v>241</v>
      </c>
      <c r="B198" s="4" t="s">
        <v>262</v>
      </c>
      <c r="C198" s="9" t="s">
        <v>248</v>
      </c>
      <c r="D198" s="13">
        <v>1</v>
      </c>
      <c r="E198" s="13" t="s">
        <v>399</v>
      </c>
      <c r="F198" s="13">
        <v>1</v>
      </c>
      <c r="G198" s="21">
        <v>0</v>
      </c>
      <c r="H198" s="13">
        <v>2</v>
      </c>
      <c r="I198" s="4">
        <v>24</v>
      </c>
      <c r="J198" s="4">
        <v>29</v>
      </c>
      <c r="K198" s="4" t="s">
        <v>124</v>
      </c>
      <c r="L198" s="4" t="s">
        <v>13</v>
      </c>
      <c r="M198" s="4">
        <v>2022</v>
      </c>
      <c r="N198" s="4">
        <v>1</v>
      </c>
      <c r="O198" s="4">
        <v>1</v>
      </c>
    </row>
    <row r="199" spans="1:15">
      <c r="A199" s="4" t="s">
        <v>241</v>
      </c>
      <c r="B199" s="4" t="s">
        <v>263</v>
      </c>
      <c r="C199" s="9" t="s">
        <v>249</v>
      </c>
      <c r="D199" s="13">
        <v>1</v>
      </c>
      <c r="E199" s="13" t="s">
        <v>397</v>
      </c>
      <c r="F199" s="13">
        <v>1</v>
      </c>
      <c r="G199" s="21">
        <v>0</v>
      </c>
      <c r="H199" s="13">
        <v>1</v>
      </c>
      <c r="I199" s="4">
        <v>25</v>
      </c>
      <c r="J199" s="4">
        <v>29</v>
      </c>
      <c r="K199" s="4" t="s">
        <v>124</v>
      </c>
      <c r="L199" s="4" t="s">
        <v>13</v>
      </c>
      <c r="M199" s="4">
        <v>2022</v>
      </c>
      <c r="N199" s="4">
        <v>1</v>
      </c>
      <c r="O199" s="4">
        <v>1</v>
      </c>
    </row>
    <row r="200" spans="1:15">
      <c r="A200" s="4" t="s">
        <v>241</v>
      </c>
      <c r="B200" s="4" t="s">
        <v>264</v>
      </c>
      <c r="C200" s="9" t="s">
        <v>250</v>
      </c>
      <c r="D200" s="13">
        <v>1</v>
      </c>
      <c r="E200" s="13" t="s">
        <v>399</v>
      </c>
      <c r="F200" s="13">
        <v>1</v>
      </c>
      <c r="G200" s="21">
        <v>0</v>
      </c>
      <c r="H200" s="13">
        <v>2</v>
      </c>
      <c r="I200" s="4">
        <v>26</v>
      </c>
      <c r="J200" s="4">
        <v>29</v>
      </c>
      <c r="K200" s="4" t="s">
        <v>124</v>
      </c>
      <c r="L200" s="4" t="s">
        <v>13</v>
      </c>
      <c r="M200" s="4">
        <v>2022</v>
      </c>
      <c r="N200" s="4">
        <v>1</v>
      </c>
      <c r="O200" s="4">
        <v>1</v>
      </c>
    </row>
    <row r="201" spans="1:15">
      <c r="A201" s="4" t="s">
        <v>241</v>
      </c>
      <c r="B201" s="4" t="s">
        <v>265</v>
      </c>
      <c r="C201" s="9" t="s">
        <v>251</v>
      </c>
      <c r="D201" s="13">
        <v>1</v>
      </c>
      <c r="E201" s="13" t="s">
        <v>397</v>
      </c>
      <c r="F201" s="13">
        <v>1</v>
      </c>
      <c r="G201" s="21">
        <v>1</v>
      </c>
      <c r="H201" s="13">
        <v>1</v>
      </c>
      <c r="I201" s="4">
        <v>27</v>
      </c>
      <c r="J201" s="4">
        <v>29</v>
      </c>
      <c r="K201" s="4" t="s">
        <v>124</v>
      </c>
      <c r="L201" s="4" t="s">
        <v>13</v>
      </c>
      <c r="M201" s="4">
        <v>2022</v>
      </c>
      <c r="N201" s="4">
        <v>1</v>
      </c>
      <c r="O201" s="4">
        <v>1</v>
      </c>
    </row>
    <row r="202" spans="1:15">
      <c r="A202" s="4" t="s">
        <v>241</v>
      </c>
      <c r="B202" s="4" t="s">
        <v>266</v>
      </c>
      <c r="C202" s="9" t="s">
        <v>404</v>
      </c>
      <c r="D202" s="13">
        <v>0</v>
      </c>
      <c r="F202" s="13">
        <v>1</v>
      </c>
      <c r="G202" s="21">
        <v>0</v>
      </c>
      <c r="H202" s="13">
        <v>1</v>
      </c>
      <c r="I202" s="4">
        <v>28</v>
      </c>
      <c r="J202" s="4">
        <v>29</v>
      </c>
      <c r="K202" s="4" t="s">
        <v>124</v>
      </c>
      <c r="L202" s="4" t="s">
        <v>13</v>
      </c>
      <c r="M202" s="4">
        <v>2022</v>
      </c>
      <c r="N202" s="4">
        <v>1</v>
      </c>
      <c r="O202" s="4">
        <v>1</v>
      </c>
    </row>
    <row r="203" spans="1:15">
      <c r="A203" s="4" t="s">
        <v>241</v>
      </c>
      <c r="B203" s="4" t="s">
        <v>267</v>
      </c>
      <c r="C203" s="9" t="s">
        <v>252</v>
      </c>
      <c r="D203" s="13">
        <v>0</v>
      </c>
      <c r="F203" s="13">
        <v>1</v>
      </c>
      <c r="G203" s="21">
        <v>0</v>
      </c>
      <c r="H203" s="13">
        <v>1</v>
      </c>
      <c r="I203" s="4">
        <v>29</v>
      </c>
      <c r="J203" s="4">
        <v>29</v>
      </c>
      <c r="K203" s="4" t="s">
        <v>124</v>
      </c>
      <c r="L203" s="4" t="s">
        <v>13</v>
      </c>
      <c r="M203" s="4">
        <v>2022</v>
      </c>
      <c r="N203" s="4">
        <v>1</v>
      </c>
      <c r="O203" s="4">
        <v>1</v>
      </c>
    </row>
    <row r="204" spans="1:15">
      <c r="A204" s="4" t="s">
        <v>275</v>
      </c>
      <c r="B204" s="4" t="s">
        <v>1104</v>
      </c>
      <c r="C204" s="9" t="s">
        <v>1275</v>
      </c>
      <c r="F204" s="13">
        <v>0</v>
      </c>
      <c r="I204" s="4"/>
      <c r="J204" s="4"/>
      <c r="K204" s="4"/>
      <c r="L204" s="4"/>
      <c r="M204" s="4"/>
      <c r="N204" s="4"/>
      <c r="O204" s="4"/>
    </row>
    <row r="205" spans="1:15">
      <c r="A205" s="4" t="s">
        <v>275</v>
      </c>
      <c r="B205" s="4" t="s">
        <v>1106</v>
      </c>
      <c r="C205" s="9" t="s">
        <v>1276</v>
      </c>
      <c r="F205" s="13">
        <v>0</v>
      </c>
      <c r="I205" s="4"/>
      <c r="J205" s="4"/>
      <c r="K205" s="4"/>
      <c r="L205" s="4"/>
      <c r="M205" s="4"/>
      <c r="N205" s="4"/>
      <c r="O205" s="4"/>
    </row>
    <row r="206" spans="1:15">
      <c r="A206" s="4" t="s">
        <v>275</v>
      </c>
      <c r="B206" s="4" t="s">
        <v>1105</v>
      </c>
      <c r="C206" s="9" t="s">
        <v>1277</v>
      </c>
      <c r="F206" s="13">
        <v>0</v>
      </c>
      <c r="I206" s="4"/>
      <c r="J206" s="4"/>
      <c r="K206" s="4"/>
      <c r="L206" s="4"/>
      <c r="M206" s="4"/>
      <c r="N206" s="4"/>
      <c r="O206" s="4"/>
    </row>
    <row r="207" spans="1:15">
      <c r="A207" s="4" t="s">
        <v>275</v>
      </c>
      <c r="B207" s="4" t="s">
        <v>1107</v>
      </c>
      <c r="C207" s="9" t="s">
        <v>1278</v>
      </c>
      <c r="F207" s="13">
        <v>0</v>
      </c>
      <c r="I207" s="4"/>
      <c r="J207" s="4"/>
      <c r="K207" s="4"/>
      <c r="L207" s="4"/>
      <c r="M207" s="4"/>
      <c r="N207" s="4"/>
      <c r="O207" s="4"/>
    </row>
    <row r="208" spans="1:15">
      <c r="A208" s="4" t="s">
        <v>275</v>
      </c>
      <c r="B208" s="4" t="s">
        <v>1108</v>
      </c>
      <c r="C208" s="9" t="s">
        <v>1279</v>
      </c>
      <c r="F208" s="13">
        <v>0</v>
      </c>
      <c r="I208" s="4"/>
      <c r="J208" s="4"/>
      <c r="K208" s="4"/>
      <c r="L208" s="4"/>
      <c r="M208" s="4"/>
      <c r="N208" s="4"/>
      <c r="O208" s="4"/>
    </row>
    <row r="209" spans="1:16">
      <c r="A209" s="4" t="s">
        <v>275</v>
      </c>
      <c r="B209" s="4" t="s">
        <v>276</v>
      </c>
      <c r="C209" s="9" t="s">
        <v>277</v>
      </c>
      <c r="D209" s="13">
        <v>1</v>
      </c>
      <c r="E209" s="13" t="s">
        <v>399</v>
      </c>
      <c r="F209" s="13">
        <v>1</v>
      </c>
      <c r="G209" s="21">
        <v>0</v>
      </c>
      <c r="H209" s="13">
        <v>1</v>
      </c>
      <c r="I209" s="4">
        <v>6</v>
      </c>
      <c r="J209" s="4">
        <v>38</v>
      </c>
      <c r="K209" s="4" t="s">
        <v>124</v>
      </c>
      <c r="L209" s="4" t="s">
        <v>13</v>
      </c>
      <c r="M209" s="4">
        <v>2023</v>
      </c>
      <c r="N209" s="4">
        <v>1</v>
      </c>
      <c r="O209" s="4">
        <v>1</v>
      </c>
      <c r="P209" s="4"/>
    </row>
    <row r="210" spans="1:16">
      <c r="A210" s="4" t="s">
        <v>275</v>
      </c>
      <c r="B210" s="4" t="s">
        <v>1109</v>
      </c>
      <c r="C210" s="9" t="s">
        <v>1280</v>
      </c>
      <c r="F210" s="13">
        <v>0</v>
      </c>
      <c r="I210" s="4"/>
      <c r="J210" s="4"/>
      <c r="K210" s="4"/>
      <c r="L210" s="4"/>
      <c r="M210" s="4"/>
      <c r="N210" s="4"/>
      <c r="O210" s="4"/>
      <c r="P210" s="4"/>
    </row>
    <row r="211" spans="1:16">
      <c r="A211" s="4" t="s">
        <v>275</v>
      </c>
      <c r="B211" s="4" t="s">
        <v>1110</v>
      </c>
      <c r="C211" s="9" t="s">
        <v>1281</v>
      </c>
      <c r="F211" s="13">
        <v>0</v>
      </c>
      <c r="I211" s="4"/>
      <c r="J211" s="4"/>
      <c r="K211" s="4"/>
      <c r="L211" s="4"/>
      <c r="M211" s="4"/>
      <c r="N211" s="4"/>
      <c r="O211" s="4"/>
      <c r="P211" s="4"/>
    </row>
    <row r="212" spans="1:16">
      <c r="A212" s="4" t="s">
        <v>275</v>
      </c>
      <c r="B212" s="4" t="s">
        <v>1111</v>
      </c>
      <c r="C212" s="9" t="s">
        <v>1282</v>
      </c>
      <c r="F212" s="13">
        <v>0</v>
      </c>
      <c r="I212" s="4"/>
      <c r="J212" s="4"/>
      <c r="K212" s="4"/>
      <c r="L212" s="4"/>
      <c r="M212" s="4"/>
      <c r="N212" s="4"/>
      <c r="O212" s="4"/>
      <c r="P212" s="4"/>
    </row>
    <row r="213" spans="1:16">
      <c r="A213" s="4" t="s">
        <v>275</v>
      </c>
      <c r="B213" s="4" t="s">
        <v>1112</v>
      </c>
      <c r="C213" s="9" t="s">
        <v>1283</v>
      </c>
      <c r="F213" s="13">
        <v>0</v>
      </c>
      <c r="I213" s="4"/>
      <c r="J213" s="4"/>
      <c r="K213" s="4"/>
      <c r="L213" s="4"/>
      <c r="M213" s="4"/>
      <c r="N213" s="4"/>
      <c r="O213" s="4"/>
      <c r="P213" s="4"/>
    </row>
    <row r="214" spans="1:16">
      <c r="A214" s="4" t="s">
        <v>275</v>
      </c>
      <c r="B214" s="4" t="s">
        <v>1113</v>
      </c>
      <c r="C214" s="9" t="s">
        <v>1284</v>
      </c>
      <c r="F214" s="13">
        <v>0</v>
      </c>
      <c r="I214" s="4"/>
      <c r="J214" s="4"/>
      <c r="K214" s="4"/>
      <c r="L214" s="4"/>
      <c r="M214" s="4"/>
      <c r="N214" s="4"/>
      <c r="O214" s="4"/>
      <c r="P214" s="4"/>
    </row>
    <row r="215" spans="1:16">
      <c r="A215" s="4" t="s">
        <v>275</v>
      </c>
      <c r="B215" s="4" t="s">
        <v>278</v>
      </c>
      <c r="C215" s="14" t="s">
        <v>405</v>
      </c>
      <c r="D215" s="13">
        <v>1</v>
      </c>
      <c r="E215" s="13" t="s">
        <v>397</v>
      </c>
      <c r="F215" s="13">
        <v>1</v>
      </c>
      <c r="G215" s="21">
        <v>0</v>
      </c>
      <c r="H215" s="13">
        <v>1</v>
      </c>
      <c r="I215" s="4">
        <v>12</v>
      </c>
      <c r="J215" s="4">
        <v>38</v>
      </c>
      <c r="K215" s="4" t="s">
        <v>124</v>
      </c>
      <c r="L215" s="4" t="s">
        <v>13</v>
      </c>
      <c r="M215" s="4">
        <v>2023</v>
      </c>
      <c r="N215" s="4">
        <v>1</v>
      </c>
      <c r="O215" s="4">
        <v>1</v>
      </c>
      <c r="P215" s="4"/>
    </row>
    <row r="216" spans="1:16">
      <c r="A216" s="4" t="s">
        <v>275</v>
      </c>
      <c r="B216" s="4" t="s">
        <v>1114</v>
      </c>
      <c r="C216" s="9" t="s">
        <v>1285</v>
      </c>
      <c r="F216" s="13">
        <v>0</v>
      </c>
      <c r="I216" s="4"/>
      <c r="J216" s="4"/>
      <c r="K216" s="4"/>
      <c r="L216" s="4"/>
      <c r="M216" s="4"/>
      <c r="N216" s="4"/>
      <c r="O216" s="4"/>
      <c r="P216" s="4"/>
    </row>
    <row r="217" spans="1:16">
      <c r="A217" s="4" t="s">
        <v>275</v>
      </c>
      <c r="B217" s="4" t="s">
        <v>279</v>
      </c>
      <c r="C217" s="9" t="s">
        <v>280</v>
      </c>
      <c r="D217" s="13">
        <v>1</v>
      </c>
      <c r="E217" s="13" t="s">
        <v>397</v>
      </c>
      <c r="F217" s="13">
        <v>1</v>
      </c>
      <c r="G217" s="21">
        <v>0</v>
      </c>
      <c r="H217" s="13">
        <v>1</v>
      </c>
      <c r="I217" s="4">
        <v>14</v>
      </c>
      <c r="J217" s="4">
        <v>38</v>
      </c>
      <c r="K217" s="4" t="s">
        <v>124</v>
      </c>
      <c r="L217" s="4" t="s">
        <v>13</v>
      </c>
      <c r="M217" s="4">
        <v>2023</v>
      </c>
      <c r="N217" s="4">
        <v>1</v>
      </c>
      <c r="O217" s="4">
        <v>1</v>
      </c>
      <c r="P217" s="4"/>
    </row>
    <row r="218" spans="1:16">
      <c r="A218" s="4" t="s">
        <v>275</v>
      </c>
      <c r="B218" s="4" t="s">
        <v>281</v>
      </c>
      <c r="C218" s="9" t="s">
        <v>282</v>
      </c>
      <c r="D218" s="13">
        <v>1</v>
      </c>
      <c r="E218" s="13" t="s">
        <v>397</v>
      </c>
      <c r="F218" s="13">
        <v>1</v>
      </c>
      <c r="G218" s="21">
        <v>0</v>
      </c>
      <c r="H218" s="13">
        <v>1</v>
      </c>
      <c r="I218" s="4">
        <v>15</v>
      </c>
      <c r="J218" s="4">
        <v>38</v>
      </c>
      <c r="K218" s="4" t="s">
        <v>124</v>
      </c>
      <c r="L218" s="4" t="s">
        <v>13</v>
      </c>
      <c r="M218" s="4">
        <v>2023</v>
      </c>
      <c r="N218" s="4">
        <v>1</v>
      </c>
      <c r="O218" s="4">
        <v>1</v>
      </c>
      <c r="P218" s="4"/>
    </row>
    <row r="219" spans="1:16">
      <c r="A219" s="4" t="s">
        <v>275</v>
      </c>
      <c r="B219" s="4" t="s">
        <v>1115</v>
      </c>
      <c r="C219" s="9" t="s">
        <v>1286</v>
      </c>
      <c r="F219" s="13">
        <v>0</v>
      </c>
      <c r="I219" s="4"/>
      <c r="J219" s="4"/>
      <c r="K219" s="4"/>
      <c r="L219" s="4"/>
      <c r="M219" s="4"/>
      <c r="N219" s="4"/>
      <c r="O219" s="4"/>
      <c r="P219" s="4"/>
    </row>
    <row r="220" spans="1:16">
      <c r="A220" s="4" t="s">
        <v>275</v>
      </c>
      <c r="B220" s="4" t="s">
        <v>1116</v>
      </c>
      <c r="C220" s="9" t="s">
        <v>1287</v>
      </c>
      <c r="F220" s="13">
        <v>0</v>
      </c>
      <c r="I220" s="4"/>
      <c r="J220" s="4"/>
      <c r="K220" s="4"/>
      <c r="L220" s="4"/>
      <c r="M220" s="4"/>
      <c r="N220" s="4"/>
      <c r="O220" s="4"/>
      <c r="P220" s="4"/>
    </row>
    <row r="221" spans="1:16">
      <c r="A221" s="4" t="s">
        <v>275</v>
      </c>
      <c r="B221" s="4" t="s">
        <v>1117</v>
      </c>
      <c r="C221" s="9" t="s">
        <v>1288</v>
      </c>
      <c r="F221" s="13">
        <v>0</v>
      </c>
      <c r="I221" s="4"/>
      <c r="J221" s="4"/>
      <c r="K221" s="4"/>
      <c r="L221" s="4"/>
      <c r="M221" s="4"/>
      <c r="N221" s="4"/>
      <c r="O221" s="4"/>
      <c r="P221" s="4"/>
    </row>
    <row r="222" spans="1:16">
      <c r="A222" s="4" t="s">
        <v>275</v>
      </c>
      <c r="B222" s="4" t="s">
        <v>283</v>
      </c>
      <c r="C222" s="9" t="s">
        <v>284</v>
      </c>
      <c r="D222" s="13">
        <v>1</v>
      </c>
      <c r="E222" s="13" t="s">
        <v>397</v>
      </c>
      <c r="F222" s="13">
        <v>1</v>
      </c>
      <c r="G222" s="21">
        <v>0</v>
      </c>
      <c r="H222" s="13">
        <v>1</v>
      </c>
      <c r="I222" s="4">
        <v>19</v>
      </c>
      <c r="J222" s="4">
        <v>38</v>
      </c>
      <c r="K222" s="4" t="s">
        <v>124</v>
      </c>
      <c r="L222" s="4" t="s">
        <v>13</v>
      </c>
      <c r="M222" s="4">
        <v>2023</v>
      </c>
      <c r="N222" s="4">
        <v>1</v>
      </c>
      <c r="O222" s="4">
        <v>1</v>
      </c>
      <c r="P222" s="4"/>
    </row>
    <row r="223" spans="1:16">
      <c r="A223" s="4" t="s">
        <v>275</v>
      </c>
      <c r="B223" s="4" t="s">
        <v>1118</v>
      </c>
      <c r="C223" s="9" t="s">
        <v>1289</v>
      </c>
      <c r="F223" s="13">
        <v>0</v>
      </c>
      <c r="I223" s="4"/>
      <c r="J223" s="4"/>
      <c r="K223" s="4"/>
      <c r="L223" s="4"/>
      <c r="M223" s="4"/>
      <c r="N223" s="4"/>
      <c r="O223" s="4"/>
      <c r="P223" s="4"/>
    </row>
    <row r="224" spans="1:16">
      <c r="A224" s="4" t="s">
        <v>275</v>
      </c>
      <c r="B224" s="4" t="s">
        <v>1119</v>
      </c>
      <c r="C224" s="14" t="s">
        <v>1290</v>
      </c>
      <c r="F224" s="13">
        <v>0</v>
      </c>
      <c r="I224" s="4"/>
      <c r="J224" s="4"/>
      <c r="K224" s="4"/>
      <c r="L224" s="4"/>
      <c r="M224" s="4"/>
      <c r="N224" s="4"/>
      <c r="O224" s="4"/>
      <c r="P224" s="4"/>
    </row>
    <row r="225" spans="1:16">
      <c r="A225" s="4" t="s">
        <v>275</v>
      </c>
      <c r="B225" s="4" t="s">
        <v>1120</v>
      </c>
      <c r="C225" s="14" t="s">
        <v>1291</v>
      </c>
      <c r="F225" s="13">
        <v>0</v>
      </c>
      <c r="I225" s="4"/>
      <c r="J225" s="4"/>
      <c r="K225" s="4"/>
      <c r="L225" s="4"/>
      <c r="M225" s="4"/>
      <c r="N225" s="4"/>
      <c r="O225" s="4"/>
      <c r="P225" s="4"/>
    </row>
    <row r="226" spans="1:16">
      <c r="A226" s="4" t="s">
        <v>275</v>
      </c>
      <c r="B226" s="4" t="s">
        <v>285</v>
      </c>
      <c r="C226" s="14" t="s">
        <v>286</v>
      </c>
      <c r="D226" s="13">
        <v>1</v>
      </c>
      <c r="E226" s="13" t="s">
        <v>397</v>
      </c>
      <c r="F226" s="13">
        <v>1</v>
      </c>
      <c r="G226" s="21">
        <v>0</v>
      </c>
      <c r="H226" s="13">
        <v>1</v>
      </c>
      <c r="I226" s="4">
        <v>23</v>
      </c>
      <c r="J226" s="4">
        <v>38</v>
      </c>
      <c r="K226" s="4" t="s">
        <v>124</v>
      </c>
      <c r="L226" s="4" t="s">
        <v>13</v>
      </c>
      <c r="M226" s="4">
        <v>2023</v>
      </c>
      <c r="N226" s="4">
        <v>1</v>
      </c>
      <c r="O226" s="4">
        <v>1</v>
      </c>
      <c r="P226" s="4"/>
    </row>
    <row r="227" spans="1:16">
      <c r="A227" s="4" t="s">
        <v>275</v>
      </c>
      <c r="B227" s="4" t="s">
        <v>1121</v>
      </c>
      <c r="C227" s="14" t="s">
        <v>1292</v>
      </c>
      <c r="F227" s="13">
        <v>0</v>
      </c>
      <c r="I227" s="4"/>
      <c r="J227" s="4"/>
      <c r="K227" s="4"/>
      <c r="L227" s="4"/>
      <c r="M227" s="4"/>
      <c r="N227" s="4"/>
      <c r="O227" s="4"/>
      <c r="P227" s="4"/>
    </row>
    <row r="228" spans="1:16">
      <c r="A228" s="4" t="s">
        <v>275</v>
      </c>
      <c r="B228" s="4" t="s">
        <v>1122</v>
      </c>
      <c r="C228" s="14" t="s">
        <v>1293</v>
      </c>
      <c r="F228" s="13">
        <v>0</v>
      </c>
      <c r="I228" s="4"/>
      <c r="J228" s="4"/>
      <c r="K228" s="4"/>
      <c r="L228" s="4"/>
      <c r="M228" s="4"/>
      <c r="N228" s="4"/>
      <c r="O228" s="4"/>
      <c r="P228" s="4"/>
    </row>
    <row r="229" spans="1:16">
      <c r="A229" s="4" t="s">
        <v>275</v>
      </c>
      <c r="B229" s="4" t="s">
        <v>287</v>
      </c>
      <c r="C229" s="14" t="s">
        <v>288</v>
      </c>
      <c r="D229" s="13">
        <v>1</v>
      </c>
      <c r="E229" s="13" t="s">
        <v>395</v>
      </c>
      <c r="F229" s="13">
        <v>1</v>
      </c>
      <c r="G229" s="21">
        <v>0</v>
      </c>
      <c r="H229" s="13">
        <v>2</v>
      </c>
      <c r="I229" s="4">
        <v>26</v>
      </c>
      <c r="J229" s="4">
        <v>38</v>
      </c>
      <c r="K229" s="4" t="s">
        <v>124</v>
      </c>
      <c r="L229" s="4" t="s">
        <v>13</v>
      </c>
      <c r="M229" s="4">
        <v>2023</v>
      </c>
      <c r="N229" s="4">
        <v>1</v>
      </c>
      <c r="O229" s="4">
        <v>1</v>
      </c>
      <c r="P229" s="4"/>
    </row>
    <row r="230" spans="1:16">
      <c r="A230" s="4" t="s">
        <v>275</v>
      </c>
      <c r="B230" s="4" t="s">
        <v>289</v>
      </c>
      <c r="C230" s="14" t="s">
        <v>290</v>
      </c>
      <c r="D230" s="13">
        <v>1</v>
      </c>
      <c r="E230" s="13" t="s">
        <v>395</v>
      </c>
      <c r="F230" s="13">
        <v>1</v>
      </c>
      <c r="G230" s="21">
        <v>0</v>
      </c>
      <c r="H230" s="13">
        <v>2</v>
      </c>
      <c r="I230" s="4">
        <v>27</v>
      </c>
      <c r="J230" s="4">
        <v>38</v>
      </c>
      <c r="K230" s="4" t="s">
        <v>124</v>
      </c>
      <c r="L230" s="4" t="s">
        <v>13</v>
      </c>
      <c r="M230" s="4">
        <v>2023</v>
      </c>
      <c r="N230" s="4">
        <v>1</v>
      </c>
      <c r="O230" s="4">
        <v>1</v>
      </c>
      <c r="P230" s="4"/>
    </row>
    <row r="231" spans="1:16">
      <c r="A231" s="4" t="s">
        <v>275</v>
      </c>
      <c r="B231" s="4" t="s">
        <v>291</v>
      </c>
      <c r="C231" s="14" t="s">
        <v>292</v>
      </c>
      <c r="D231" s="13">
        <v>1</v>
      </c>
      <c r="E231" s="13" t="s">
        <v>397</v>
      </c>
      <c r="F231" s="13">
        <v>1</v>
      </c>
      <c r="G231" s="21">
        <v>0</v>
      </c>
      <c r="H231" s="13">
        <v>1</v>
      </c>
      <c r="I231" s="4">
        <v>28</v>
      </c>
      <c r="J231" s="4">
        <v>38</v>
      </c>
      <c r="K231" s="4" t="s">
        <v>124</v>
      </c>
      <c r="L231" s="4" t="s">
        <v>13</v>
      </c>
      <c r="M231" s="4">
        <v>2023</v>
      </c>
      <c r="N231" s="4">
        <v>1</v>
      </c>
      <c r="O231" s="4">
        <v>1</v>
      </c>
      <c r="P231" s="4"/>
    </row>
    <row r="232" spans="1:16">
      <c r="A232" s="4" t="s">
        <v>275</v>
      </c>
      <c r="B232" s="4" t="s">
        <v>293</v>
      </c>
      <c r="C232" s="14" t="s">
        <v>294</v>
      </c>
      <c r="D232" s="13">
        <v>1</v>
      </c>
      <c r="E232" s="13" t="s">
        <v>399</v>
      </c>
      <c r="F232" s="13">
        <v>1</v>
      </c>
      <c r="G232" s="21">
        <v>1</v>
      </c>
      <c r="H232" s="13">
        <v>1</v>
      </c>
      <c r="I232" s="4">
        <v>29</v>
      </c>
      <c r="J232" s="4">
        <v>38</v>
      </c>
      <c r="K232" s="4" t="s">
        <v>124</v>
      </c>
      <c r="L232" s="4" t="s">
        <v>13</v>
      </c>
      <c r="M232" s="4">
        <v>2023</v>
      </c>
      <c r="N232" s="4">
        <v>1</v>
      </c>
      <c r="O232" s="4">
        <v>1</v>
      </c>
      <c r="P232" s="4"/>
    </row>
    <row r="233" spans="1:16">
      <c r="A233" s="4" t="s">
        <v>275</v>
      </c>
      <c r="B233" s="4" t="s">
        <v>295</v>
      </c>
      <c r="C233" s="14" t="s">
        <v>296</v>
      </c>
      <c r="D233" s="13">
        <v>1</v>
      </c>
      <c r="E233" s="13" t="s">
        <v>397</v>
      </c>
      <c r="F233" s="13">
        <v>1</v>
      </c>
      <c r="G233" s="21">
        <v>1</v>
      </c>
      <c r="H233" s="13">
        <v>1</v>
      </c>
      <c r="I233" s="4">
        <v>30</v>
      </c>
      <c r="J233" s="4">
        <v>38</v>
      </c>
      <c r="K233" s="4" t="s">
        <v>124</v>
      </c>
      <c r="L233" s="4" t="s">
        <v>13</v>
      </c>
      <c r="M233" s="4">
        <v>2023</v>
      </c>
      <c r="N233" s="4">
        <v>1</v>
      </c>
      <c r="O233" s="4">
        <v>1</v>
      </c>
      <c r="P233" s="4"/>
    </row>
    <row r="234" spans="1:16">
      <c r="A234" s="4" t="s">
        <v>275</v>
      </c>
      <c r="B234" s="4" t="s">
        <v>297</v>
      </c>
      <c r="C234" s="14" t="s">
        <v>298</v>
      </c>
      <c r="D234" s="13">
        <v>1</v>
      </c>
      <c r="E234" s="13" t="s">
        <v>397</v>
      </c>
      <c r="F234" s="13">
        <v>1</v>
      </c>
      <c r="G234" s="21">
        <v>0</v>
      </c>
      <c r="H234" s="13">
        <v>1</v>
      </c>
      <c r="I234" s="4">
        <v>31</v>
      </c>
      <c r="J234" s="4">
        <v>38</v>
      </c>
      <c r="K234" s="4" t="s">
        <v>124</v>
      </c>
      <c r="L234" s="4" t="s">
        <v>13</v>
      </c>
      <c r="M234" s="4">
        <v>2023</v>
      </c>
      <c r="N234" s="4">
        <v>1</v>
      </c>
      <c r="O234" s="4">
        <v>1</v>
      </c>
      <c r="P234" s="4"/>
    </row>
    <row r="235" spans="1:16">
      <c r="A235" s="4" t="s">
        <v>275</v>
      </c>
      <c r="B235" s="4" t="s">
        <v>299</v>
      </c>
      <c r="C235" s="14" t="s">
        <v>300</v>
      </c>
      <c r="D235" s="13">
        <v>1</v>
      </c>
      <c r="E235" s="13" t="s">
        <v>399</v>
      </c>
      <c r="F235" s="13">
        <v>1</v>
      </c>
      <c r="G235" s="21">
        <v>0</v>
      </c>
      <c r="H235" s="13">
        <v>1</v>
      </c>
      <c r="I235" s="4">
        <v>32</v>
      </c>
      <c r="J235" s="4">
        <v>38</v>
      </c>
      <c r="K235" s="4" t="s">
        <v>124</v>
      </c>
      <c r="L235" s="4" t="s">
        <v>13</v>
      </c>
      <c r="M235" s="4">
        <v>2023</v>
      </c>
      <c r="N235" s="4">
        <v>1</v>
      </c>
      <c r="O235" s="4">
        <v>1</v>
      </c>
      <c r="P235" s="4"/>
    </row>
    <row r="236" spans="1:16">
      <c r="A236" s="4" t="s">
        <v>275</v>
      </c>
      <c r="B236" s="4" t="s">
        <v>301</v>
      </c>
      <c r="C236" s="9" t="s">
        <v>302</v>
      </c>
      <c r="D236" s="13">
        <v>1</v>
      </c>
      <c r="E236" s="13" t="s">
        <v>399</v>
      </c>
      <c r="F236" s="13">
        <v>1</v>
      </c>
      <c r="G236" s="21">
        <v>0</v>
      </c>
      <c r="H236" s="13">
        <v>1</v>
      </c>
      <c r="I236" s="4">
        <v>33</v>
      </c>
      <c r="J236" s="4">
        <v>38</v>
      </c>
      <c r="K236" s="4" t="s">
        <v>124</v>
      </c>
      <c r="L236" s="4" t="s">
        <v>13</v>
      </c>
      <c r="M236" s="4">
        <v>2023</v>
      </c>
      <c r="N236" s="4">
        <v>1</v>
      </c>
      <c r="O236" s="4">
        <v>1</v>
      </c>
      <c r="P236" s="4"/>
    </row>
    <row r="237" spans="1:16">
      <c r="A237" s="4" t="s">
        <v>275</v>
      </c>
      <c r="B237" s="4" t="s">
        <v>303</v>
      </c>
      <c r="C237" s="14" t="s">
        <v>304</v>
      </c>
      <c r="D237" s="13">
        <v>1</v>
      </c>
      <c r="E237" s="13" t="s">
        <v>399</v>
      </c>
      <c r="F237" s="13">
        <v>1</v>
      </c>
      <c r="G237" s="21">
        <v>0</v>
      </c>
      <c r="H237" s="13">
        <v>2</v>
      </c>
      <c r="I237" s="4">
        <v>34</v>
      </c>
      <c r="J237" s="4">
        <v>38</v>
      </c>
      <c r="K237" s="4" t="s">
        <v>124</v>
      </c>
      <c r="L237" s="4" t="s">
        <v>13</v>
      </c>
      <c r="M237" s="4">
        <v>2023</v>
      </c>
      <c r="N237" s="4">
        <v>1</v>
      </c>
      <c r="O237" s="4">
        <v>1</v>
      </c>
      <c r="P237" s="4"/>
    </row>
    <row r="238" spans="1:16">
      <c r="A238" s="4" t="s">
        <v>275</v>
      </c>
      <c r="B238" s="4" t="s">
        <v>305</v>
      </c>
      <c r="C238" s="14" t="s">
        <v>306</v>
      </c>
      <c r="D238" s="13">
        <v>1</v>
      </c>
      <c r="E238" s="13" t="s">
        <v>397</v>
      </c>
      <c r="F238" s="13">
        <v>1</v>
      </c>
      <c r="G238" s="21">
        <v>1</v>
      </c>
      <c r="H238" s="13">
        <v>1</v>
      </c>
      <c r="I238" s="4">
        <v>35</v>
      </c>
      <c r="J238" s="4">
        <v>38</v>
      </c>
      <c r="K238" s="4" t="s">
        <v>124</v>
      </c>
      <c r="L238" s="4" t="s">
        <v>13</v>
      </c>
      <c r="M238" s="4">
        <v>2023</v>
      </c>
      <c r="N238" s="4">
        <v>1</v>
      </c>
      <c r="O238" s="4">
        <v>1</v>
      </c>
      <c r="P238" s="4"/>
    </row>
    <row r="239" spans="1:16">
      <c r="A239" s="4" t="s">
        <v>275</v>
      </c>
      <c r="B239" s="4" t="s">
        <v>307</v>
      </c>
      <c r="C239" s="14" t="s">
        <v>308</v>
      </c>
      <c r="D239" s="13">
        <v>0</v>
      </c>
      <c r="F239" s="13">
        <v>1</v>
      </c>
      <c r="G239" s="21">
        <v>0</v>
      </c>
      <c r="H239" s="13">
        <v>1</v>
      </c>
      <c r="I239" s="4">
        <v>36</v>
      </c>
      <c r="J239" s="4">
        <v>38</v>
      </c>
      <c r="K239" s="4" t="s">
        <v>124</v>
      </c>
      <c r="L239" s="4" t="s">
        <v>13</v>
      </c>
      <c r="M239" s="4">
        <v>2023</v>
      </c>
      <c r="N239" s="4">
        <v>1</v>
      </c>
      <c r="O239" s="4">
        <v>1</v>
      </c>
      <c r="P239" s="4"/>
    </row>
    <row r="240" spans="1:16">
      <c r="A240" s="4" t="s">
        <v>275</v>
      </c>
      <c r="B240" s="4" t="s">
        <v>309</v>
      </c>
      <c r="C240" s="14" t="s">
        <v>310</v>
      </c>
      <c r="D240" s="13">
        <v>0</v>
      </c>
      <c r="F240" s="13">
        <v>1</v>
      </c>
      <c r="G240" s="21">
        <v>0</v>
      </c>
      <c r="H240" s="13">
        <v>1</v>
      </c>
      <c r="I240" s="4">
        <v>37</v>
      </c>
      <c r="J240" s="4">
        <v>38</v>
      </c>
      <c r="K240" s="4" t="s">
        <v>124</v>
      </c>
      <c r="L240" s="4" t="s">
        <v>13</v>
      </c>
      <c r="M240" s="4">
        <v>2023</v>
      </c>
      <c r="N240" s="4">
        <v>1</v>
      </c>
      <c r="O240" s="4">
        <v>1</v>
      </c>
      <c r="P240" s="4"/>
    </row>
    <row r="241" spans="1:16">
      <c r="A241" s="4" t="s">
        <v>275</v>
      </c>
      <c r="B241" s="4" t="s">
        <v>311</v>
      </c>
      <c r="C241" s="14" t="s">
        <v>312</v>
      </c>
      <c r="D241" s="13">
        <v>0</v>
      </c>
      <c r="F241" s="13">
        <v>1</v>
      </c>
      <c r="G241" s="21">
        <v>0</v>
      </c>
      <c r="H241" s="13">
        <v>1</v>
      </c>
      <c r="I241" s="4">
        <v>38</v>
      </c>
      <c r="J241" s="4">
        <v>38</v>
      </c>
      <c r="K241" s="4" t="s">
        <v>124</v>
      </c>
      <c r="L241" s="4" t="s">
        <v>13</v>
      </c>
      <c r="M241" s="4">
        <v>2023</v>
      </c>
      <c r="N241" s="4">
        <v>1</v>
      </c>
      <c r="O241" s="4">
        <v>1</v>
      </c>
      <c r="P241" s="4"/>
    </row>
    <row r="242" spans="1:16">
      <c r="A242" s="4" t="s">
        <v>313</v>
      </c>
      <c r="B242" s="4" t="s">
        <v>1123</v>
      </c>
      <c r="C242" s="14" t="s">
        <v>1294</v>
      </c>
      <c r="F242" s="13">
        <v>0</v>
      </c>
      <c r="I242" s="4"/>
      <c r="J242" s="4"/>
      <c r="K242" s="4"/>
      <c r="L242" s="4"/>
      <c r="M242" s="4"/>
      <c r="N242" s="4"/>
      <c r="O242" s="4"/>
      <c r="P242" s="4"/>
    </row>
    <row r="243" spans="1:16">
      <c r="A243" s="4" t="s">
        <v>313</v>
      </c>
      <c r="B243" s="4" t="s">
        <v>1124</v>
      </c>
      <c r="C243" s="14" t="s">
        <v>1295</v>
      </c>
      <c r="F243" s="13">
        <v>0</v>
      </c>
      <c r="I243" s="4"/>
      <c r="J243" s="4"/>
      <c r="K243" s="4"/>
      <c r="L243" s="4"/>
      <c r="M243" s="4"/>
      <c r="N243" s="4"/>
      <c r="O243" s="4"/>
      <c r="P243" s="4"/>
    </row>
    <row r="244" spans="1:16">
      <c r="A244" s="4" t="s">
        <v>313</v>
      </c>
      <c r="B244" s="4" t="s">
        <v>314</v>
      </c>
      <c r="C244" s="14" t="s">
        <v>315</v>
      </c>
      <c r="D244" s="13">
        <v>1</v>
      </c>
      <c r="E244" s="13" t="s">
        <v>399</v>
      </c>
      <c r="F244" s="13">
        <v>1</v>
      </c>
      <c r="G244" s="21">
        <v>0</v>
      </c>
      <c r="H244" s="13">
        <v>1</v>
      </c>
      <c r="I244" s="4">
        <v>3</v>
      </c>
      <c r="J244" s="4">
        <v>41</v>
      </c>
      <c r="K244" s="4" t="s">
        <v>124</v>
      </c>
      <c r="L244" s="4" t="s">
        <v>13</v>
      </c>
      <c r="M244" s="4">
        <v>2024</v>
      </c>
      <c r="N244" s="4">
        <v>1</v>
      </c>
      <c r="O244" s="4">
        <v>1</v>
      </c>
      <c r="P244" s="4"/>
    </row>
    <row r="245" spans="1:16">
      <c r="A245" s="4" t="s">
        <v>313</v>
      </c>
      <c r="B245" s="4" t="s">
        <v>316</v>
      </c>
      <c r="C245" s="14" t="s">
        <v>317</v>
      </c>
      <c r="D245" s="13">
        <v>1</v>
      </c>
      <c r="E245" s="13" t="s">
        <v>399</v>
      </c>
      <c r="F245" s="13">
        <v>1</v>
      </c>
      <c r="G245" s="21">
        <v>0</v>
      </c>
      <c r="H245" s="13">
        <v>1</v>
      </c>
      <c r="I245" s="4">
        <v>4</v>
      </c>
      <c r="J245" s="4">
        <v>41</v>
      </c>
      <c r="K245" s="4" t="s">
        <v>124</v>
      </c>
      <c r="L245" s="4" t="s">
        <v>13</v>
      </c>
      <c r="M245" s="4">
        <v>2024</v>
      </c>
      <c r="N245" s="4">
        <v>1</v>
      </c>
      <c r="O245" s="4">
        <v>1</v>
      </c>
      <c r="P245" s="4"/>
    </row>
    <row r="246" spans="1:16">
      <c r="A246" s="4" t="s">
        <v>313</v>
      </c>
      <c r="B246" s="4" t="s">
        <v>1125</v>
      </c>
      <c r="C246" s="14" t="s">
        <v>1296</v>
      </c>
      <c r="F246" s="13">
        <v>0</v>
      </c>
      <c r="I246" s="4"/>
      <c r="J246" s="4"/>
      <c r="K246" s="4"/>
      <c r="L246" s="4"/>
      <c r="M246" s="4"/>
      <c r="N246" s="4"/>
      <c r="O246" s="4"/>
      <c r="P246" s="4"/>
    </row>
    <row r="247" spans="1:16">
      <c r="A247" s="4" t="s">
        <v>313</v>
      </c>
      <c r="B247" s="4" t="s">
        <v>1126</v>
      </c>
      <c r="C247" s="14" t="s">
        <v>1297</v>
      </c>
      <c r="F247" s="13">
        <v>0</v>
      </c>
      <c r="I247" s="4"/>
      <c r="J247" s="4"/>
      <c r="K247" s="4"/>
      <c r="L247" s="4"/>
      <c r="M247" s="4"/>
      <c r="N247" s="4"/>
      <c r="O247" s="4"/>
      <c r="P247" s="4"/>
    </row>
    <row r="248" spans="1:16">
      <c r="A248" s="4" t="s">
        <v>313</v>
      </c>
      <c r="B248" s="4" t="s">
        <v>1127</v>
      </c>
      <c r="C248" s="14" t="s">
        <v>1298</v>
      </c>
      <c r="F248" s="13">
        <v>0</v>
      </c>
      <c r="I248" s="4"/>
      <c r="J248" s="4"/>
      <c r="K248" s="4"/>
      <c r="L248" s="4"/>
      <c r="M248" s="4"/>
      <c r="N248" s="4"/>
      <c r="O248" s="4"/>
      <c r="P248" s="4"/>
    </row>
    <row r="249" spans="1:16">
      <c r="A249" s="4" t="s">
        <v>313</v>
      </c>
      <c r="B249" s="4" t="s">
        <v>318</v>
      </c>
      <c r="C249" s="14" t="s">
        <v>319</v>
      </c>
      <c r="D249" s="13">
        <v>1</v>
      </c>
      <c r="E249" s="13" t="s">
        <v>399</v>
      </c>
      <c r="F249" s="13">
        <v>1</v>
      </c>
      <c r="G249" s="21">
        <v>0</v>
      </c>
      <c r="H249" s="13">
        <v>2</v>
      </c>
      <c r="I249" s="4">
        <v>8</v>
      </c>
      <c r="J249" s="4">
        <v>41</v>
      </c>
      <c r="K249" s="4" t="s">
        <v>124</v>
      </c>
      <c r="L249" s="4" t="s">
        <v>13</v>
      </c>
      <c r="M249" s="4">
        <v>2024</v>
      </c>
      <c r="N249" s="4">
        <v>1</v>
      </c>
      <c r="O249" s="4">
        <v>1</v>
      </c>
      <c r="P249" s="4"/>
    </row>
    <row r="250" spans="1:16">
      <c r="A250" s="4" t="s">
        <v>313</v>
      </c>
      <c r="B250" s="4" t="s">
        <v>1128</v>
      </c>
      <c r="C250" s="9" t="s">
        <v>1299</v>
      </c>
      <c r="F250" s="13">
        <v>0</v>
      </c>
      <c r="I250" s="4"/>
      <c r="J250" s="4"/>
      <c r="K250" s="4"/>
      <c r="L250" s="4"/>
      <c r="M250" s="4"/>
      <c r="N250" s="4"/>
      <c r="O250" s="4"/>
      <c r="P250" s="4"/>
    </row>
    <row r="251" spans="1:16">
      <c r="A251" s="4" t="s">
        <v>313</v>
      </c>
      <c r="B251" s="4" t="s">
        <v>1129</v>
      </c>
      <c r="C251" s="14" t="s">
        <v>1300</v>
      </c>
      <c r="F251" s="13">
        <v>0</v>
      </c>
      <c r="I251" s="4"/>
      <c r="J251" s="4"/>
      <c r="K251" s="4"/>
      <c r="L251" s="4"/>
      <c r="M251" s="4"/>
      <c r="N251" s="4"/>
      <c r="O251" s="4"/>
      <c r="P251" s="4"/>
    </row>
    <row r="252" spans="1:16">
      <c r="A252" s="4" t="s">
        <v>313</v>
      </c>
      <c r="B252" s="4" t="s">
        <v>320</v>
      </c>
      <c r="C252" s="14" t="s">
        <v>321</v>
      </c>
      <c r="D252" s="13">
        <v>1</v>
      </c>
      <c r="E252" s="13" t="s">
        <v>395</v>
      </c>
      <c r="F252" s="13">
        <v>1</v>
      </c>
      <c r="G252" s="21">
        <v>1</v>
      </c>
      <c r="H252" s="13">
        <v>2</v>
      </c>
      <c r="I252" s="4">
        <v>11</v>
      </c>
      <c r="J252" s="4">
        <v>41</v>
      </c>
      <c r="K252" s="4" t="s">
        <v>124</v>
      </c>
      <c r="L252" s="4" t="s">
        <v>13</v>
      </c>
      <c r="M252" s="4">
        <v>2024</v>
      </c>
      <c r="N252" s="4">
        <v>1</v>
      </c>
      <c r="O252" s="4">
        <v>1</v>
      </c>
      <c r="P252" s="4"/>
    </row>
    <row r="253" spans="1:16">
      <c r="A253" s="4" t="s">
        <v>313</v>
      </c>
      <c r="B253" s="4" t="s">
        <v>322</v>
      </c>
      <c r="C253" s="9" t="s">
        <v>323</v>
      </c>
      <c r="D253" s="13">
        <v>1</v>
      </c>
      <c r="E253" s="13" t="s">
        <v>399</v>
      </c>
      <c r="F253" s="13">
        <v>1</v>
      </c>
      <c r="G253" s="21">
        <v>0</v>
      </c>
      <c r="H253" s="13">
        <v>1</v>
      </c>
      <c r="I253" s="4">
        <v>12</v>
      </c>
      <c r="J253" s="4">
        <v>41</v>
      </c>
      <c r="K253" s="4" t="s">
        <v>124</v>
      </c>
      <c r="L253" s="4" t="s">
        <v>13</v>
      </c>
      <c r="M253" s="4">
        <v>2024</v>
      </c>
      <c r="N253" s="4">
        <v>1</v>
      </c>
      <c r="O253" s="4">
        <v>1</v>
      </c>
      <c r="P253" s="4"/>
    </row>
    <row r="254" spans="1:16">
      <c r="A254" s="4" t="s">
        <v>313</v>
      </c>
      <c r="B254" s="4" t="s">
        <v>1130</v>
      </c>
      <c r="C254" s="14" t="s">
        <v>1301</v>
      </c>
      <c r="F254" s="13">
        <v>0</v>
      </c>
      <c r="I254" s="4"/>
      <c r="J254" s="4"/>
      <c r="K254" s="4"/>
      <c r="L254" s="4"/>
      <c r="M254" s="4"/>
      <c r="N254" s="4"/>
      <c r="O254" s="4"/>
      <c r="P254" s="4"/>
    </row>
    <row r="255" spans="1:16">
      <c r="A255" s="4" t="s">
        <v>313</v>
      </c>
      <c r="B255" s="4" t="s">
        <v>324</v>
      </c>
      <c r="C255" s="14" t="s">
        <v>325</v>
      </c>
      <c r="D255" s="13">
        <v>1</v>
      </c>
      <c r="E255" s="13" t="s">
        <v>399</v>
      </c>
      <c r="F255" s="13">
        <v>1</v>
      </c>
      <c r="G255" s="21">
        <v>0</v>
      </c>
      <c r="H255" s="13">
        <v>2</v>
      </c>
      <c r="I255" s="4">
        <v>14</v>
      </c>
      <c r="J255" s="4">
        <v>41</v>
      </c>
      <c r="K255" s="4" t="s">
        <v>124</v>
      </c>
      <c r="L255" s="4" t="s">
        <v>13</v>
      </c>
      <c r="M255" s="4">
        <v>2024</v>
      </c>
      <c r="N255" s="4">
        <v>1</v>
      </c>
      <c r="O255" s="4">
        <v>1</v>
      </c>
      <c r="P255" s="4"/>
    </row>
    <row r="256" spans="1:16">
      <c r="A256" s="4" t="s">
        <v>313</v>
      </c>
      <c r="B256" s="4" t="s">
        <v>326</v>
      </c>
      <c r="C256" s="14" t="s">
        <v>327</v>
      </c>
      <c r="D256" s="13">
        <v>1</v>
      </c>
      <c r="E256" s="13" t="s">
        <v>397</v>
      </c>
      <c r="F256" s="13">
        <v>1</v>
      </c>
      <c r="G256" s="21">
        <v>0</v>
      </c>
      <c r="H256" s="13">
        <v>1</v>
      </c>
      <c r="I256" s="4">
        <v>15</v>
      </c>
      <c r="J256" s="4">
        <v>41</v>
      </c>
      <c r="K256" s="4" t="s">
        <v>124</v>
      </c>
      <c r="L256" s="4" t="s">
        <v>13</v>
      </c>
      <c r="M256" s="4">
        <v>2024</v>
      </c>
      <c r="N256" s="4">
        <v>1</v>
      </c>
      <c r="O256" s="4">
        <v>1</v>
      </c>
      <c r="P256" s="4"/>
    </row>
    <row r="257" spans="1:16">
      <c r="A257" s="4" t="s">
        <v>313</v>
      </c>
      <c r="B257" s="4" t="s">
        <v>1131</v>
      </c>
      <c r="C257" s="14" t="s">
        <v>1302</v>
      </c>
      <c r="F257" s="13">
        <v>0</v>
      </c>
      <c r="I257" s="4"/>
      <c r="J257" s="4"/>
      <c r="K257" s="4"/>
      <c r="L257" s="4"/>
      <c r="M257" s="4"/>
      <c r="N257" s="4"/>
      <c r="O257" s="4"/>
      <c r="P257" s="4"/>
    </row>
    <row r="258" spans="1:16">
      <c r="A258" s="4" t="s">
        <v>313</v>
      </c>
      <c r="B258" s="4" t="s">
        <v>328</v>
      </c>
      <c r="C258" s="14" t="s">
        <v>330</v>
      </c>
      <c r="D258" s="13">
        <v>1</v>
      </c>
      <c r="E258" s="13" t="s">
        <v>397</v>
      </c>
      <c r="F258" s="13">
        <v>1</v>
      </c>
      <c r="G258" s="21">
        <v>0</v>
      </c>
      <c r="H258" s="13">
        <v>1</v>
      </c>
      <c r="I258" s="4">
        <v>17</v>
      </c>
      <c r="J258" s="4">
        <v>41</v>
      </c>
      <c r="K258" s="4" t="s">
        <v>124</v>
      </c>
      <c r="L258" s="4" t="s">
        <v>13</v>
      </c>
      <c r="M258" s="4">
        <v>2024</v>
      </c>
      <c r="N258" s="4">
        <v>1</v>
      </c>
      <c r="O258" s="4">
        <v>1</v>
      </c>
      <c r="P258" s="4"/>
    </row>
    <row r="259" spans="1:16">
      <c r="A259" s="4" t="s">
        <v>313</v>
      </c>
      <c r="B259" s="4" t="s">
        <v>329</v>
      </c>
      <c r="C259" s="14" t="s">
        <v>331</v>
      </c>
      <c r="D259" s="13">
        <v>1</v>
      </c>
      <c r="E259" s="13" t="s">
        <v>397</v>
      </c>
      <c r="F259" s="13">
        <v>1</v>
      </c>
      <c r="G259" s="21">
        <v>0</v>
      </c>
      <c r="H259" s="13">
        <v>1</v>
      </c>
      <c r="I259" s="4">
        <v>18</v>
      </c>
      <c r="J259" s="4">
        <v>41</v>
      </c>
      <c r="K259" s="4" t="s">
        <v>124</v>
      </c>
      <c r="L259" s="4" t="s">
        <v>13</v>
      </c>
      <c r="M259" s="4">
        <v>2024</v>
      </c>
      <c r="N259" s="4">
        <v>1</v>
      </c>
      <c r="O259" s="4">
        <v>1</v>
      </c>
      <c r="P259" s="4"/>
    </row>
    <row r="260" spans="1:16">
      <c r="A260" s="4" t="s">
        <v>313</v>
      </c>
      <c r="B260" s="4" t="s">
        <v>1132</v>
      </c>
      <c r="C260" s="14" t="s">
        <v>1303</v>
      </c>
      <c r="F260" s="13">
        <v>0</v>
      </c>
      <c r="I260" s="4"/>
      <c r="J260" s="4"/>
      <c r="K260" s="4"/>
      <c r="L260" s="4"/>
      <c r="M260" s="4"/>
      <c r="N260" s="4"/>
      <c r="O260" s="4"/>
      <c r="P260" s="4"/>
    </row>
    <row r="261" spans="1:16">
      <c r="A261" s="4" t="s">
        <v>313</v>
      </c>
      <c r="B261" s="4" t="s">
        <v>1133</v>
      </c>
      <c r="C261" s="14" t="s">
        <v>1304</v>
      </c>
      <c r="F261" s="13">
        <v>0</v>
      </c>
      <c r="I261" s="4"/>
      <c r="J261" s="4"/>
      <c r="K261" s="4"/>
      <c r="L261" s="4"/>
      <c r="M261" s="4"/>
      <c r="N261" s="4"/>
      <c r="O261" s="4"/>
      <c r="P261" s="4"/>
    </row>
    <row r="262" spans="1:16">
      <c r="A262" s="4" t="s">
        <v>313</v>
      </c>
      <c r="B262" s="4" t="s">
        <v>332</v>
      </c>
      <c r="C262" s="14" t="s">
        <v>333</v>
      </c>
      <c r="D262" s="13">
        <v>0</v>
      </c>
      <c r="F262" s="13">
        <v>1</v>
      </c>
      <c r="G262" s="21">
        <v>0</v>
      </c>
      <c r="H262" s="13">
        <v>1</v>
      </c>
      <c r="I262" s="4">
        <v>21</v>
      </c>
      <c r="J262" s="4">
        <v>41</v>
      </c>
      <c r="K262" s="4" t="s">
        <v>124</v>
      </c>
      <c r="L262" s="4" t="s">
        <v>13</v>
      </c>
      <c r="M262" s="4">
        <v>2024</v>
      </c>
      <c r="N262" s="4">
        <v>1</v>
      </c>
      <c r="O262" s="4">
        <v>1</v>
      </c>
      <c r="P262" s="4"/>
    </row>
    <row r="263" spans="1:16">
      <c r="A263" s="4" t="s">
        <v>313</v>
      </c>
      <c r="B263" s="4" t="s">
        <v>1134</v>
      </c>
      <c r="C263" s="9" t="s">
        <v>1305</v>
      </c>
      <c r="F263" s="13">
        <v>0</v>
      </c>
      <c r="I263" s="4"/>
      <c r="J263" s="4"/>
      <c r="K263" s="4"/>
      <c r="L263" s="4"/>
      <c r="M263" s="4"/>
      <c r="N263" s="4"/>
      <c r="O263" s="4"/>
      <c r="P263" s="4"/>
    </row>
    <row r="264" spans="1:16">
      <c r="A264" s="4" t="s">
        <v>313</v>
      </c>
      <c r="B264" s="4" t="s">
        <v>1135</v>
      </c>
      <c r="C264" s="14" t="s">
        <v>1306</v>
      </c>
      <c r="F264" s="13">
        <v>0</v>
      </c>
      <c r="I264" s="4"/>
      <c r="J264" s="4"/>
      <c r="K264" s="4"/>
      <c r="L264" s="4"/>
      <c r="M264" s="4"/>
      <c r="N264" s="4"/>
      <c r="O264" s="4"/>
      <c r="P264" s="4"/>
    </row>
    <row r="265" spans="1:16">
      <c r="A265" s="4" t="s">
        <v>313</v>
      </c>
      <c r="B265" s="4" t="s">
        <v>1136</v>
      </c>
      <c r="C265" s="14" t="s">
        <v>1291</v>
      </c>
      <c r="F265" s="13">
        <v>0</v>
      </c>
      <c r="I265" s="4"/>
      <c r="J265" s="4"/>
      <c r="K265" s="4"/>
      <c r="L265" s="4"/>
      <c r="M265" s="4"/>
      <c r="N265" s="4"/>
      <c r="O265" s="4"/>
      <c r="P265" s="4"/>
    </row>
    <row r="266" spans="1:16">
      <c r="A266" s="4" t="s">
        <v>313</v>
      </c>
      <c r="B266" s="4" t="s">
        <v>1137</v>
      </c>
      <c r="C266" s="14" t="s">
        <v>1307</v>
      </c>
      <c r="F266" s="13">
        <v>0</v>
      </c>
      <c r="I266" s="4"/>
      <c r="J266" s="4"/>
      <c r="K266" s="4"/>
      <c r="L266" s="4"/>
      <c r="M266" s="4"/>
      <c r="N266" s="4"/>
      <c r="O266" s="4"/>
      <c r="P266" s="4"/>
    </row>
    <row r="267" spans="1:16">
      <c r="A267" s="4" t="s">
        <v>313</v>
      </c>
      <c r="B267" s="4" t="s">
        <v>1138</v>
      </c>
      <c r="C267" s="14" t="s">
        <v>1308</v>
      </c>
      <c r="F267" s="13">
        <v>0</v>
      </c>
      <c r="I267" s="4"/>
      <c r="J267" s="4"/>
      <c r="K267" s="4"/>
      <c r="L267" s="4"/>
      <c r="M267" s="4"/>
      <c r="N267" s="4"/>
      <c r="O267" s="4"/>
      <c r="P267" s="4"/>
    </row>
    <row r="268" spans="1:16">
      <c r="A268" s="4" t="s">
        <v>313</v>
      </c>
      <c r="B268" s="4" t="s">
        <v>1139</v>
      </c>
      <c r="C268" s="14" t="s">
        <v>1292</v>
      </c>
      <c r="F268" s="13">
        <v>0</v>
      </c>
      <c r="I268" s="4"/>
      <c r="J268" s="4"/>
      <c r="K268" s="4"/>
      <c r="L268" s="4"/>
      <c r="M268" s="4"/>
      <c r="N268" s="4"/>
      <c r="O268" s="4"/>
      <c r="P268" s="4"/>
    </row>
    <row r="269" spans="1:16">
      <c r="A269" s="4" t="s">
        <v>313</v>
      </c>
      <c r="B269" s="4" t="s">
        <v>1140</v>
      </c>
      <c r="C269" s="14" t="s">
        <v>1309</v>
      </c>
      <c r="F269" s="13">
        <v>0</v>
      </c>
      <c r="I269" s="4"/>
      <c r="J269" s="4"/>
      <c r="K269" s="4"/>
      <c r="L269" s="4"/>
      <c r="M269" s="4"/>
      <c r="N269" s="4"/>
      <c r="O269" s="4"/>
      <c r="P269" s="4"/>
    </row>
    <row r="270" spans="1:16">
      <c r="A270" s="4" t="s">
        <v>313</v>
      </c>
      <c r="B270" s="4" t="s">
        <v>334</v>
      </c>
      <c r="C270" s="14" t="s">
        <v>335</v>
      </c>
      <c r="D270" s="13">
        <v>1</v>
      </c>
      <c r="E270" s="13" t="s">
        <v>399</v>
      </c>
      <c r="F270" s="13">
        <v>1</v>
      </c>
      <c r="G270" s="21">
        <v>0</v>
      </c>
      <c r="H270" s="13">
        <v>2</v>
      </c>
      <c r="I270" s="4">
        <v>29</v>
      </c>
      <c r="J270" s="4">
        <v>41</v>
      </c>
      <c r="K270" s="4" t="s">
        <v>124</v>
      </c>
      <c r="L270" s="4" t="s">
        <v>13</v>
      </c>
      <c r="M270" s="4">
        <v>2024</v>
      </c>
      <c r="N270" s="4">
        <v>1</v>
      </c>
      <c r="O270" s="4">
        <v>1</v>
      </c>
      <c r="P270" s="4"/>
    </row>
    <row r="271" spans="1:16">
      <c r="A271" s="4" t="s">
        <v>313</v>
      </c>
      <c r="B271" s="4" t="s">
        <v>1141</v>
      </c>
      <c r="C271" s="14" t="s">
        <v>1310</v>
      </c>
      <c r="F271" s="13">
        <v>0</v>
      </c>
      <c r="I271" s="4"/>
      <c r="J271" s="4"/>
      <c r="K271" s="4"/>
      <c r="L271" s="4"/>
      <c r="M271" s="4"/>
      <c r="N271" s="4"/>
      <c r="O271" s="4"/>
      <c r="P271" s="4"/>
    </row>
    <row r="272" spans="1:16">
      <c r="A272" s="4" t="s">
        <v>313</v>
      </c>
      <c r="B272" s="4" t="s">
        <v>336</v>
      </c>
      <c r="C272" s="14" t="s">
        <v>298</v>
      </c>
      <c r="D272" s="13">
        <v>1</v>
      </c>
      <c r="E272" s="13" t="s">
        <v>397</v>
      </c>
      <c r="F272" s="13">
        <v>1</v>
      </c>
      <c r="G272" s="21">
        <v>0</v>
      </c>
      <c r="H272" s="13">
        <v>1</v>
      </c>
      <c r="I272" s="4">
        <v>31</v>
      </c>
      <c r="J272" s="4">
        <v>41</v>
      </c>
      <c r="K272" s="4" t="s">
        <v>124</v>
      </c>
      <c r="L272" s="4" t="s">
        <v>13</v>
      </c>
      <c r="M272" s="4">
        <v>2024</v>
      </c>
      <c r="N272" s="4">
        <v>1</v>
      </c>
      <c r="O272" s="4">
        <v>1</v>
      </c>
      <c r="P272" s="4"/>
    </row>
    <row r="273" spans="1:16">
      <c r="A273" s="4" t="s">
        <v>313</v>
      </c>
      <c r="B273" s="4" t="s">
        <v>337</v>
      </c>
      <c r="C273" s="14" t="s">
        <v>339</v>
      </c>
      <c r="D273" s="13">
        <v>1</v>
      </c>
      <c r="E273" s="13" t="s">
        <v>399</v>
      </c>
      <c r="F273" s="13">
        <v>1</v>
      </c>
      <c r="G273" s="21">
        <v>0</v>
      </c>
      <c r="H273" s="13">
        <v>1</v>
      </c>
      <c r="I273" s="4">
        <v>32</v>
      </c>
      <c r="J273" s="4">
        <v>41</v>
      </c>
      <c r="K273" s="4" t="s">
        <v>124</v>
      </c>
      <c r="L273" s="4" t="s">
        <v>13</v>
      </c>
      <c r="M273" s="4">
        <v>2024</v>
      </c>
      <c r="N273" s="4">
        <v>1</v>
      </c>
      <c r="O273" s="4">
        <v>1</v>
      </c>
      <c r="P273" s="4"/>
    </row>
    <row r="274" spans="1:16">
      <c r="A274" s="4" t="s">
        <v>313</v>
      </c>
      <c r="B274" s="4" t="s">
        <v>338</v>
      </c>
      <c r="C274" s="14" t="s">
        <v>340</v>
      </c>
      <c r="D274" s="13">
        <v>1</v>
      </c>
      <c r="E274" s="13" t="s">
        <v>399</v>
      </c>
      <c r="F274" s="13">
        <v>1</v>
      </c>
      <c r="G274" s="21">
        <v>0</v>
      </c>
      <c r="H274" s="13">
        <v>2</v>
      </c>
      <c r="I274" s="4">
        <v>33</v>
      </c>
      <c r="J274" s="4">
        <v>41</v>
      </c>
      <c r="K274" s="4" t="s">
        <v>124</v>
      </c>
      <c r="L274" s="4" t="s">
        <v>13</v>
      </c>
      <c r="M274" s="4">
        <v>2024</v>
      </c>
      <c r="N274" s="4">
        <v>1</v>
      </c>
      <c r="O274" s="4">
        <v>1</v>
      </c>
      <c r="P274" s="4"/>
    </row>
    <row r="275" spans="1:16">
      <c r="A275" s="4" t="s">
        <v>313</v>
      </c>
      <c r="B275" s="4" t="s">
        <v>406</v>
      </c>
      <c r="C275" s="14" t="s">
        <v>304</v>
      </c>
      <c r="D275" s="13">
        <v>1</v>
      </c>
      <c r="E275" s="13" t="s">
        <v>399</v>
      </c>
      <c r="F275" s="13">
        <v>1</v>
      </c>
      <c r="G275" s="21">
        <v>0</v>
      </c>
      <c r="H275" s="13">
        <v>2</v>
      </c>
      <c r="I275" s="4">
        <v>34</v>
      </c>
      <c r="J275" s="4">
        <v>41</v>
      </c>
      <c r="K275" s="4" t="s">
        <v>124</v>
      </c>
      <c r="L275" s="4" t="s">
        <v>13</v>
      </c>
      <c r="M275" s="4">
        <v>2024</v>
      </c>
      <c r="N275" s="4">
        <v>1</v>
      </c>
      <c r="O275" s="4">
        <v>1</v>
      </c>
      <c r="P275" s="4"/>
    </row>
    <row r="276" spans="1:16">
      <c r="A276" s="4" t="s">
        <v>313</v>
      </c>
      <c r="B276" s="4" t="s">
        <v>1142</v>
      </c>
      <c r="C276" s="14" t="s">
        <v>1311</v>
      </c>
      <c r="F276" s="13">
        <v>0</v>
      </c>
      <c r="I276" s="4"/>
      <c r="J276" s="4"/>
      <c r="K276" s="4"/>
      <c r="L276" s="4"/>
      <c r="M276" s="4"/>
      <c r="N276" s="4"/>
      <c r="O276" s="4"/>
      <c r="P276" s="4"/>
    </row>
    <row r="277" spans="1:16">
      <c r="A277" s="4" t="s">
        <v>313</v>
      </c>
      <c r="B277" s="4" t="s">
        <v>1143</v>
      </c>
      <c r="C277" s="9" t="s">
        <v>1312</v>
      </c>
      <c r="F277" s="13">
        <v>0</v>
      </c>
      <c r="I277" s="4"/>
      <c r="J277" s="4"/>
      <c r="K277" s="4"/>
      <c r="L277" s="4"/>
      <c r="M277" s="4"/>
      <c r="N277" s="4"/>
      <c r="O277" s="4"/>
      <c r="P277" s="4"/>
    </row>
    <row r="278" spans="1:16">
      <c r="A278" s="4" t="s">
        <v>313</v>
      </c>
      <c r="B278" s="4" t="s">
        <v>1144</v>
      </c>
      <c r="C278" s="14" t="s">
        <v>1313</v>
      </c>
      <c r="F278" s="13">
        <v>0</v>
      </c>
      <c r="I278" s="4"/>
      <c r="J278" s="4"/>
      <c r="K278" s="4"/>
      <c r="L278" s="4"/>
      <c r="M278" s="4"/>
      <c r="N278" s="4"/>
      <c r="O278" s="4"/>
      <c r="P278" s="4"/>
    </row>
    <row r="279" spans="1:16">
      <c r="A279" s="4" t="s">
        <v>313</v>
      </c>
      <c r="B279" s="4" t="s">
        <v>341</v>
      </c>
      <c r="C279" s="14" t="s">
        <v>306</v>
      </c>
      <c r="D279" s="13">
        <v>1</v>
      </c>
      <c r="E279" s="13" t="s">
        <v>397</v>
      </c>
      <c r="F279" s="13">
        <v>1</v>
      </c>
      <c r="G279" s="21">
        <v>1</v>
      </c>
      <c r="H279" s="13">
        <v>1</v>
      </c>
      <c r="I279" s="4">
        <v>38</v>
      </c>
      <c r="J279" s="4">
        <v>41</v>
      </c>
      <c r="K279" s="4" t="s">
        <v>124</v>
      </c>
      <c r="L279" s="4" t="s">
        <v>13</v>
      </c>
      <c r="M279" s="4">
        <v>2024</v>
      </c>
      <c r="N279" s="4">
        <v>1</v>
      </c>
      <c r="O279" s="4">
        <v>1</v>
      </c>
      <c r="P279" s="4"/>
    </row>
    <row r="280" spans="1:16">
      <c r="A280" s="4" t="s">
        <v>313</v>
      </c>
      <c r="B280" s="4" t="s">
        <v>342</v>
      </c>
      <c r="C280" s="14" t="s">
        <v>344</v>
      </c>
      <c r="D280" s="13">
        <v>0</v>
      </c>
      <c r="F280" s="13">
        <v>1</v>
      </c>
      <c r="G280" s="21">
        <v>0</v>
      </c>
      <c r="H280" s="13">
        <v>1</v>
      </c>
      <c r="I280" s="4">
        <v>39</v>
      </c>
      <c r="J280" s="4">
        <v>41</v>
      </c>
      <c r="K280" s="4" t="s">
        <v>124</v>
      </c>
      <c r="L280" s="4" t="s">
        <v>13</v>
      </c>
      <c r="M280" s="4">
        <v>2024</v>
      </c>
      <c r="N280" s="4">
        <v>1</v>
      </c>
      <c r="O280" s="4">
        <v>1</v>
      </c>
      <c r="P280" s="4"/>
    </row>
    <row r="281" spans="1:16">
      <c r="A281" s="4" t="s">
        <v>313</v>
      </c>
      <c r="B281" s="4" t="s">
        <v>343</v>
      </c>
      <c r="C281" s="14" t="s">
        <v>310</v>
      </c>
      <c r="D281" s="13">
        <v>0</v>
      </c>
      <c r="F281" s="13">
        <v>1</v>
      </c>
      <c r="G281" s="21">
        <v>0</v>
      </c>
      <c r="H281" s="13">
        <v>1</v>
      </c>
      <c r="I281" s="4">
        <v>40</v>
      </c>
      <c r="J281" s="4">
        <v>41</v>
      </c>
      <c r="K281" s="4" t="s">
        <v>124</v>
      </c>
      <c r="L281" s="4" t="s">
        <v>13</v>
      </c>
      <c r="M281" s="4">
        <v>2024</v>
      </c>
      <c r="N281" s="4">
        <v>1</v>
      </c>
      <c r="O281" s="4">
        <v>1</v>
      </c>
      <c r="P281" s="4"/>
    </row>
    <row r="282" spans="1:16">
      <c r="A282" s="4" t="s">
        <v>313</v>
      </c>
      <c r="B282" s="4" t="s">
        <v>345</v>
      </c>
      <c r="C282" s="14" t="s">
        <v>346</v>
      </c>
      <c r="D282" s="13">
        <v>0</v>
      </c>
      <c r="F282" s="13">
        <v>1</v>
      </c>
      <c r="G282" s="21">
        <v>0</v>
      </c>
      <c r="H282" s="13">
        <v>1</v>
      </c>
      <c r="I282" s="4">
        <v>41</v>
      </c>
      <c r="J282" s="4">
        <v>41</v>
      </c>
      <c r="K282" s="4" t="s">
        <v>124</v>
      </c>
      <c r="L282" s="4" t="s">
        <v>13</v>
      </c>
      <c r="M282" s="4">
        <v>2024</v>
      </c>
      <c r="N282" s="4">
        <v>1</v>
      </c>
      <c r="O282" s="4">
        <v>1</v>
      </c>
      <c r="P282" s="4"/>
    </row>
    <row r="283" spans="1:16">
      <c r="A283" s="4" t="s">
        <v>347</v>
      </c>
      <c r="B283" s="4" t="s">
        <v>348</v>
      </c>
      <c r="C283" s="9" t="s">
        <v>349</v>
      </c>
      <c r="D283" s="13">
        <v>0</v>
      </c>
      <c r="F283" s="13">
        <v>1</v>
      </c>
      <c r="G283" s="21">
        <v>0</v>
      </c>
      <c r="H283" s="13">
        <v>1</v>
      </c>
      <c r="I283" s="4">
        <v>1</v>
      </c>
      <c r="J283" s="4">
        <v>46</v>
      </c>
      <c r="K283" s="4" t="s">
        <v>124</v>
      </c>
      <c r="L283" s="4" t="s">
        <v>13</v>
      </c>
      <c r="M283" s="4">
        <v>2025</v>
      </c>
      <c r="N283" s="4">
        <v>1</v>
      </c>
      <c r="O283" s="4">
        <v>1</v>
      </c>
      <c r="P283" s="4"/>
    </row>
    <row r="284" spans="1:16">
      <c r="A284" s="4" t="s">
        <v>347</v>
      </c>
      <c r="B284" s="4" t="s">
        <v>350</v>
      </c>
      <c r="C284" s="14" t="s">
        <v>351</v>
      </c>
      <c r="D284" s="13">
        <v>0</v>
      </c>
      <c r="F284" s="13">
        <v>1</v>
      </c>
      <c r="G284" s="21">
        <v>0</v>
      </c>
      <c r="H284" s="13">
        <v>1</v>
      </c>
      <c r="I284" s="4">
        <v>2</v>
      </c>
      <c r="J284" s="4">
        <v>46</v>
      </c>
      <c r="K284" s="4" t="s">
        <v>124</v>
      </c>
      <c r="L284" s="4" t="s">
        <v>13</v>
      </c>
      <c r="M284" s="4">
        <v>2025</v>
      </c>
      <c r="N284" s="4">
        <v>1</v>
      </c>
      <c r="O284" s="4">
        <v>1</v>
      </c>
      <c r="P284" s="4"/>
    </row>
    <row r="285" spans="1:16">
      <c r="A285" s="4" t="s">
        <v>347</v>
      </c>
      <c r="B285" s="4" t="s">
        <v>352</v>
      </c>
      <c r="C285" s="14" t="s">
        <v>353</v>
      </c>
      <c r="D285" s="13">
        <v>0</v>
      </c>
      <c r="F285" s="13">
        <v>1</v>
      </c>
      <c r="G285" s="21">
        <v>0</v>
      </c>
      <c r="H285" s="13">
        <v>1</v>
      </c>
      <c r="I285" s="4">
        <v>3</v>
      </c>
      <c r="J285" s="4">
        <v>46</v>
      </c>
      <c r="K285" s="4" t="s">
        <v>124</v>
      </c>
      <c r="L285" s="4" t="s">
        <v>13</v>
      </c>
      <c r="M285" s="4">
        <v>2025</v>
      </c>
      <c r="N285" s="4">
        <v>1</v>
      </c>
      <c r="O285" s="4">
        <v>1</v>
      </c>
      <c r="P285" s="4"/>
    </row>
    <row r="286" spans="1:16">
      <c r="A286" s="4" t="s">
        <v>347</v>
      </c>
      <c r="B286" s="4" t="s">
        <v>354</v>
      </c>
      <c r="C286" s="14" t="s">
        <v>355</v>
      </c>
      <c r="D286" s="13">
        <v>1</v>
      </c>
      <c r="E286" s="13" t="s">
        <v>399</v>
      </c>
      <c r="F286" s="13">
        <v>1</v>
      </c>
      <c r="G286" s="21">
        <v>1</v>
      </c>
      <c r="H286" s="13">
        <v>1</v>
      </c>
      <c r="I286" s="4">
        <v>4</v>
      </c>
      <c r="J286" s="4">
        <v>46</v>
      </c>
      <c r="K286" s="4" t="s">
        <v>124</v>
      </c>
      <c r="L286" s="4" t="s">
        <v>13</v>
      </c>
      <c r="M286" s="4">
        <v>2025</v>
      </c>
      <c r="N286" s="4">
        <v>1</v>
      </c>
      <c r="O286" s="4">
        <v>1</v>
      </c>
      <c r="P286" s="4"/>
    </row>
    <row r="287" spans="1:16">
      <c r="A287" s="4" t="s">
        <v>347</v>
      </c>
      <c r="B287" s="4" t="s">
        <v>356</v>
      </c>
      <c r="C287" s="14" t="s">
        <v>357</v>
      </c>
      <c r="D287" s="13">
        <v>1</v>
      </c>
      <c r="E287" s="13" t="s">
        <v>397</v>
      </c>
      <c r="F287" s="13">
        <v>1</v>
      </c>
      <c r="G287" s="21">
        <v>0</v>
      </c>
      <c r="H287" s="13">
        <v>1</v>
      </c>
      <c r="I287" s="4">
        <v>5</v>
      </c>
      <c r="J287" s="4">
        <v>46</v>
      </c>
      <c r="K287" s="4" t="s">
        <v>124</v>
      </c>
      <c r="L287" s="4" t="s">
        <v>13</v>
      </c>
      <c r="M287" s="4">
        <v>2025</v>
      </c>
      <c r="N287" s="4">
        <v>1</v>
      </c>
      <c r="O287" s="4">
        <v>1</v>
      </c>
      <c r="P287" s="4"/>
    </row>
    <row r="288" spans="1:16">
      <c r="A288" s="4" t="s">
        <v>347</v>
      </c>
      <c r="B288" s="4" t="s">
        <v>358</v>
      </c>
      <c r="C288" s="14" t="s">
        <v>359</v>
      </c>
      <c r="D288" s="13">
        <v>1</v>
      </c>
      <c r="E288" s="13" t="s">
        <v>399</v>
      </c>
      <c r="F288" s="13">
        <v>1</v>
      </c>
      <c r="G288" s="21">
        <v>0</v>
      </c>
      <c r="H288" s="13">
        <v>1</v>
      </c>
      <c r="I288" s="4">
        <v>6</v>
      </c>
      <c r="J288" s="4">
        <v>46</v>
      </c>
      <c r="K288" s="4" t="s">
        <v>124</v>
      </c>
      <c r="L288" s="4" t="s">
        <v>13</v>
      </c>
      <c r="M288" s="4">
        <v>2025</v>
      </c>
      <c r="N288" s="4">
        <v>1</v>
      </c>
      <c r="O288" s="4">
        <v>1</v>
      </c>
      <c r="P288" s="4"/>
    </row>
    <row r="289" spans="1:16">
      <c r="A289" s="4" t="s">
        <v>347</v>
      </c>
      <c r="B289" s="4" t="s">
        <v>360</v>
      </c>
      <c r="C289" s="14" t="s">
        <v>361</v>
      </c>
      <c r="D289" s="13">
        <v>1</v>
      </c>
      <c r="E289" s="13" t="s">
        <v>399</v>
      </c>
      <c r="F289" s="13">
        <v>1</v>
      </c>
      <c r="G289" s="21">
        <v>0</v>
      </c>
      <c r="H289" s="13">
        <v>1</v>
      </c>
      <c r="I289" s="4">
        <v>7</v>
      </c>
      <c r="J289" s="4">
        <v>46</v>
      </c>
      <c r="K289" s="4" t="s">
        <v>124</v>
      </c>
      <c r="L289" s="4" t="s">
        <v>13</v>
      </c>
      <c r="M289" s="4">
        <v>2025</v>
      </c>
      <c r="N289" s="4">
        <v>1</v>
      </c>
      <c r="O289" s="4">
        <v>1</v>
      </c>
      <c r="P289" s="4"/>
    </row>
    <row r="290" spans="1:16">
      <c r="A290" s="4" t="s">
        <v>347</v>
      </c>
      <c r="B290" s="4" t="s">
        <v>1145</v>
      </c>
      <c r="C290" s="14" t="s">
        <v>1314</v>
      </c>
      <c r="F290" s="13">
        <v>0</v>
      </c>
      <c r="I290" s="4"/>
      <c r="J290" s="4"/>
      <c r="K290" s="4"/>
      <c r="L290" s="4"/>
      <c r="M290" s="4"/>
      <c r="N290" s="4"/>
      <c r="O290" s="4"/>
      <c r="P290" s="4"/>
    </row>
    <row r="291" spans="1:16">
      <c r="A291" s="4" t="s">
        <v>347</v>
      </c>
      <c r="B291" s="4" t="s">
        <v>1146</v>
      </c>
      <c r="C291" s="14" t="s">
        <v>1315</v>
      </c>
      <c r="F291" s="13">
        <v>0</v>
      </c>
      <c r="I291" s="4"/>
      <c r="J291" s="4"/>
      <c r="K291" s="4"/>
      <c r="L291" s="4"/>
      <c r="M291" s="4"/>
      <c r="N291" s="4"/>
      <c r="O291" s="4"/>
      <c r="P291" s="4"/>
    </row>
    <row r="292" spans="1:16">
      <c r="A292" s="4" t="s">
        <v>347</v>
      </c>
      <c r="B292" s="4" t="s">
        <v>1147</v>
      </c>
      <c r="C292" s="14" t="s">
        <v>1316</v>
      </c>
      <c r="F292" s="13">
        <v>0</v>
      </c>
      <c r="I292" s="4"/>
      <c r="J292" s="4"/>
      <c r="K292" s="4"/>
      <c r="L292" s="4"/>
      <c r="M292" s="4"/>
      <c r="N292" s="4"/>
      <c r="O292" s="4"/>
      <c r="P292" s="4"/>
    </row>
    <row r="293" spans="1:16">
      <c r="A293" s="4" t="s">
        <v>347</v>
      </c>
      <c r="B293" s="4" t="s">
        <v>1148</v>
      </c>
      <c r="C293" s="14" t="s">
        <v>1317</v>
      </c>
      <c r="F293" s="13">
        <v>0</v>
      </c>
      <c r="I293" s="4"/>
      <c r="J293" s="4"/>
      <c r="K293" s="4"/>
      <c r="L293" s="4"/>
      <c r="M293" s="4"/>
      <c r="N293" s="4"/>
      <c r="O293" s="4"/>
      <c r="P293" s="4"/>
    </row>
    <row r="294" spans="1:16">
      <c r="A294" s="4" t="s">
        <v>347</v>
      </c>
      <c r="B294" s="4" t="s">
        <v>1149</v>
      </c>
      <c r="C294" s="14" t="s">
        <v>1318</v>
      </c>
      <c r="F294" s="13">
        <v>0</v>
      </c>
      <c r="I294" s="4"/>
      <c r="J294" s="4"/>
      <c r="K294" s="4"/>
      <c r="L294" s="4"/>
      <c r="M294" s="4"/>
      <c r="N294" s="4"/>
      <c r="O294" s="4"/>
      <c r="P294" s="4"/>
    </row>
    <row r="295" spans="1:16">
      <c r="A295" s="4" t="s">
        <v>347</v>
      </c>
      <c r="B295" s="4" t="s">
        <v>1150</v>
      </c>
      <c r="C295" s="14" t="s">
        <v>1319</v>
      </c>
      <c r="F295" s="13">
        <v>0</v>
      </c>
      <c r="I295" s="4"/>
      <c r="J295" s="4"/>
      <c r="K295" s="4"/>
      <c r="L295" s="4"/>
      <c r="M295" s="4"/>
      <c r="N295" s="4"/>
      <c r="O295" s="4"/>
      <c r="P295" s="4"/>
    </row>
    <row r="296" spans="1:16">
      <c r="A296" s="4" t="s">
        <v>347</v>
      </c>
      <c r="B296" s="4" t="s">
        <v>1151</v>
      </c>
      <c r="C296" s="14" t="s">
        <v>1320</v>
      </c>
      <c r="F296" s="13">
        <v>0</v>
      </c>
      <c r="I296" s="4"/>
      <c r="J296" s="4"/>
      <c r="K296" s="4"/>
      <c r="L296" s="4"/>
      <c r="M296" s="4"/>
      <c r="N296" s="4"/>
      <c r="O296" s="4"/>
      <c r="P296" s="4"/>
    </row>
    <row r="297" spans="1:16">
      <c r="A297" s="4" t="s">
        <v>347</v>
      </c>
      <c r="B297" s="4" t="s">
        <v>1152</v>
      </c>
      <c r="C297" s="9" t="s">
        <v>1321</v>
      </c>
      <c r="F297" s="13">
        <v>0</v>
      </c>
      <c r="I297" s="4"/>
      <c r="J297" s="4"/>
      <c r="K297" s="4"/>
      <c r="L297" s="4"/>
      <c r="M297" s="4"/>
      <c r="N297" s="4"/>
      <c r="O297" s="4"/>
      <c r="P297" s="4"/>
    </row>
    <row r="298" spans="1:16">
      <c r="A298" s="4" t="s">
        <v>347</v>
      </c>
      <c r="B298" s="4" t="s">
        <v>362</v>
      </c>
      <c r="C298" s="9" t="s">
        <v>363</v>
      </c>
      <c r="D298" s="13">
        <v>1</v>
      </c>
      <c r="E298" s="13" t="s">
        <v>397</v>
      </c>
      <c r="F298" s="13">
        <v>1</v>
      </c>
      <c r="G298" s="21">
        <v>0</v>
      </c>
      <c r="H298" s="13">
        <v>1</v>
      </c>
      <c r="I298" s="4">
        <v>16</v>
      </c>
      <c r="J298" s="4">
        <v>46</v>
      </c>
      <c r="K298" s="4" t="s">
        <v>124</v>
      </c>
      <c r="L298" s="4" t="s">
        <v>13</v>
      </c>
      <c r="M298" s="4">
        <v>2025</v>
      </c>
      <c r="N298" s="4">
        <v>1</v>
      </c>
      <c r="O298" s="4">
        <v>1</v>
      </c>
      <c r="P298" s="4"/>
    </row>
    <row r="299" spans="1:16">
      <c r="A299" s="4" t="s">
        <v>347</v>
      </c>
      <c r="B299" s="4" t="s">
        <v>1153</v>
      </c>
      <c r="C299" s="9" t="s">
        <v>1322</v>
      </c>
      <c r="F299" s="13">
        <v>0</v>
      </c>
      <c r="I299" s="4"/>
      <c r="J299" s="4"/>
      <c r="K299" s="4"/>
      <c r="L299" s="4"/>
      <c r="M299" s="4"/>
      <c r="N299" s="4"/>
      <c r="O299" s="4"/>
      <c r="P299" s="4"/>
    </row>
    <row r="300" spans="1:16">
      <c r="A300" s="4" t="s">
        <v>347</v>
      </c>
      <c r="B300" s="4" t="s">
        <v>364</v>
      </c>
      <c r="C300" s="9" t="s">
        <v>365</v>
      </c>
      <c r="D300" s="13">
        <v>1</v>
      </c>
      <c r="E300" s="13" t="s">
        <v>397</v>
      </c>
      <c r="F300" s="13">
        <v>1</v>
      </c>
      <c r="G300" s="21">
        <v>0</v>
      </c>
      <c r="H300" s="13">
        <v>1</v>
      </c>
      <c r="I300" s="4">
        <v>18</v>
      </c>
      <c r="J300" s="4">
        <v>46</v>
      </c>
      <c r="K300" s="4" t="s">
        <v>124</v>
      </c>
      <c r="L300" s="4" t="s">
        <v>13</v>
      </c>
      <c r="M300" s="4">
        <v>2025</v>
      </c>
      <c r="N300" s="4">
        <v>1</v>
      </c>
      <c r="O300" s="4">
        <v>1</v>
      </c>
      <c r="P300" s="4"/>
    </row>
    <row r="301" spans="1:16">
      <c r="A301" s="4" t="s">
        <v>347</v>
      </c>
      <c r="B301" s="4" t="s">
        <v>1154</v>
      </c>
      <c r="C301" s="9" t="s">
        <v>1323</v>
      </c>
      <c r="F301" s="13">
        <v>0</v>
      </c>
      <c r="I301" s="4"/>
      <c r="J301" s="4"/>
      <c r="K301" s="4"/>
      <c r="L301" s="4"/>
      <c r="M301" s="4"/>
      <c r="N301" s="4"/>
      <c r="O301" s="4"/>
      <c r="P301" s="4"/>
    </row>
    <row r="302" spans="1:16">
      <c r="A302" s="4" t="s">
        <v>347</v>
      </c>
      <c r="B302" s="4" t="s">
        <v>1155</v>
      </c>
      <c r="C302" s="9" t="s">
        <v>1324</v>
      </c>
      <c r="F302" s="13">
        <v>0</v>
      </c>
      <c r="I302" s="4"/>
      <c r="J302" s="4"/>
      <c r="K302" s="4"/>
      <c r="L302" s="4"/>
      <c r="M302" s="4"/>
      <c r="N302" s="4"/>
      <c r="O302" s="4"/>
      <c r="P302" s="4"/>
    </row>
    <row r="303" spans="1:16">
      <c r="A303" s="4" t="s">
        <v>347</v>
      </c>
      <c r="B303" s="4" t="s">
        <v>1156</v>
      </c>
      <c r="C303" s="9" t="s">
        <v>1325</v>
      </c>
      <c r="F303" s="13">
        <v>0</v>
      </c>
      <c r="I303" s="4"/>
      <c r="J303" s="4"/>
      <c r="K303" s="4"/>
      <c r="L303" s="4"/>
      <c r="M303" s="4"/>
      <c r="N303" s="4"/>
      <c r="O303" s="4"/>
      <c r="P303" s="4"/>
    </row>
    <row r="304" spans="1:16">
      <c r="A304" s="4" t="s">
        <v>347</v>
      </c>
      <c r="B304" s="4" t="s">
        <v>1157</v>
      </c>
      <c r="C304" s="9" t="s">
        <v>1326</v>
      </c>
      <c r="F304" s="13">
        <v>0</v>
      </c>
      <c r="I304" s="4"/>
      <c r="J304" s="4"/>
      <c r="K304" s="4"/>
      <c r="L304" s="4"/>
      <c r="M304" s="4"/>
      <c r="N304" s="4"/>
      <c r="O304" s="4"/>
      <c r="P304" s="4"/>
    </row>
    <row r="305" spans="1:16">
      <c r="A305" s="4" t="s">
        <v>347</v>
      </c>
      <c r="B305" s="4" t="s">
        <v>366</v>
      </c>
      <c r="C305" s="9" t="s">
        <v>367</v>
      </c>
      <c r="D305" s="13">
        <v>1</v>
      </c>
      <c r="E305" s="13" t="s">
        <v>399</v>
      </c>
      <c r="F305" s="13">
        <v>1</v>
      </c>
      <c r="G305" s="21">
        <v>0</v>
      </c>
      <c r="H305" s="13">
        <v>2</v>
      </c>
      <c r="I305" s="4">
        <v>23</v>
      </c>
      <c r="J305" s="4">
        <v>46</v>
      </c>
      <c r="K305" s="4" t="s">
        <v>124</v>
      </c>
      <c r="L305" s="4" t="s">
        <v>13</v>
      </c>
      <c r="M305" s="4">
        <v>2025</v>
      </c>
      <c r="N305" s="4">
        <v>1</v>
      </c>
      <c r="O305" s="4">
        <v>1</v>
      </c>
      <c r="P305" s="4"/>
    </row>
    <row r="306" spans="1:16">
      <c r="A306" s="4" t="s">
        <v>347</v>
      </c>
      <c r="B306" s="4" t="s">
        <v>1158</v>
      </c>
      <c r="C306" s="9" t="s">
        <v>1327</v>
      </c>
      <c r="F306" s="13">
        <v>0</v>
      </c>
      <c r="I306" s="4"/>
      <c r="J306" s="4"/>
      <c r="K306" s="4"/>
      <c r="L306" s="4"/>
      <c r="M306" s="4"/>
      <c r="N306" s="4"/>
      <c r="O306" s="4"/>
      <c r="P306" s="4"/>
    </row>
    <row r="307" spans="1:16">
      <c r="A307" s="4" t="s">
        <v>347</v>
      </c>
      <c r="B307" s="4" t="s">
        <v>1159</v>
      </c>
      <c r="C307" s="9" t="s">
        <v>1328</v>
      </c>
      <c r="F307" s="13">
        <v>0</v>
      </c>
      <c r="I307" s="4"/>
      <c r="J307" s="4"/>
      <c r="K307" s="4"/>
      <c r="L307" s="4"/>
      <c r="M307" s="4"/>
      <c r="N307" s="4"/>
      <c r="O307" s="4"/>
      <c r="P307" s="4"/>
    </row>
    <row r="308" spans="1:16">
      <c r="A308" s="4" t="s">
        <v>347</v>
      </c>
      <c r="B308" s="4" t="s">
        <v>368</v>
      </c>
      <c r="C308" s="9" t="s">
        <v>369</v>
      </c>
      <c r="D308" s="13">
        <v>1</v>
      </c>
      <c r="E308" s="13" t="s">
        <v>399</v>
      </c>
      <c r="F308" s="13">
        <v>1</v>
      </c>
      <c r="G308" s="21">
        <v>1</v>
      </c>
      <c r="H308" s="13">
        <v>1</v>
      </c>
      <c r="I308" s="4">
        <v>26</v>
      </c>
      <c r="J308" s="4">
        <v>46</v>
      </c>
      <c r="K308" s="4" t="s">
        <v>124</v>
      </c>
      <c r="L308" s="4" t="s">
        <v>13</v>
      </c>
      <c r="M308" s="4">
        <v>2025</v>
      </c>
      <c r="N308" s="4">
        <v>1</v>
      </c>
      <c r="O308" s="4">
        <v>1</v>
      </c>
      <c r="P308" s="4"/>
    </row>
    <row r="309" spans="1:16">
      <c r="A309" s="4" t="s">
        <v>347</v>
      </c>
      <c r="B309" s="4" t="s">
        <v>1160</v>
      </c>
      <c r="C309" s="9" t="s">
        <v>1329</v>
      </c>
      <c r="F309" s="13">
        <v>0</v>
      </c>
      <c r="I309" s="4"/>
      <c r="J309" s="4"/>
      <c r="K309" s="4"/>
      <c r="L309" s="4"/>
      <c r="M309" s="4"/>
      <c r="N309" s="4"/>
      <c r="O309" s="4"/>
      <c r="P309" s="4"/>
    </row>
    <row r="310" spans="1:16">
      <c r="A310" s="4" t="s">
        <v>347</v>
      </c>
      <c r="B310" s="4" t="s">
        <v>370</v>
      </c>
      <c r="C310" s="9" t="s">
        <v>371</v>
      </c>
      <c r="D310" s="13">
        <v>1</v>
      </c>
      <c r="E310" s="13" t="s">
        <v>399</v>
      </c>
      <c r="F310" s="13">
        <v>1</v>
      </c>
      <c r="G310" s="21">
        <v>0</v>
      </c>
      <c r="H310" s="13">
        <v>2</v>
      </c>
      <c r="I310" s="4">
        <v>28</v>
      </c>
      <c r="J310" s="4">
        <v>46</v>
      </c>
      <c r="K310" s="4" t="s">
        <v>124</v>
      </c>
      <c r="L310" s="4" t="s">
        <v>13</v>
      </c>
      <c r="M310" s="4">
        <v>2025</v>
      </c>
      <c r="N310" s="4">
        <v>1</v>
      </c>
      <c r="O310" s="4">
        <v>1</v>
      </c>
      <c r="P310" s="4"/>
    </row>
    <row r="311" spans="1:16">
      <c r="A311" s="4" t="s">
        <v>347</v>
      </c>
      <c r="B311" s="4" t="s">
        <v>1161</v>
      </c>
      <c r="C311" s="9" t="s">
        <v>1330</v>
      </c>
      <c r="F311" s="13">
        <v>0</v>
      </c>
      <c r="I311" s="4"/>
      <c r="J311" s="4"/>
      <c r="K311" s="4"/>
      <c r="L311" s="4"/>
      <c r="M311" s="4"/>
      <c r="N311" s="4"/>
      <c r="O311" s="4"/>
      <c r="P311" s="4"/>
    </row>
    <row r="312" spans="1:16">
      <c r="A312" s="4" t="s">
        <v>347</v>
      </c>
      <c r="B312" s="4" t="s">
        <v>372</v>
      </c>
      <c r="C312" s="9" t="s">
        <v>373</v>
      </c>
      <c r="D312" s="13">
        <v>1</v>
      </c>
      <c r="E312" s="13" t="s">
        <v>399</v>
      </c>
      <c r="F312" s="13">
        <v>1</v>
      </c>
      <c r="G312" s="21">
        <v>0</v>
      </c>
      <c r="H312" s="13">
        <v>1</v>
      </c>
      <c r="I312" s="4">
        <v>30</v>
      </c>
      <c r="J312" s="4">
        <v>46</v>
      </c>
      <c r="K312" s="4" t="s">
        <v>124</v>
      </c>
      <c r="L312" s="4" t="s">
        <v>13</v>
      </c>
      <c r="M312" s="4">
        <v>2025</v>
      </c>
      <c r="N312" s="4">
        <v>1</v>
      </c>
      <c r="O312" s="4">
        <v>1</v>
      </c>
      <c r="P312" s="4"/>
    </row>
    <row r="313" spans="1:16">
      <c r="A313" s="4" t="s">
        <v>347</v>
      </c>
      <c r="B313" s="4" t="s">
        <v>1162</v>
      </c>
      <c r="C313" s="9" t="s">
        <v>1331</v>
      </c>
      <c r="F313" s="13">
        <v>0</v>
      </c>
      <c r="I313" s="4"/>
      <c r="J313" s="4"/>
      <c r="K313" s="4"/>
      <c r="L313" s="4"/>
      <c r="M313" s="4"/>
      <c r="N313" s="4"/>
      <c r="O313" s="4"/>
      <c r="P313" s="4"/>
    </row>
    <row r="314" spans="1:16">
      <c r="A314" s="4" t="s">
        <v>347</v>
      </c>
      <c r="B314" s="4" t="s">
        <v>1163</v>
      </c>
      <c r="C314" s="9" t="s">
        <v>1332</v>
      </c>
      <c r="F314" s="13">
        <v>0</v>
      </c>
      <c r="I314" s="4"/>
      <c r="J314" s="4"/>
      <c r="K314" s="4"/>
      <c r="L314" s="4"/>
      <c r="M314" s="4"/>
      <c r="N314" s="4"/>
      <c r="O314" s="4"/>
      <c r="P314" s="4"/>
    </row>
    <row r="315" spans="1:16">
      <c r="A315" s="4" t="s">
        <v>347</v>
      </c>
      <c r="B315" s="4" t="s">
        <v>1164</v>
      </c>
      <c r="C315" s="9" t="s">
        <v>1333</v>
      </c>
      <c r="F315" s="13">
        <v>0</v>
      </c>
      <c r="I315" s="4"/>
      <c r="J315" s="4"/>
      <c r="K315" s="4"/>
      <c r="L315" s="4"/>
      <c r="M315" s="4"/>
      <c r="N315" s="4"/>
      <c r="O315" s="4"/>
      <c r="P315" s="4"/>
    </row>
    <row r="316" spans="1:16">
      <c r="A316" s="4" t="s">
        <v>347</v>
      </c>
      <c r="B316" s="4" t="s">
        <v>1165</v>
      </c>
      <c r="C316" s="9" t="s">
        <v>1334</v>
      </c>
      <c r="F316" s="13">
        <v>0</v>
      </c>
      <c r="I316" s="4"/>
      <c r="J316" s="4"/>
      <c r="K316" s="4"/>
      <c r="L316" s="4"/>
      <c r="M316" s="4"/>
      <c r="N316" s="4"/>
      <c r="O316" s="4"/>
      <c r="P316" s="4"/>
    </row>
    <row r="317" spans="1:16">
      <c r="A317" s="4" t="s">
        <v>347</v>
      </c>
      <c r="B317" s="4" t="s">
        <v>374</v>
      </c>
      <c r="C317" s="9" t="s">
        <v>375</v>
      </c>
      <c r="D317" s="13">
        <v>1</v>
      </c>
      <c r="E317" s="13" t="s">
        <v>397</v>
      </c>
      <c r="F317" s="13">
        <v>1</v>
      </c>
      <c r="G317" s="21">
        <v>0</v>
      </c>
      <c r="H317" s="13">
        <v>1</v>
      </c>
      <c r="I317" s="4">
        <v>35</v>
      </c>
      <c r="J317" s="4">
        <v>46</v>
      </c>
      <c r="K317" s="4" t="s">
        <v>124</v>
      </c>
      <c r="L317" s="4" t="s">
        <v>13</v>
      </c>
      <c r="M317" s="4">
        <v>2025</v>
      </c>
      <c r="N317" s="4">
        <v>1</v>
      </c>
      <c r="O317" s="4">
        <v>1</v>
      </c>
      <c r="P317" s="4"/>
    </row>
    <row r="318" spans="1:16">
      <c r="A318" s="4" t="s">
        <v>347</v>
      </c>
      <c r="B318" s="4" t="s">
        <v>376</v>
      </c>
      <c r="C318" s="9" t="s">
        <v>377</v>
      </c>
      <c r="D318" s="13">
        <v>1</v>
      </c>
      <c r="E318" s="13" t="s">
        <v>399</v>
      </c>
      <c r="F318" s="13">
        <v>1</v>
      </c>
      <c r="G318" s="21">
        <v>0</v>
      </c>
      <c r="H318" s="13">
        <v>1</v>
      </c>
      <c r="I318" s="4">
        <v>36</v>
      </c>
      <c r="J318" s="4">
        <v>46</v>
      </c>
      <c r="K318" s="4" t="s">
        <v>124</v>
      </c>
      <c r="L318" s="4" t="s">
        <v>13</v>
      </c>
      <c r="M318" s="4">
        <v>2025</v>
      </c>
      <c r="N318" s="4">
        <v>1</v>
      </c>
      <c r="O318" s="4">
        <v>1</v>
      </c>
      <c r="P318" s="4"/>
    </row>
    <row r="319" spans="1:16">
      <c r="A319" s="4" t="s">
        <v>347</v>
      </c>
      <c r="B319" s="4" t="s">
        <v>378</v>
      </c>
      <c r="C319" s="9" t="s">
        <v>379</v>
      </c>
      <c r="D319" s="13">
        <v>1</v>
      </c>
      <c r="E319" s="13" t="s">
        <v>399</v>
      </c>
      <c r="F319" s="13">
        <v>1</v>
      </c>
      <c r="G319" s="21">
        <v>0</v>
      </c>
      <c r="H319" s="13">
        <v>1</v>
      </c>
      <c r="I319" s="4">
        <v>37</v>
      </c>
      <c r="J319" s="4">
        <v>46</v>
      </c>
      <c r="K319" s="4" t="s">
        <v>124</v>
      </c>
      <c r="L319" s="4" t="s">
        <v>13</v>
      </c>
      <c r="M319" s="4">
        <v>2025</v>
      </c>
      <c r="N319" s="4">
        <v>1</v>
      </c>
      <c r="O319" s="4">
        <v>1</v>
      </c>
      <c r="P319" s="4"/>
    </row>
    <row r="320" spans="1:16">
      <c r="A320" s="4" t="s">
        <v>347</v>
      </c>
      <c r="B320" s="4" t="s">
        <v>380</v>
      </c>
      <c r="C320" s="9" t="s">
        <v>381</v>
      </c>
      <c r="D320" s="13">
        <v>1</v>
      </c>
      <c r="E320" s="13" t="s">
        <v>397</v>
      </c>
      <c r="F320" s="13">
        <v>1</v>
      </c>
      <c r="G320" s="21">
        <v>0</v>
      </c>
      <c r="H320" s="13">
        <v>1</v>
      </c>
      <c r="I320" s="4">
        <v>38</v>
      </c>
      <c r="J320" s="4">
        <v>46</v>
      </c>
      <c r="K320" s="4" t="s">
        <v>124</v>
      </c>
      <c r="L320" s="4" t="s">
        <v>13</v>
      </c>
      <c r="M320" s="4">
        <v>2025</v>
      </c>
      <c r="N320" s="4">
        <v>1</v>
      </c>
      <c r="O320" s="4">
        <v>1</v>
      </c>
      <c r="P320" s="4"/>
    </row>
    <row r="321" spans="1:16">
      <c r="A321" s="4" t="s">
        <v>347</v>
      </c>
      <c r="B321" s="4" t="s">
        <v>1166</v>
      </c>
      <c r="C321" s="9" t="s">
        <v>1335</v>
      </c>
      <c r="F321" s="13">
        <v>0</v>
      </c>
      <c r="I321" s="4"/>
      <c r="J321" s="4"/>
      <c r="K321" s="4"/>
      <c r="L321" s="4"/>
      <c r="M321" s="4"/>
      <c r="N321" s="4"/>
      <c r="O321" s="4"/>
      <c r="P321" s="4"/>
    </row>
    <row r="322" spans="1:16">
      <c r="A322" s="4" t="s">
        <v>347</v>
      </c>
      <c r="B322" s="4" t="s">
        <v>1167</v>
      </c>
      <c r="C322" s="9" t="s">
        <v>1336</v>
      </c>
      <c r="F322" s="13">
        <v>0</v>
      </c>
      <c r="I322" s="4"/>
      <c r="J322" s="4"/>
      <c r="K322" s="4"/>
      <c r="L322" s="4"/>
      <c r="M322" s="4"/>
      <c r="N322" s="4"/>
      <c r="O322" s="4"/>
      <c r="P322" s="4"/>
    </row>
    <row r="323" spans="1:16">
      <c r="A323" s="4" t="s">
        <v>347</v>
      </c>
      <c r="B323" s="4" t="s">
        <v>1168</v>
      </c>
      <c r="C323" s="9" t="s">
        <v>1337</v>
      </c>
      <c r="F323" s="13">
        <v>0</v>
      </c>
      <c r="I323" s="4"/>
      <c r="J323" s="4"/>
      <c r="K323" s="4"/>
      <c r="L323" s="4"/>
      <c r="M323" s="4"/>
      <c r="N323" s="4"/>
      <c r="O323" s="4"/>
      <c r="P323" s="4"/>
    </row>
    <row r="324" spans="1:16">
      <c r="A324" s="4" t="s">
        <v>347</v>
      </c>
      <c r="B324" s="4" t="s">
        <v>1169</v>
      </c>
      <c r="C324" s="9" t="s">
        <v>1338</v>
      </c>
      <c r="F324" s="13">
        <v>0</v>
      </c>
      <c r="I324" s="4"/>
      <c r="J324" s="4"/>
      <c r="K324" s="4"/>
      <c r="L324" s="4"/>
      <c r="M324" s="4"/>
      <c r="N324" s="4"/>
      <c r="O324" s="4"/>
      <c r="P324" s="4"/>
    </row>
    <row r="325" spans="1:16" ht="30" customHeight="1">
      <c r="A325" s="4" t="s">
        <v>347</v>
      </c>
      <c r="B325" s="4" t="s">
        <v>385</v>
      </c>
      <c r="C325" s="9" t="s">
        <v>382</v>
      </c>
      <c r="D325" s="13">
        <v>1</v>
      </c>
      <c r="E325" s="13" t="s">
        <v>397</v>
      </c>
      <c r="F325" s="13">
        <v>1</v>
      </c>
      <c r="G325" s="21">
        <v>1</v>
      </c>
      <c r="H325" s="13">
        <v>1</v>
      </c>
      <c r="I325" s="4">
        <v>43</v>
      </c>
      <c r="J325" s="4">
        <v>46</v>
      </c>
      <c r="K325" s="4" t="s">
        <v>124</v>
      </c>
      <c r="L325" s="4" t="s">
        <v>13</v>
      </c>
      <c r="M325" s="4">
        <v>2025</v>
      </c>
      <c r="N325" s="4">
        <v>1</v>
      </c>
      <c r="O325" s="4">
        <v>1</v>
      </c>
      <c r="P325" s="4"/>
    </row>
    <row r="326" spans="1:16">
      <c r="A326" s="4" t="s">
        <v>347</v>
      </c>
      <c r="B326" s="4" t="s">
        <v>388</v>
      </c>
      <c r="C326" s="9" t="s">
        <v>383</v>
      </c>
      <c r="D326" s="13">
        <v>0</v>
      </c>
      <c r="F326" s="13">
        <v>1</v>
      </c>
      <c r="G326" s="21">
        <v>0</v>
      </c>
      <c r="H326" s="13">
        <v>1</v>
      </c>
      <c r="I326" s="4">
        <v>44</v>
      </c>
      <c r="J326" s="4">
        <v>46</v>
      </c>
      <c r="K326" s="4" t="s">
        <v>124</v>
      </c>
      <c r="L326" s="4" t="s">
        <v>13</v>
      </c>
      <c r="M326" s="4">
        <v>2025</v>
      </c>
      <c r="N326" s="4">
        <v>1</v>
      </c>
      <c r="O326" s="4">
        <v>1</v>
      </c>
      <c r="P326" s="4"/>
    </row>
    <row r="327" spans="1:16">
      <c r="A327" s="4" t="s">
        <v>347</v>
      </c>
      <c r="B327" s="4" t="s">
        <v>389</v>
      </c>
      <c r="C327" s="9" t="s">
        <v>384</v>
      </c>
      <c r="D327" s="13">
        <v>0</v>
      </c>
      <c r="F327" s="13">
        <v>1</v>
      </c>
      <c r="G327" s="21">
        <v>0</v>
      </c>
      <c r="H327" s="13">
        <v>1</v>
      </c>
      <c r="I327" s="4">
        <v>45</v>
      </c>
      <c r="J327" s="4">
        <v>46</v>
      </c>
      <c r="K327" s="4" t="s">
        <v>124</v>
      </c>
      <c r="L327" s="4" t="s">
        <v>13</v>
      </c>
      <c r="M327" s="4">
        <v>2025</v>
      </c>
      <c r="N327" s="4">
        <v>1</v>
      </c>
      <c r="O327" s="4">
        <v>1</v>
      </c>
      <c r="P327" s="4"/>
    </row>
    <row r="328" spans="1:16">
      <c r="A328" s="4" t="s">
        <v>347</v>
      </c>
      <c r="B328" s="4" t="s">
        <v>390</v>
      </c>
      <c r="C328" s="9" t="s">
        <v>386</v>
      </c>
      <c r="D328" s="13">
        <v>0</v>
      </c>
      <c r="F328" s="13">
        <v>1</v>
      </c>
      <c r="G328" s="21">
        <v>0</v>
      </c>
      <c r="H328" s="13">
        <v>1</v>
      </c>
      <c r="I328" s="4">
        <v>46</v>
      </c>
      <c r="J328" s="4">
        <v>46</v>
      </c>
      <c r="K328" s="4" t="s">
        <v>124</v>
      </c>
      <c r="L328" s="4" t="s">
        <v>13</v>
      </c>
      <c r="M328" s="4">
        <v>2025</v>
      </c>
      <c r="N328" s="4">
        <v>1</v>
      </c>
      <c r="O328" s="4">
        <v>1</v>
      </c>
      <c r="P328" s="4"/>
    </row>
    <row r="329" spans="1:16">
      <c r="A329" s="4" t="s">
        <v>414</v>
      </c>
      <c r="B329" s="4" t="s">
        <v>1170</v>
      </c>
      <c r="C329" s="9" t="s">
        <v>1342</v>
      </c>
      <c r="F329" s="13">
        <v>0</v>
      </c>
      <c r="I329" s="4"/>
      <c r="J329" s="4"/>
      <c r="K329" s="4"/>
      <c r="L329" s="4"/>
      <c r="M329" s="4"/>
      <c r="N329" s="4"/>
      <c r="O329" s="4"/>
      <c r="P329" s="4"/>
    </row>
    <row r="330" spans="1:16">
      <c r="A330" s="4" t="s">
        <v>414</v>
      </c>
      <c r="B330" s="4" t="s">
        <v>1171</v>
      </c>
      <c r="C330" s="9" t="s">
        <v>1343</v>
      </c>
      <c r="F330" s="13">
        <v>0</v>
      </c>
      <c r="I330" s="4"/>
      <c r="J330" s="4"/>
      <c r="K330" s="4"/>
      <c r="L330" s="4"/>
      <c r="M330" s="4"/>
      <c r="N330" s="4"/>
      <c r="O330" s="4"/>
      <c r="P330" s="4"/>
    </row>
    <row r="331" spans="1:16">
      <c r="A331" s="4" t="s">
        <v>414</v>
      </c>
      <c r="B331" s="4" t="s">
        <v>1172</v>
      </c>
      <c r="C331" s="22" t="s">
        <v>1344</v>
      </c>
      <c r="F331" s="13">
        <v>0</v>
      </c>
      <c r="I331" s="4"/>
      <c r="J331" s="4"/>
      <c r="K331" s="4"/>
      <c r="L331" s="4"/>
      <c r="M331" s="4"/>
      <c r="N331" s="4"/>
      <c r="O331" s="4"/>
      <c r="P331" s="4"/>
    </row>
    <row r="332" spans="1:16">
      <c r="A332" s="4" t="s">
        <v>414</v>
      </c>
      <c r="B332" s="4" t="s">
        <v>1173</v>
      </c>
      <c r="C332" s="9" t="s">
        <v>1345</v>
      </c>
      <c r="F332" s="13">
        <v>0</v>
      </c>
      <c r="I332" s="4"/>
      <c r="J332" s="4"/>
      <c r="K332" s="4"/>
      <c r="L332" s="4"/>
      <c r="M332" s="4"/>
      <c r="N332" s="4"/>
      <c r="O332" s="4"/>
      <c r="P332" s="4"/>
    </row>
    <row r="333" spans="1:16">
      <c r="A333" s="4" t="s">
        <v>414</v>
      </c>
      <c r="B333" s="4" t="s">
        <v>416</v>
      </c>
      <c r="C333" s="9" t="s">
        <v>417</v>
      </c>
      <c r="D333" s="13">
        <v>0</v>
      </c>
      <c r="F333" s="13">
        <v>1</v>
      </c>
      <c r="G333" s="21">
        <v>0</v>
      </c>
      <c r="H333" s="13">
        <v>1</v>
      </c>
      <c r="I333" s="4">
        <v>5</v>
      </c>
      <c r="J333" s="4">
        <v>11</v>
      </c>
      <c r="K333" s="4" t="s">
        <v>415</v>
      </c>
      <c r="L333" s="4" t="s">
        <v>13</v>
      </c>
      <c r="M333" s="4">
        <v>2019</v>
      </c>
      <c r="N333" s="4">
        <v>1</v>
      </c>
      <c r="O333" s="4">
        <v>1</v>
      </c>
    </row>
    <row r="334" spans="1:16">
      <c r="A334" s="4" t="s">
        <v>414</v>
      </c>
      <c r="B334" s="4" t="s">
        <v>418</v>
      </c>
      <c r="C334" s="9" t="s">
        <v>419</v>
      </c>
      <c r="D334" s="13">
        <v>0</v>
      </c>
      <c r="F334" s="13">
        <v>1</v>
      </c>
      <c r="G334" s="21">
        <v>0</v>
      </c>
      <c r="I334" s="4">
        <v>6</v>
      </c>
      <c r="J334" s="4">
        <v>11</v>
      </c>
      <c r="K334" s="4" t="s">
        <v>415</v>
      </c>
      <c r="L334" s="4" t="s">
        <v>13</v>
      </c>
      <c r="M334" s="4">
        <v>2019</v>
      </c>
      <c r="N334" s="4">
        <v>1</v>
      </c>
      <c r="O334" s="4">
        <v>1</v>
      </c>
    </row>
    <row r="335" spans="1:16">
      <c r="A335" s="4" t="s">
        <v>414</v>
      </c>
      <c r="B335" s="4" t="s">
        <v>1174</v>
      </c>
      <c r="C335" s="9" t="s">
        <v>1346</v>
      </c>
      <c r="F335" s="13">
        <v>0</v>
      </c>
      <c r="I335" s="4"/>
      <c r="J335" s="4"/>
      <c r="K335" s="4"/>
      <c r="L335" s="4"/>
      <c r="M335" s="4"/>
      <c r="N335" s="4"/>
      <c r="O335" s="4"/>
    </row>
    <row r="336" spans="1:16" ht="17" customHeight="1">
      <c r="A336" s="4" t="s">
        <v>414</v>
      </c>
      <c r="B336" s="4" t="s">
        <v>472</v>
      </c>
      <c r="C336" s="9" t="s">
        <v>475</v>
      </c>
      <c r="F336" s="13">
        <v>1</v>
      </c>
      <c r="G336" s="21">
        <v>1</v>
      </c>
      <c r="I336" s="4">
        <v>8</v>
      </c>
      <c r="J336" s="4">
        <v>11</v>
      </c>
      <c r="K336" s="4" t="s">
        <v>415</v>
      </c>
      <c r="L336" s="4" t="s">
        <v>13</v>
      </c>
      <c r="M336" s="4">
        <v>2019</v>
      </c>
      <c r="N336" s="4">
        <v>1</v>
      </c>
      <c r="O336" s="4">
        <v>1</v>
      </c>
    </row>
    <row r="337" spans="1:15" ht="17" customHeight="1">
      <c r="A337" s="4" t="s">
        <v>414</v>
      </c>
      <c r="B337" s="4" t="s">
        <v>473</v>
      </c>
      <c r="C337" s="9" t="s">
        <v>474</v>
      </c>
      <c r="F337" s="13">
        <v>1</v>
      </c>
      <c r="G337" s="21">
        <v>1</v>
      </c>
      <c r="I337" s="4">
        <v>9</v>
      </c>
      <c r="J337" s="4">
        <v>11</v>
      </c>
      <c r="K337" s="4" t="s">
        <v>415</v>
      </c>
      <c r="L337" s="4" t="s">
        <v>13</v>
      </c>
      <c r="M337" s="4">
        <v>2019</v>
      </c>
      <c r="N337" s="4">
        <v>1</v>
      </c>
      <c r="O337" s="4">
        <v>1</v>
      </c>
    </row>
    <row r="338" spans="1:15">
      <c r="A338" s="4" t="s">
        <v>414</v>
      </c>
      <c r="B338" s="4" t="s">
        <v>476</v>
      </c>
      <c r="C338" s="9" t="s">
        <v>477</v>
      </c>
      <c r="F338" s="13">
        <v>1</v>
      </c>
      <c r="G338" s="21">
        <v>0</v>
      </c>
      <c r="I338" s="4">
        <v>10</v>
      </c>
      <c r="J338" s="4">
        <v>11</v>
      </c>
      <c r="K338" s="4" t="s">
        <v>415</v>
      </c>
      <c r="L338" s="4" t="s">
        <v>13</v>
      </c>
      <c r="M338" s="4">
        <v>2019</v>
      </c>
      <c r="N338" s="4">
        <v>1</v>
      </c>
      <c r="O338" s="4">
        <v>1</v>
      </c>
    </row>
    <row r="339" spans="1:15">
      <c r="A339" s="4" t="s">
        <v>414</v>
      </c>
      <c r="B339" s="4" t="s">
        <v>1339</v>
      </c>
      <c r="C339" s="9" t="s">
        <v>1347</v>
      </c>
      <c r="F339" s="13">
        <v>0</v>
      </c>
      <c r="I339" s="4"/>
      <c r="J339" s="4"/>
      <c r="K339" s="4"/>
      <c r="L339" s="4"/>
      <c r="M339" s="4"/>
      <c r="N339" s="4"/>
      <c r="O339" s="4"/>
    </row>
    <row r="340" spans="1:15">
      <c r="A340" s="4" t="s">
        <v>420</v>
      </c>
      <c r="B340" s="4" t="s">
        <v>421</v>
      </c>
      <c r="C340" s="9" t="s">
        <v>422</v>
      </c>
      <c r="D340" s="13">
        <v>0</v>
      </c>
      <c r="F340" s="13">
        <v>1</v>
      </c>
      <c r="G340" s="21">
        <v>1</v>
      </c>
      <c r="I340" s="4">
        <v>1</v>
      </c>
      <c r="J340" s="4">
        <v>15</v>
      </c>
      <c r="K340" s="4" t="s">
        <v>415</v>
      </c>
      <c r="L340" s="4" t="s">
        <v>13</v>
      </c>
      <c r="M340" s="4">
        <v>2025</v>
      </c>
      <c r="N340" s="4">
        <v>1</v>
      </c>
      <c r="O340" s="4">
        <v>1</v>
      </c>
    </row>
    <row r="341" spans="1:15">
      <c r="A341" s="4" t="s">
        <v>420</v>
      </c>
      <c r="B341" s="4" t="s">
        <v>423</v>
      </c>
      <c r="C341" s="9" t="s">
        <v>424</v>
      </c>
      <c r="D341" s="13">
        <v>0</v>
      </c>
      <c r="F341" s="13">
        <v>1</v>
      </c>
      <c r="G341" s="21">
        <v>0</v>
      </c>
      <c r="I341" s="4">
        <v>2</v>
      </c>
      <c r="J341" s="4">
        <v>15</v>
      </c>
      <c r="K341" s="4" t="s">
        <v>415</v>
      </c>
      <c r="L341" s="4" t="s">
        <v>13</v>
      </c>
      <c r="M341" s="4">
        <v>2025</v>
      </c>
      <c r="N341" s="4">
        <v>1</v>
      </c>
      <c r="O341" s="4">
        <v>1</v>
      </c>
    </row>
    <row r="342" spans="1:15">
      <c r="A342" s="4" t="s">
        <v>420</v>
      </c>
      <c r="B342" s="4" t="s">
        <v>1175</v>
      </c>
      <c r="C342" s="9" t="s">
        <v>1348</v>
      </c>
      <c r="F342" s="13">
        <v>0</v>
      </c>
      <c r="I342" s="4"/>
      <c r="J342" s="4"/>
      <c r="K342" s="4"/>
      <c r="L342" s="4"/>
      <c r="M342" s="4"/>
      <c r="N342" s="4"/>
      <c r="O342" s="4"/>
    </row>
    <row r="343" spans="1:15">
      <c r="A343" s="4" t="s">
        <v>420</v>
      </c>
      <c r="B343" s="4" t="s">
        <v>425</v>
      </c>
      <c r="C343" s="9" t="s">
        <v>426</v>
      </c>
      <c r="D343" s="13">
        <v>1</v>
      </c>
      <c r="E343" s="13" t="s">
        <v>399</v>
      </c>
      <c r="F343" s="13">
        <v>1</v>
      </c>
      <c r="G343" s="21">
        <v>1</v>
      </c>
      <c r="I343" s="4">
        <v>4</v>
      </c>
      <c r="J343" s="4">
        <v>15</v>
      </c>
      <c r="K343" s="4" t="s">
        <v>415</v>
      </c>
      <c r="L343" s="4" t="s">
        <v>13</v>
      </c>
      <c r="M343" s="4">
        <v>2025</v>
      </c>
      <c r="N343" s="4">
        <v>1</v>
      </c>
      <c r="O343" s="4">
        <v>1</v>
      </c>
    </row>
    <row r="344" spans="1:15">
      <c r="A344" s="4" t="s">
        <v>420</v>
      </c>
      <c r="B344" s="4" t="s">
        <v>427</v>
      </c>
      <c r="C344" s="9" t="s">
        <v>428</v>
      </c>
      <c r="D344" s="13">
        <v>1</v>
      </c>
      <c r="E344" s="13" t="s">
        <v>395</v>
      </c>
      <c r="F344" s="13">
        <v>1</v>
      </c>
      <c r="G344" s="21">
        <v>1</v>
      </c>
      <c r="I344" s="4">
        <v>5</v>
      </c>
      <c r="J344" s="4">
        <v>15</v>
      </c>
      <c r="K344" s="4" t="s">
        <v>415</v>
      </c>
      <c r="L344" s="4" t="s">
        <v>13</v>
      </c>
      <c r="M344" s="4">
        <v>2025</v>
      </c>
      <c r="N344" s="4">
        <v>1</v>
      </c>
      <c r="O344" s="4">
        <v>1</v>
      </c>
    </row>
    <row r="345" spans="1:15">
      <c r="A345" s="4" t="s">
        <v>420</v>
      </c>
      <c r="B345" s="4" t="s">
        <v>429</v>
      </c>
      <c r="C345" s="9" t="s">
        <v>430</v>
      </c>
      <c r="D345" s="13">
        <v>1</v>
      </c>
      <c r="E345" s="13" t="s">
        <v>399</v>
      </c>
      <c r="F345" s="13">
        <v>1</v>
      </c>
      <c r="G345" s="21">
        <v>1</v>
      </c>
      <c r="I345" s="4">
        <v>6</v>
      </c>
      <c r="J345" s="4">
        <v>15</v>
      </c>
      <c r="K345" s="4" t="s">
        <v>415</v>
      </c>
      <c r="L345" s="4" t="s">
        <v>13</v>
      </c>
      <c r="M345" s="4">
        <v>2025</v>
      </c>
      <c r="N345" s="4">
        <v>1</v>
      </c>
      <c r="O345" s="4">
        <v>1</v>
      </c>
    </row>
    <row r="346" spans="1:15">
      <c r="A346" s="4" t="s">
        <v>420</v>
      </c>
      <c r="B346" s="4" t="s">
        <v>431</v>
      </c>
      <c r="C346" s="9" t="s">
        <v>432</v>
      </c>
      <c r="D346" s="13">
        <v>1</v>
      </c>
      <c r="E346" s="13" t="s">
        <v>395</v>
      </c>
      <c r="F346" s="13">
        <v>1</v>
      </c>
      <c r="G346" s="21">
        <v>1</v>
      </c>
      <c r="I346" s="4">
        <v>7</v>
      </c>
      <c r="J346" s="4">
        <v>15</v>
      </c>
      <c r="K346" s="4" t="s">
        <v>415</v>
      </c>
      <c r="L346" s="4" t="s">
        <v>13</v>
      </c>
      <c r="M346" s="4">
        <v>2025</v>
      </c>
      <c r="N346" s="4">
        <v>1</v>
      </c>
      <c r="O346" s="4">
        <v>1</v>
      </c>
    </row>
    <row r="347" spans="1:15">
      <c r="A347" s="4" t="s">
        <v>420</v>
      </c>
      <c r="B347" s="4" t="s">
        <v>433</v>
      </c>
      <c r="C347" s="9" t="s">
        <v>434</v>
      </c>
      <c r="D347" s="13">
        <v>1</v>
      </c>
      <c r="E347" s="13" t="s">
        <v>395</v>
      </c>
      <c r="F347" s="13">
        <v>1</v>
      </c>
      <c r="G347" s="21">
        <v>1</v>
      </c>
      <c r="I347" s="4">
        <v>8</v>
      </c>
      <c r="J347" s="4">
        <v>15</v>
      </c>
      <c r="K347" s="4" t="s">
        <v>415</v>
      </c>
      <c r="L347" s="4" t="s">
        <v>13</v>
      </c>
      <c r="M347" s="4">
        <v>2025</v>
      </c>
      <c r="N347" s="4">
        <v>1</v>
      </c>
      <c r="O347" s="4">
        <v>1</v>
      </c>
    </row>
    <row r="348" spans="1:15">
      <c r="A348" s="4" t="s">
        <v>420</v>
      </c>
      <c r="B348" s="4" t="s">
        <v>435</v>
      </c>
      <c r="C348" s="9" t="s">
        <v>436</v>
      </c>
      <c r="D348" s="13">
        <v>1</v>
      </c>
      <c r="E348" s="13" t="s">
        <v>395</v>
      </c>
      <c r="F348" s="13">
        <v>1</v>
      </c>
      <c r="G348" s="21">
        <v>1</v>
      </c>
      <c r="I348" s="4">
        <v>9</v>
      </c>
      <c r="J348" s="4">
        <v>15</v>
      </c>
      <c r="K348" s="4" t="s">
        <v>415</v>
      </c>
      <c r="L348" s="4" t="s">
        <v>13</v>
      </c>
      <c r="M348" s="4">
        <v>2025</v>
      </c>
      <c r="N348" s="4">
        <v>1</v>
      </c>
      <c r="O348" s="4">
        <v>1</v>
      </c>
    </row>
    <row r="349" spans="1:15">
      <c r="A349" s="4" t="s">
        <v>420</v>
      </c>
      <c r="B349" s="4" t="s">
        <v>437</v>
      </c>
      <c r="C349" s="9" t="s">
        <v>438</v>
      </c>
      <c r="D349" s="13">
        <v>1</v>
      </c>
      <c r="E349" s="13" t="s">
        <v>399</v>
      </c>
      <c r="F349" s="13">
        <v>1</v>
      </c>
      <c r="G349" s="21">
        <v>1</v>
      </c>
      <c r="I349" s="4">
        <v>10</v>
      </c>
      <c r="J349" s="4">
        <v>15</v>
      </c>
      <c r="K349" s="4" t="s">
        <v>415</v>
      </c>
      <c r="L349" s="4" t="s">
        <v>13</v>
      </c>
      <c r="M349" s="4">
        <v>2025</v>
      </c>
      <c r="N349" s="4">
        <v>1</v>
      </c>
      <c r="O349" s="4">
        <v>1</v>
      </c>
    </row>
    <row r="350" spans="1:15">
      <c r="A350" s="4" t="s">
        <v>420</v>
      </c>
      <c r="B350" s="4" t="s">
        <v>439</v>
      </c>
      <c r="C350" s="9" t="s">
        <v>440</v>
      </c>
      <c r="D350" s="13">
        <v>1</v>
      </c>
      <c r="E350" s="13" t="s">
        <v>395</v>
      </c>
      <c r="F350" s="13">
        <v>1</v>
      </c>
      <c r="G350" s="21">
        <v>1</v>
      </c>
      <c r="I350" s="4">
        <v>11</v>
      </c>
      <c r="J350" s="4">
        <v>15</v>
      </c>
      <c r="K350" s="4" t="s">
        <v>415</v>
      </c>
      <c r="L350" s="4" t="s">
        <v>13</v>
      </c>
      <c r="M350" s="4">
        <v>2025</v>
      </c>
      <c r="N350" s="4">
        <v>1</v>
      </c>
      <c r="O350" s="4">
        <v>1</v>
      </c>
    </row>
    <row r="351" spans="1:15">
      <c r="A351" s="4" t="s">
        <v>420</v>
      </c>
      <c r="B351" s="4" t="s">
        <v>441</v>
      </c>
      <c r="C351" s="9" t="s">
        <v>442</v>
      </c>
      <c r="D351" s="13">
        <v>1</v>
      </c>
      <c r="E351" s="13" t="s">
        <v>443</v>
      </c>
      <c r="F351" s="13">
        <v>1</v>
      </c>
      <c r="G351" s="21">
        <v>1</v>
      </c>
      <c r="I351" s="4">
        <v>12</v>
      </c>
      <c r="J351" s="4">
        <v>15</v>
      </c>
      <c r="K351" s="4" t="s">
        <v>415</v>
      </c>
      <c r="L351" s="4" t="s">
        <v>13</v>
      </c>
      <c r="M351" s="4">
        <v>2025</v>
      </c>
      <c r="N351" s="4">
        <v>1</v>
      </c>
      <c r="O351" s="4">
        <v>1</v>
      </c>
    </row>
    <row r="352" spans="1:15">
      <c r="A352" s="4" t="s">
        <v>420</v>
      </c>
      <c r="B352" s="4" t="s">
        <v>444</v>
      </c>
      <c r="C352" s="9" t="s">
        <v>445</v>
      </c>
      <c r="D352" s="13">
        <v>1</v>
      </c>
      <c r="E352" s="13" t="s">
        <v>395</v>
      </c>
      <c r="F352" s="13">
        <v>1</v>
      </c>
      <c r="G352" s="21">
        <v>1</v>
      </c>
      <c r="I352" s="4">
        <v>13</v>
      </c>
      <c r="J352" s="4">
        <v>15</v>
      </c>
      <c r="K352" s="4" t="s">
        <v>415</v>
      </c>
      <c r="L352" s="4" t="s">
        <v>13</v>
      </c>
      <c r="M352" s="4">
        <v>2025</v>
      </c>
      <c r="N352" s="4">
        <v>1</v>
      </c>
      <c r="O352" s="4">
        <v>1</v>
      </c>
    </row>
    <row r="353" spans="1:15">
      <c r="A353" s="4" t="s">
        <v>420</v>
      </c>
      <c r="B353" s="4" t="s">
        <v>446</v>
      </c>
      <c r="C353" s="9" t="s">
        <v>447</v>
      </c>
      <c r="D353" s="13">
        <v>1</v>
      </c>
      <c r="E353" s="13" t="s">
        <v>399</v>
      </c>
      <c r="F353" s="13">
        <v>1</v>
      </c>
      <c r="G353" s="21">
        <v>1</v>
      </c>
      <c r="I353" s="4">
        <v>14</v>
      </c>
      <c r="J353" s="4">
        <v>15</v>
      </c>
      <c r="K353" s="4" t="s">
        <v>415</v>
      </c>
      <c r="L353" s="4" t="s">
        <v>13</v>
      </c>
      <c r="M353" s="4">
        <v>2025</v>
      </c>
      <c r="N353" s="4">
        <v>1</v>
      </c>
      <c r="O353" s="4">
        <v>1</v>
      </c>
    </row>
    <row r="354" spans="1:15">
      <c r="A354" s="4" t="s">
        <v>420</v>
      </c>
      <c r="B354" s="4" t="s">
        <v>448</v>
      </c>
      <c r="C354" s="9" t="s">
        <v>449</v>
      </c>
      <c r="D354" s="13">
        <v>1</v>
      </c>
      <c r="E354" s="13" t="s">
        <v>395</v>
      </c>
      <c r="F354" s="13">
        <v>1</v>
      </c>
      <c r="G354" s="21">
        <v>1</v>
      </c>
      <c r="I354" s="4">
        <v>15</v>
      </c>
      <c r="J354" s="4">
        <v>15</v>
      </c>
      <c r="K354" s="4" t="s">
        <v>415</v>
      </c>
      <c r="L354" s="4" t="s">
        <v>13</v>
      </c>
      <c r="M354" s="4">
        <v>2025</v>
      </c>
      <c r="N354" s="4">
        <v>1</v>
      </c>
      <c r="O354" s="4">
        <v>1</v>
      </c>
    </row>
    <row r="355" spans="1:15">
      <c r="A355" s="4" t="s">
        <v>450</v>
      </c>
      <c r="B355" s="4" t="s">
        <v>1176</v>
      </c>
      <c r="C355" s="9" t="s">
        <v>1349</v>
      </c>
      <c r="F355" s="13">
        <v>0</v>
      </c>
      <c r="I355" s="4"/>
      <c r="J355" s="4"/>
      <c r="K355" s="4"/>
      <c r="L355" s="4"/>
      <c r="M355" s="4"/>
      <c r="N355" s="4"/>
      <c r="O355" s="4"/>
    </row>
    <row r="356" spans="1:15">
      <c r="A356" s="4" t="s">
        <v>450</v>
      </c>
      <c r="B356" s="4" t="s">
        <v>452</v>
      </c>
      <c r="C356" s="9" t="s">
        <v>453</v>
      </c>
      <c r="D356" s="13">
        <v>0</v>
      </c>
      <c r="F356" s="13">
        <v>1</v>
      </c>
      <c r="G356" s="21">
        <v>1</v>
      </c>
      <c r="I356" s="4">
        <v>2</v>
      </c>
      <c r="J356" s="4">
        <v>7</v>
      </c>
      <c r="K356" s="4" t="s">
        <v>451</v>
      </c>
      <c r="L356" s="4" t="s">
        <v>13</v>
      </c>
      <c r="M356" s="4">
        <v>2019</v>
      </c>
      <c r="N356" s="4">
        <v>1</v>
      </c>
      <c r="O356" s="4">
        <v>1</v>
      </c>
    </row>
    <row r="357" spans="1:15">
      <c r="A357" s="4" t="s">
        <v>450</v>
      </c>
      <c r="B357" s="4" t="s">
        <v>1177</v>
      </c>
      <c r="C357" s="9" t="s">
        <v>1350</v>
      </c>
      <c r="F357" s="13">
        <v>0</v>
      </c>
      <c r="I357" s="4"/>
      <c r="J357" s="4"/>
      <c r="K357" s="4"/>
      <c r="L357" s="4"/>
      <c r="M357" s="4"/>
      <c r="N357" s="4"/>
      <c r="O357" s="4"/>
    </row>
    <row r="358" spans="1:15">
      <c r="A358" s="4" t="s">
        <v>450</v>
      </c>
      <c r="B358" s="4" t="s">
        <v>1178</v>
      </c>
      <c r="C358" s="9" t="s">
        <v>1351</v>
      </c>
      <c r="F358" s="13">
        <v>0</v>
      </c>
      <c r="I358" s="4"/>
      <c r="J358" s="4"/>
      <c r="K358" s="4"/>
      <c r="L358" s="4"/>
      <c r="M358" s="4"/>
      <c r="N358" s="4"/>
      <c r="O358" s="4"/>
    </row>
    <row r="359" spans="1:15">
      <c r="A359" s="4" t="s">
        <v>450</v>
      </c>
      <c r="B359" s="4" t="s">
        <v>454</v>
      </c>
      <c r="C359" s="9" t="s">
        <v>455</v>
      </c>
      <c r="D359" s="13">
        <v>1</v>
      </c>
      <c r="E359" s="13" t="s">
        <v>397</v>
      </c>
      <c r="F359" s="13">
        <v>1</v>
      </c>
      <c r="G359" s="21">
        <v>1</v>
      </c>
      <c r="I359" s="4">
        <v>5</v>
      </c>
      <c r="J359" s="4">
        <v>7</v>
      </c>
      <c r="K359" s="4" t="s">
        <v>451</v>
      </c>
      <c r="L359" s="4" t="s">
        <v>13</v>
      </c>
      <c r="M359" s="4">
        <v>2019</v>
      </c>
      <c r="N359" s="4">
        <v>1</v>
      </c>
      <c r="O359" s="4">
        <v>1</v>
      </c>
    </row>
    <row r="360" spans="1:15">
      <c r="A360" s="4" t="s">
        <v>450</v>
      </c>
      <c r="B360" s="4" t="s">
        <v>1179</v>
      </c>
      <c r="C360" s="9" t="s">
        <v>1352</v>
      </c>
      <c r="F360" s="13">
        <v>0</v>
      </c>
      <c r="I360" s="4"/>
      <c r="J360" s="4"/>
      <c r="K360" s="4"/>
      <c r="L360" s="4"/>
      <c r="M360" s="4"/>
      <c r="N360" s="4"/>
      <c r="O360" s="4"/>
    </row>
    <row r="361" spans="1:15">
      <c r="A361" s="4" t="s">
        <v>450</v>
      </c>
      <c r="B361" s="4" t="s">
        <v>456</v>
      </c>
      <c r="C361" s="9" t="s">
        <v>457</v>
      </c>
      <c r="D361" s="13">
        <v>1</v>
      </c>
      <c r="E361" s="13" t="s">
        <v>399</v>
      </c>
      <c r="F361" s="13">
        <v>1</v>
      </c>
      <c r="G361" s="21">
        <v>0</v>
      </c>
      <c r="I361" s="4">
        <v>7</v>
      </c>
      <c r="J361" s="4">
        <v>7</v>
      </c>
      <c r="K361" s="4" t="s">
        <v>451</v>
      </c>
      <c r="L361" s="4" t="s">
        <v>13</v>
      </c>
      <c r="M361" s="4">
        <v>2019</v>
      </c>
      <c r="N361" s="4">
        <v>1</v>
      </c>
      <c r="O361" s="4">
        <v>1</v>
      </c>
    </row>
    <row r="362" spans="1:15">
      <c r="A362" s="4" t="s">
        <v>458</v>
      </c>
      <c r="B362" s="4" t="s">
        <v>1180</v>
      </c>
      <c r="C362" s="9" t="s">
        <v>1353</v>
      </c>
      <c r="F362" s="13">
        <v>0</v>
      </c>
      <c r="I362" s="4"/>
      <c r="J362" s="4"/>
      <c r="K362" s="4"/>
      <c r="L362" s="4"/>
      <c r="M362" s="4"/>
      <c r="N362" s="4"/>
      <c r="O362" s="4"/>
    </row>
    <row r="363" spans="1:15">
      <c r="A363" s="4" t="s">
        <v>458</v>
      </c>
      <c r="B363" s="4" t="s">
        <v>1181</v>
      </c>
      <c r="C363" s="9" t="s">
        <v>1354</v>
      </c>
      <c r="F363" s="13">
        <v>0</v>
      </c>
      <c r="I363" s="4"/>
      <c r="J363" s="4"/>
      <c r="K363" s="4"/>
      <c r="L363" s="4"/>
      <c r="M363" s="4"/>
      <c r="N363" s="4"/>
      <c r="O363" s="4"/>
    </row>
    <row r="364" spans="1:15">
      <c r="A364" s="4" t="s">
        <v>458</v>
      </c>
      <c r="B364" s="4" t="s">
        <v>1182</v>
      </c>
      <c r="C364" s="9" t="s">
        <v>1355</v>
      </c>
      <c r="F364" s="13">
        <v>0</v>
      </c>
      <c r="I364" s="4"/>
      <c r="J364" s="4"/>
      <c r="K364" s="4"/>
      <c r="L364" s="4"/>
      <c r="M364" s="4"/>
      <c r="N364" s="4"/>
      <c r="O364" s="4"/>
    </row>
    <row r="365" spans="1:15">
      <c r="A365" s="4" t="s">
        <v>458</v>
      </c>
      <c r="B365" s="4" t="s">
        <v>459</v>
      </c>
      <c r="C365" s="9" t="s">
        <v>460</v>
      </c>
      <c r="D365" s="13">
        <v>1</v>
      </c>
      <c r="E365" s="13" t="s">
        <v>399</v>
      </c>
      <c r="F365" s="13">
        <v>1</v>
      </c>
      <c r="G365" s="21">
        <v>0</v>
      </c>
      <c r="I365" s="4">
        <v>4</v>
      </c>
      <c r="J365" s="4">
        <v>5</v>
      </c>
      <c r="K365" s="4" t="s">
        <v>451</v>
      </c>
      <c r="L365" s="4" t="s">
        <v>13</v>
      </c>
      <c r="M365" s="4">
        <v>2020</v>
      </c>
      <c r="N365" s="4">
        <v>1</v>
      </c>
      <c r="O365" s="4">
        <v>1</v>
      </c>
    </row>
    <row r="366" spans="1:15">
      <c r="A366" s="4" t="s">
        <v>458</v>
      </c>
      <c r="B366" s="4" t="s">
        <v>461</v>
      </c>
      <c r="C366" s="9" t="s">
        <v>462</v>
      </c>
      <c r="D366" s="13">
        <v>1</v>
      </c>
      <c r="E366" s="13" t="s">
        <v>399</v>
      </c>
      <c r="F366" s="13">
        <v>1</v>
      </c>
      <c r="G366" s="21">
        <v>0</v>
      </c>
      <c r="I366" s="4">
        <v>5</v>
      </c>
      <c r="J366" s="4">
        <v>5</v>
      </c>
      <c r="K366" s="4" t="s">
        <v>451</v>
      </c>
      <c r="L366" s="4" t="s">
        <v>13</v>
      </c>
      <c r="M366" s="4">
        <v>2020</v>
      </c>
      <c r="N366" s="4">
        <v>1</v>
      </c>
      <c r="O366" s="4">
        <v>1</v>
      </c>
    </row>
    <row r="367" spans="1:15">
      <c r="A367" s="4" t="s">
        <v>463</v>
      </c>
      <c r="B367" s="4" t="s">
        <v>1183</v>
      </c>
      <c r="C367" s="9" t="s">
        <v>1356</v>
      </c>
      <c r="F367" s="13">
        <v>0</v>
      </c>
      <c r="I367" s="4"/>
      <c r="J367" s="4"/>
      <c r="K367" s="4"/>
      <c r="L367" s="4"/>
      <c r="M367" s="4"/>
      <c r="N367" s="4"/>
      <c r="O367" s="4"/>
    </row>
    <row r="368" spans="1:15">
      <c r="A368" s="4" t="s">
        <v>463</v>
      </c>
      <c r="B368" s="4" t="s">
        <v>464</v>
      </c>
      <c r="C368" s="9" t="s">
        <v>465</v>
      </c>
      <c r="D368" s="13">
        <v>1</v>
      </c>
      <c r="E368" s="13" t="s">
        <v>399</v>
      </c>
      <c r="F368" s="13">
        <v>1</v>
      </c>
      <c r="G368" s="21">
        <v>1</v>
      </c>
      <c r="I368" s="4">
        <v>2</v>
      </c>
      <c r="J368" s="4">
        <v>8</v>
      </c>
      <c r="K368" s="4" t="s">
        <v>451</v>
      </c>
      <c r="L368" s="4" t="s">
        <v>13</v>
      </c>
      <c r="M368" s="4">
        <v>2021</v>
      </c>
      <c r="N368" s="4">
        <v>1</v>
      </c>
      <c r="O368" s="4">
        <v>1</v>
      </c>
    </row>
    <row r="369" spans="1:15">
      <c r="A369" s="4" t="s">
        <v>463</v>
      </c>
      <c r="B369" s="4" t="s">
        <v>1184</v>
      </c>
      <c r="C369" s="9" t="s">
        <v>1357</v>
      </c>
      <c r="F369" s="13">
        <v>0</v>
      </c>
      <c r="I369" s="4"/>
      <c r="J369" s="4"/>
      <c r="K369" s="4"/>
      <c r="L369" s="4"/>
      <c r="M369" s="4"/>
      <c r="N369" s="4"/>
      <c r="O369" s="4"/>
    </row>
    <row r="370" spans="1:15">
      <c r="A370" s="4" t="s">
        <v>463</v>
      </c>
      <c r="B370" s="4" t="s">
        <v>466</v>
      </c>
      <c r="C370" s="9" t="s">
        <v>467</v>
      </c>
      <c r="D370" s="13">
        <v>1</v>
      </c>
      <c r="E370" s="13" t="s">
        <v>399</v>
      </c>
      <c r="F370" s="13">
        <v>1</v>
      </c>
      <c r="G370" s="21">
        <v>0</v>
      </c>
      <c r="I370" s="4">
        <v>4</v>
      </c>
      <c r="J370" s="4">
        <v>8</v>
      </c>
      <c r="K370" s="4" t="s">
        <v>451</v>
      </c>
      <c r="L370" s="4" t="s">
        <v>13</v>
      </c>
      <c r="M370" s="4">
        <v>2021</v>
      </c>
      <c r="N370" s="4">
        <v>1</v>
      </c>
      <c r="O370" s="4">
        <v>1</v>
      </c>
    </row>
    <row r="371" spans="1:15">
      <c r="A371" s="4" t="s">
        <v>463</v>
      </c>
      <c r="B371" s="4" t="s">
        <v>1185</v>
      </c>
      <c r="C371" s="9" t="s">
        <v>1358</v>
      </c>
      <c r="F371" s="13">
        <v>0</v>
      </c>
      <c r="I371" s="4"/>
      <c r="J371" s="4"/>
      <c r="K371" s="4"/>
      <c r="L371" s="4"/>
      <c r="M371" s="4"/>
      <c r="N371" s="4"/>
      <c r="O371" s="4"/>
    </row>
    <row r="372" spans="1:15">
      <c r="A372" s="4" t="s">
        <v>463</v>
      </c>
      <c r="B372" s="4" t="s">
        <v>468</v>
      </c>
      <c r="C372" s="9" t="s">
        <v>469</v>
      </c>
      <c r="D372" s="13">
        <v>0</v>
      </c>
      <c r="F372" s="13">
        <v>1</v>
      </c>
      <c r="G372" s="21">
        <v>0</v>
      </c>
      <c r="I372" s="4">
        <v>6</v>
      </c>
      <c r="J372" s="4">
        <v>8</v>
      </c>
      <c r="K372" s="4" t="s">
        <v>451</v>
      </c>
      <c r="L372" s="4" t="s">
        <v>13</v>
      </c>
      <c r="M372" s="4">
        <v>2021</v>
      </c>
      <c r="N372" s="4">
        <v>1</v>
      </c>
      <c r="O372" s="4">
        <v>1</v>
      </c>
    </row>
    <row r="373" spans="1:15">
      <c r="A373" s="4" t="s">
        <v>463</v>
      </c>
      <c r="B373" s="4" t="s">
        <v>470</v>
      </c>
      <c r="C373" s="9" t="s">
        <v>471</v>
      </c>
      <c r="D373" s="13">
        <v>1</v>
      </c>
      <c r="E373" s="13" t="s">
        <v>397</v>
      </c>
      <c r="F373" s="13">
        <v>1</v>
      </c>
      <c r="G373" s="21">
        <v>0</v>
      </c>
      <c r="I373" s="4">
        <v>7</v>
      </c>
      <c r="J373" s="4">
        <v>8</v>
      </c>
      <c r="K373" s="4" t="s">
        <v>451</v>
      </c>
      <c r="L373" s="4" t="s">
        <v>13</v>
      </c>
      <c r="M373" s="4">
        <v>2021</v>
      </c>
      <c r="N373" s="4">
        <v>1</v>
      </c>
      <c r="O373" s="4">
        <v>1</v>
      </c>
    </row>
    <row r="374" spans="1:15">
      <c r="A374" s="4" t="s">
        <v>463</v>
      </c>
      <c r="B374" s="4" t="s">
        <v>1340</v>
      </c>
      <c r="C374" s="9" t="s">
        <v>1359</v>
      </c>
      <c r="F374" s="13">
        <v>0</v>
      </c>
      <c r="I374" s="4"/>
      <c r="J374" s="4"/>
      <c r="K374" s="4"/>
      <c r="L374" s="4"/>
      <c r="M374" s="4"/>
      <c r="N374" s="4"/>
      <c r="O374" s="4"/>
    </row>
    <row r="375" spans="1:15">
      <c r="A375" s="4" t="s">
        <v>478</v>
      </c>
      <c r="B375" s="4" t="s">
        <v>479</v>
      </c>
      <c r="C375" t="s">
        <v>480</v>
      </c>
      <c r="F375" s="13">
        <v>1</v>
      </c>
      <c r="G375" s="21">
        <v>0</v>
      </c>
      <c r="I375" s="4">
        <v>1</v>
      </c>
      <c r="J375" s="4">
        <v>8</v>
      </c>
      <c r="K375" s="4" t="s">
        <v>451</v>
      </c>
      <c r="L375" s="4" t="s">
        <v>13</v>
      </c>
      <c r="M375" s="4">
        <v>2022</v>
      </c>
      <c r="N375" s="4">
        <v>1</v>
      </c>
      <c r="O375" s="4">
        <v>1</v>
      </c>
    </row>
    <row r="376" spans="1:15">
      <c r="A376" s="4" t="s">
        <v>478</v>
      </c>
      <c r="B376" s="4" t="s">
        <v>481</v>
      </c>
      <c r="C376" s="9" t="s">
        <v>482</v>
      </c>
      <c r="F376" s="13">
        <v>1</v>
      </c>
      <c r="G376" s="21">
        <v>1</v>
      </c>
      <c r="I376" s="4">
        <v>2</v>
      </c>
      <c r="J376" s="4">
        <v>8</v>
      </c>
      <c r="K376" s="4" t="s">
        <v>451</v>
      </c>
      <c r="L376" s="4" t="s">
        <v>13</v>
      </c>
      <c r="M376" s="4">
        <v>2022</v>
      </c>
      <c r="N376" s="4">
        <v>1</v>
      </c>
      <c r="O376" s="4">
        <v>1</v>
      </c>
    </row>
    <row r="377" spans="1:15">
      <c r="A377" s="4" t="s">
        <v>478</v>
      </c>
      <c r="B377" s="4" t="s">
        <v>1186</v>
      </c>
      <c r="C377" s="9" t="s">
        <v>1360</v>
      </c>
      <c r="F377" s="13">
        <v>0</v>
      </c>
      <c r="I377" s="4"/>
      <c r="J377" s="4"/>
      <c r="K377" s="4"/>
      <c r="L377" s="4"/>
      <c r="M377" s="4"/>
      <c r="N377" s="4"/>
      <c r="O377" s="4"/>
    </row>
    <row r="378" spans="1:15">
      <c r="A378" s="4" t="s">
        <v>478</v>
      </c>
      <c r="B378" s="4" t="s">
        <v>1187</v>
      </c>
      <c r="C378" s="9" t="s">
        <v>1361</v>
      </c>
      <c r="F378" s="13">
        <v>0</v>
      </c>
      <c r="I378" s="4"/>
      <c r="J378" s="4"/>
      <c r="K378" s="4"/>
      <c r="L378" s="4"/>
      <c r="M378" s="4"/>
      <c r="N378" s="4"/>
      <c r="O378" s="4"/>
    </row>
    <row r="379" spans="1:15">
      <c r="A379" s="4" t="s">
        <v>478</v>
      </c>
      <c r="B379" s="4" t="s">
        <v>485</v>
      </c>
      <c r="C379" s="9" t="s">
        <v>483</v>
      </c>
      <c r="F379" s="13">
        <v>1</v>
      </c>
      <c r="G379" s="21">
        <v>0</v>
      </c>
      <c r="I379" s="4">
        <v>5</v>
      </c>
      <c r="J379" s="4">
        <v>8</v>
      </c>
      <c r="K379" s="4" t="s">
        <v>451</v>
      </c>
      <c r="L379" s="4" t="s">
        <v>13</v>
      </c>
      <c r="M379" s="4">
        <v>2022</v>
      </c>
      <c r="N379" s="4">
        <v>1</v>
      </c>
      <c r="O379" s="4">
        <v>1</v>
      </c>
    </row>
    <row r="380" spans="1:15">
      <c r="A380" s="4" t="s">
        <v>478</v>
      </c>
      <c r="B380" s="4" t="s">
        <v>1188</v>
      </c>
      <c r="C380" t="s">
        <v>1362</v>
      </c>
      <c r="F380" s="13">
        <v>0</v>
      </c>
      <c r="I380" s="4"/>
      <c r="J380" s="4"/>
      <c r="K380" s="4"/>
      <c r="L380" s="4"/>
      <c r="M380" s="4"/>
      <c r="N380" s="4"/>
      <c r="O380" s="4"/>
    </row>
    <row r="381" spans="1:15">
      <c r="A381" s="4" t="s">
        <v>478</v>
      </c>
      <c r="B381" s="4" t="s">
        <v>486</v>
      </c>
      <c r="C381" s="9" t="s">
        <v>484</v>
      </c>
      <c r="F381" s="13">
        <v>1</v>
      </c>
      <c r="G381" s="21">
        <v>0</v>
      </c>
      <c r="I381" s="4">
        <v>7</v>
      </c>
      <c r="J381" s="4">
        <v>8</v>
      </c>
      <c r="K381" s="4" t="s">
        <v>451</v>
      </c>
      <c r="L381" s="4" t="s">
        <v>13</v>
      </c>
      <c r="M381" s="4">
        <v>2022</v>
      </c>
      <c r="N381" s="4">
        <v>1</v>
      </c>
      <c r="O381" s="4">
        <v>1</v>
      </c>
    </row>
    <row r="382" spans="1:15">
      <c r="A382" s="4" t="s">
        <v>478</v>
      </c>
      <c r="B382" s="4" t="s">
        <v>1341</v>
      </c>
      <c r="C382" s="9" t="s">
        <v>1363</v>
      </c>
      <c r="F382" s="13">
        <v>0</v>
      </c>
      <c r="I382" s="4"/>
      <c r="J382" s="4"/>
      <c r="K382" s="4"/>
      <c r="L382" s="4"/>
      <c r="M382" s="4"/>
      <c r="N382" s="4"/>
      <c r="O382" s="4"/>
    </row>
    <row r="383" spans="1:15">
      <c r="A383" s="4" t="s">
        <v>487</v>
      </c>
      <c r="B383" s="4" t="s">
        <v>1189</v>
      </c>
      <c r="C383" s="9" t="s">
        <v>1364</v>
      </c>
      <c r="F383" s="13">
        <v>0</v>
      </c>
      <c r="I383" s="4"/>
      <c r="J383" s="4"/>
      <c r="K383" s="4"/>
      <c r="L383" s="4"/>
      <c r="M383" s="4"/>
      <c r="N383" s="4"/>
      <c r="O383" s="4"/>
    </row>
    <row r="384" spans="1:15">
      <c r="A384" s="4" t="s">
        <v>487</v>
      </c>
      <c r="B384" s="4" t="s">
        <v>1190</v>
      </c>
      <c r="C384" s="9" t="s">
        <v>1365</v>
      </c>
      <c r="F384" s="13">
        <v>0</v>
      </c>
      <c r="I384" s="4"/>
      <c r="J384" s="4"/>
      <c r="K384" s="4"/>
      <c r="L384" s="4"/>
      <c r="M384" s="4"/>
      <c r="N384" s="4"/>
      <c r="O384" s="4"/>
    </row>
    <row r="385" spans="1:15">
      <c r="A385" s="4" t="s">
        <v>487</v>
      </c>
      <c r="B385" s="4" t="s">
        <v>492</v>
      </c>
      <c r="C385" s="9" t="s">
        <v>488</v>
      </c>
      <c r="F385" s="13">
        <v>1</v>
      </c>
      <c r="G385" s="21">
        <v>0</v>
      </c>
      <c r="I385" s="4">
        <v>3</v>
      </c>
      <c r="J385" s="4">
        <v>10</v>
      </c>
      <c r="K385" s="4" t="s">
        <v>451</v>
      </c>
      <c r="L385" s="4" t="s">
        <v>13</v>
      </c>
      <c r="M385" s="4">
        <v>2023</v>
      </c>
      <c r="N385" s="4">
        <v>1</v>
      </c>
      <c r="O385" s="4">
        <v>1</v>
      </c>
    </row>
    <row r="386" spans="1:15">
      <c r="A386" s="4" t="s">
        <v>487</v>
      </c>
      <c r="B386" s="4" t="s">
        <v>493</v>
      </c>
      <c r="C386" s="9" t="s">
        <v>489</v>
      </c>
      <c r="F386" s="13">
        <v>1</v>
      </c>
      <c r="G386" s="21">
        <v>0</v>
      </c>
      <c r="I386" s="4">
        <v>4</v>
      </c>
      <c r="J386" s="4">
        <v>10</v>
      </c>
      <c r="K386" s="4" t="s">
        <v>451</v>
      </c>
      <c r="L386" s="4" t="s">
        <v>13</v>
      </c>
      <c r="M386" s="4">
        <v>2023</v>
      </c>
      <c r="N386" s="4">
        <v>1</v>
      </c>
      <c r="O386" s="4">
        <v>1</v>
      </c>
    </row>
    <row r="387" spans="1:15">
      <c r="A387" s="4" t="s">
        <v>487</v>
      </c>
      <c r="B387" s="4" t="s">
        <v>494</v>
      </c>
      <c r="C387" s="9" t="s">
        <v>490</v>
      </c>
      <c r="F387" s="13">
        <v>1</v>
      </c>
      <c r="G387" s="21">
        <v>1</v>
      </c>
      <c r="I387" s="4">
        <v>5</v>
      </c>
      <c r="J387" s="4">
        <v>10</v>
      </c>
      <c r="K387" s="4" t="s">
        <v>451</v>
      </c>
      <c r="L387" s="4" t="s">
        <v>13</v>
      </c>
      <c r="M387" s="4">
        <v>2023</v>
      </c>
      <c r="N387" s="4">
        <v>1</v>
      </c>
      <c r="O387" s="4">
        <v>1</v>
      </c>
    </row>
    <row r="388" spans="1:15">
      <c r="A388" s="4" t="s">
        <v>487</v>
      </c>
      <c r="B388" s="4" t="s">
        <v>1191</v>
      </c>
      <c r="C388" s="9" t="s">
        <v>1366</v>
      </c>
      <c r="F388" s="13">
        <v>0</v>
      </c>
      <c r="I388" s="4"/>
      <c r="J388" s="4"/>
      <c r="K388" s="4"/>
      <c r="L388" s="4"/>
      <c r="M388" s="4"/>
      <c r="N388" s="4"/>
      <c r="O388" s="4"/>
    </row>
    <row r="389" spans="1:15">
      <c r="A389" s="4" t="s">
        <v>487</v>
      </c>
      <c r="B389" s="4" t="s">
        <v>1192</v>
      </c>
      <c r="C389" t="s">
        <v>1367</v>
      </c>
      <c r="F389" s="13">
        <v>0</v>
      </c>
      <c r="I389" s="4"/>
      <c r="J389" s="4"/>
      <c r="K389" s="4"/>
      <c r="L389" s="4"/>
      <c r="M389" s="4"/>
      <c r="N389" s="4"/>
      <c r="O389" s="4"/>
    </row>
    <row r="390" spans="1:15">
      <c r="A390" s="4" t="s">
        <v>487</v>
      </c>
      <c r="B390" s="4" t="s">
        <v>1193</v>
      </c>
      <c r="C390" s="9" t="s">
        <v>1368</v>
      </c>
      <c r="F390" s="13">
        <v>0</v>
      </c>
      <c r="I390" s="4"/>
      <c r="J390" s="4"/>
      <c r="K390" s="4"/>
      <c r="L390" s="4"/>
      <c r="M390" s="4"/>
      <c r="N390" s="4"/>
      <c r="O390" s="4"/>
    </row>
    <row r="391" spans="1:15">
      <c r="A391" s="4" t="s">
        <v>487</v>
      </c>
      <c r="B391" s="4" t="s">
        <v>1194</v>
      </c>
      <c r="C391" s="9" t="s">
        <v>1369</v>
      </c>
      <c r="F391" s="13">
        <v>0</v>
      </c>
      <c r="I391" s="4"/>
      <c r="J391" s="4"/>
      <c r="K391" s="4"/>
      <c r="L391" s="4"/>
      <c r="M391" s="4"/>
      <c r="N391" s="4"/>
      <c r="O391" s="4"/>
    </row>
    <row r="392" spans="1:15">
      <c r="A392" s="4" t="s">
        <v>487</v>
      </c>
      <c r="B392" s="4" t="s">
        <v>495</v>
      </c>
      <c r="C392" s="9" t="s">
        <v>491</v>
      </c>
      <c r="F392" s="13">
        <v>1</v>
      </c>
      <c r="G392" s="21">
        <v>0</v>
      </c>
      <c r="I392" s="4">
        <v>10</v>
      </c>
      <c r="J392" s="4">
        <v>10</v>
      </c>
      <c r="K392" s="4" t="s">
        <v>451</v>
      </c>
      <c r="L392" s="4" t="s">
        <v>13</v>
      </c>
      <c r="M392" s="4">
        <v>2023</v>
      </c>
      <c r="N392" s="4">
        <v>1</v>
      </c>
      <c r="O392" s="4">
        <v>1</v>
      </c>
    </row>
    <row r="393" spans="1:15">
      <c r="A393" s="4" t="s">
        <v>496</v>
      </c>
      <c r="B393" s="4" t="s">
        <v>1195</v>
      </c>
      <c r="C393" s="9" t="s">
        <v>1370</v>
      </c>
      <c r="F393" s="13">
        <v>0</v>
      </c>
      <c r="I393" s="4"/>
      <c r="J393" s="4"/>
      <c r="K393" s="4"/>
      <c r="L393" s="4"/>
      <c r="M393" s="4"/>
      <c r="N393" s="4"/>
      <c r="O393" s="4"/>
    </row>
    <row r="394" spans="1:15">
      <c r="A394" s="4" t="s">
        <v>496</v>
      </c>
      <c r="B394" s="4" t="s">
        <v>506</v>
      </c>
      <c r="C394" s="9" t="s">
        <v>497</v>
      </c>
      <c r="F394" s="13">
        <v>1</v>
      </c>
      <c r="G394" s="21">
        <v>1</v>
      </c>
      <c r="I394" s="4">
        <v>2</v>
      </c>
      <c r="J394" s="4">
        <v>11</v>
      </c>
      <c r="K394" s="4" t="s">
        <v>451</v>
      </c>
      <c r="L394" s="4" t="s">
        <v>13</v>
      </c>
      <c r="M394" s="4">
        <v>2024</v>
      </c>
      <c r="N394" s="4">
        <v>1</v>
      </c>
      <c r="O394" s="4">
        <v>1</v>
      </c>
    </row>
    <row r="395" spans="1:15">
      <c r="A395" s="4" t="s">
        <v>496</v>
      </c>
      <c r="B395" s="4" t="s">
        <v>507</v>
      </c>
      <c r="C395" s="9" t="s">
        <v>498</v>
      </c>
      <c r="F395" s="13">
        <v>1</v>
      </c>
      <c r="G395" s="21">
        <v>1</v>
      </c>
      <c r="I395" s="4">
        <v>3</v>
      </c>
      <c r="J395" s="4">
        <v>11</v>
      </c>
      <c r="K395" s="4" t="s">
        <v>451</v>
      </c>
      <c r="L395" s="4" t="s">
        <v>13</v>
      </c>
      <c r="M395" s="4">
        <v>2024</v>
      </c>
      <c r="N395" s="4">
        <v>1</v>
      </c>
      <c r="O395" s="4">
        <v>1</v>
      </c>
    </row>
    <row r="396" spans="1:15">
      <c r="A396" s="4" t="s">
        <v>496</v>
      </c>
      <c r="B396" s="4" t="s">
        <v>508</v>
      </c>
      <c r="C396" s="9" t="s">
        <v>499</v>
      </c>
      <c r="F396" s="13">
        <v>1</v>
      </c>
      <c r="G396" s="21">
        <v>0</v>
      </c>
      <c r="I396" s="4">
        <v>4</v>
      </c>
      <c r="J396" s="4">
        <v>11</v>
      </c>
      <c r="K396" s="4" t="s">
        <v>451</v>
      </c>
      <c r="L396" s="4" t="s">
        <v>13</v>
      </c>
      <c r="M396" s="4">
        <v>2024</v>
      </c>
      <c r="N396" s="4">
        <v>1</v>
      </c>
      <c r="O396" s="4">
        <v>1</v>
      </c>
    </row>
    <row r="397" spans="1:15">
      <c r="A397" s="4" t="s">
        <v>496</v>
      </c>
      <c r="B397" s="4" t="s">
        <v>509</v>
      </c>
      <c r="C397" s="9" t="s">
        <v>500</v>
      </c>
      <c r="F397" s="13">
        <v>1</v>
      </c>
      <c r="G397" s="21">
        <v>0</v>
      </c>
      <c r="I397" s="4">
        <v>5</v>
      </c>
      <c r="J397" s="4">
        <v>11</v>
      </c>
      <c r="K397" s="4" t="s">
        <v>451</v>
      </c>
      <c r="L397" s="4" t="s">
        <v>13</v>
      </c>
      <c r="M397" s="4">
        <v>2024</v>
      </c>
      <c r="N397" s="4">
        <v>1</v>
      </c>
      <c r="O397" s="4">
        <v>1</v>
      </c>
    </row>
    <row r="398" spans="1:15">
      <c r="A398" s="4" t="s">
        <v>496</v>
      </c>
      <c r="B398" s="4" t="s">
        <v>510</v>
      </c>
      <c r="C398" s="9" t="s">
        <v>501</v>
      </c>
      <c r="F398" s="13">
        <v>1</v>
      </c>
      <c r="G398" s="21">
        <v>1</v>
      </c>
      <c r="I398" s="4">
        <v>6</v>
      </c>
      <c r="J398" s="4">
        <v>11</v>
      </c>
      <c r="K398" s="4" t="s">
        <v>451</v>
      </c>
      <c r="L398" s="4" t="s">
        <v>13</v>
      </c>
      <c r="M398" s="4">
        <v>2024</v>
      </c>
      <c r="N398" s="4">
        <v>1</v>
      </c>
      <c r="O398" s="4">
        <v>1</v>
      </c>
    </row>
    <row r="399" spans="1:15">
      <c r="A399" s="4" t="s">
        <v>496</v>
      </c>
      <c r="B399" s="4" t="s">
        <v>511</v>
      </c>
      <c r="C399" s="9" t="s">
        <v>502</v>
      </c>
      <c r="F399" s="13">
        <v>1</v>
      </c>
      <c r="G399" s="21">
        <v>1</v>
      </c>
      <c r="I399" s="4">
        <v>7</v>
      </c>
      <c r="J399" s="4">
        <v>11</v>
      </c>
      <c r="K399" s="4" t="s">
        <v>451</v>
      </c>
      <c r="L399" s="4" t="s">
        <v>13</v>
      </c>
      <c r="M399" s="4">
        <v>2024</v>
      </c>
      <c r="N399" s="4">
        <v>1</v>
      </c>
      <c r="O399" s="4">
        <v>1</v>
      </c>
    </row>
    <row r="400" spans="1:15">
      <c r="A400" s="4" t="s">
        <v>496</v>
      </c>
      <c r="B400" s="4" t="s">
        <v>1196</v>
      </c>
      <c r="C400" s="9" t="s">
        <v>1371</v>
      </c>
      <c r="F400" s="13">
        <v>0</v>
      </c>
      <c r="I400" s="4"/>
      <c r="J400" s="4"/>
      <c r="K400" s="4"/>
      <c r="L400" s="4"/>
      <c r="M400" s="4"/>
      <c r="N400" s="4"/>
      <c r="O400" s="4"/>
    </row>
    <row r="401" spans="1:15">
      <c r="A401" s="4" t="s">
        <v>496</v>
      </c>
      <c r="B401" s="4" t="s">
        <v>512</v>
      </c>
      <c r="C401" s="9" t="s">
        <v>503</v>
      </c>
      <c r="F401" s="13">
        <v>1</v>
      </c>
      <c r="G401" s="21">
        <v>1</v>
      </c>
      <c r="I401" s="4">
        <v>9</v>
      </c>
      <c r="J401" s="4">
        <v>11</v>
      </c>
      <c r="K401" s="4" t="s">
        <v>451</v>
      </c>
      <c r="L401" s="4" t="s">
        <v>13</v>
      </c>
      <c r="M401" s="4">
        <v>2024</v>
      </c>
      <c r="N401" s="4">
        <v>1</v>
      </c>
      <c r="O401" s="4">
        <v>1</v>
      </c>
    </row>
    <row r="402" spans="1:15">
      <c r="A402" s="4" t="s">
        <v>496</v>
      </c>
      <c r="B402" s="4" t="s">
        <v>513</v>
      </c>
      <c r="C402" s="9" t="s">
        <v>504</v>
      </c>
      <c r="F402" s="13">
        <v>1</v>
      </c>
      <c r="G402" s="21">
        <v>1</v>
      </c>
      <c r="I402" s="4">
        <v>10</v>
      </c>
      <c r="J402" s="4">
        <v>11</v>
      </c>
      <c r="K402" s="4" t="s">
        <v>451</v>
      </c>
      <c r="L402" s="4" t="s">
        <v>13</v>
      </c>
      <c r="M402" s="4">
        <v>2024</v>
      </c>
      <c r="N402" s="4">
        <v>1</v>
      </c>
      <c r="O402" s="4">
        <v>1</v>
      </c>
    </row>
    <row r="403" spans="1:15">
      <c r="A403" s="4" t="s">
        <v>496</v>
      </c>
      <c r="B403" s="4" t="s">
        <v>514</v>
      </c>
      <c r="C403" s="9" t="s">
        <v>505</v>
      </c>
      <c r="F403" s="13">
        <v>1</v>
      </c>
      <c r="G403" s="21">
        <v>0</v>
      </c>
      <c r="I403" s="4">
        <v>11</v>
      </c>
      <c r="J403" s="4">
        <v>11</v>
      </c>
      <c r="K403" s="4" t="s">
        <v>451</v>
      </c>
      <c r="L403" s="4" t="s">
        <v>13</v>
      </c>
      <c r="M403" s="4">
        <v>2024</v>
      </c>
      <c r="N403" s="4">
        <v>1</v>
      </c>
      <c r="O403" s="4">
        <v>1</v>
      </c>
    </row>
    <row r="404" spans="1:15">
      <c r="A404" s="4" t="s">
        <v>516</v>
      </c>
      <c r="B404" s="4" t="s">
        <v>515</v>
      </c>
      <c r="C404" s="9" t="s">
        <v>517</v>
      </c>
      <c r="F404" s="13">
        <v>1</v>
      </c>
      <c r="G404" s="21">
        <v>1</v>
      </c>
      <c r="I404" s="4">
        <v>1</v>
      </c>
      <c r="J404" s="4">
        <v>10</v>
      </c>
      <c r="K404" s="4" t="s">
        <v>451</v>
      </c>
      <c r="L404" s="4" t="s">
        <v>13</v>
      </c>
      <c r="M404" s="4">
        <v>2025</v>
      </c>
      <c r="N404" s="4">
        <v>1</v>
      </c>
      <c r="O404" s="4">
        <v>1</v>
      </c>
    </row>
    <row r="405" spans="1:15">
      <c r="A405" s="4" t="s">
        <v>516</v>
      </c>
      <c r="B405" s="4" t="s">
        <v>518</v>
      </c>
      <c r="C405" s="9" t="s">
        <v>519</v>
      </c>
      <c r="F405" s="13">
        <v>1</v>
      </c>
      <c r="G405" s="21">
        <v>1</v>
      </c>
      <c r="I405" s="4">
        <v>2</v>
      </c>
      <c r="J405" s="4">
        <v>10</v>
      </c>
      <c r="K405" s="4" t="s">
        <v>451</v>
      </c>
      <c r="L405" s="4" t="s">
        <v>13</v>
      </c>
      <c r="M405" s="4">
        <v>2025</v>
      </c>
      <c r="N405" s="4">
        <v>1</v>
      </c>
      <c r="O405" s="4">
        <v>1</v>
      </c>
    </row>
    <row r="406" spans="1:15">
      <c r="A406" s="4" t="s">
        <v>516</v>
      </c>
      <c r="B406" s="4" t="s">
        <v>525</v>
      </c>
      <c r="C406" s="9" t="s">
        <v>520</v>
      </c>
      <c r="F406" s="13">
        <v>1</v>
      </c>
      <c r="G406" s="21">
        <v>1</v>
      </c>
      <c r="I406" s="4">
        <v>3</v>
      </c>
      <c r="J406" s="4">
        <v>10</v>
      </c>
      <c r="K406" s="4" t="s">
        <v>451</v>
      </c>
      <c r="L406" s="4" t="s">
        <v>13</v>
      </c>
      <c r="M406" s="4">
        <v>2025</v>
      </c>
      <c r="N406" s="4">
        <v>1</v>
      </c>
      <c r="O406" s="4">
        <v>1</v>
      </c>
    </row>
    <row r="407" spans="1:15">
      <c r="A407" s="4" t="s">
        <v>516</v>
      </c>
      <c r="B407" s="4" t="s">
        <v>526</v>
      </c>
      <c r="C407" s="9" t="s">
        <v>521</v>
      </c>
      <c r="F407" s="13">
        <v>1</v>
      </c>
      <c r="G407" s="21">
        <v>1</v>
      </c>
      <c r="I407" s="4">
        <v>4</v>
      </c>
      <c r="J407" s="4">
        <v>10</v>
      </c>
      <c r="K407" s="4" t="s">
        <v>451</v>
      </c>
      <c r="L407" s="4" t="s">
        <v>13</v>
      </c>
      <c r="M407" s="4">
        <v>2025</v>
      </c>
      <c r="N407" s="4">
        <v>1</v>
      </c>
      <c r="O407" s="4">
        <v>1</v>
      </c>
    </row>
    <row r="408" spans="1:15">
      <c r="A408" s="4" t="s">
        <v>516</v>
      </c>
      <c r="B408" s="4" t="s">
        <v>527</v>
      </c>
      <c r="C408" s="9" t="s">
        <v>522</v>
      </c>
      <c r="F408" s="13">
        <v>1</v>
      </c>
      <c r="G408" s="21">
        <v>0</v>
      </c>
      <c r="I408" s="4">
        <v>5</v>
      </c>
      <c r="J408" s="4">
        <v>10</v>
      </c>
      <c r="K408" s="4" t="s">
        <v>451</v>
      </c>
      <c r="L408" s="4" t="s">
        <v>13</v>
      </c>
      <c r="M408" s="4">
        <v>2025</v>
      </c>
      <c r="N408" s="4">
        <v>1</v>
      </c>
      <c r="O408" s="4">
        <v>1</v>
      </c>
    </row>
    <row r="409" spans="1:15">
      <c r="A409" s="4" t="s">
        <v>516</v>
      </c>
      <c r="B409" s="4" t="s">
        <v>528</v>
      </c>
      <c r="C409" s="9" t="s">
        <v>523</v>
      </c>
      <c r="F409" s="13">
        <v>1</v>
      </c>
      <c r="G409" s="21">
        <v>1</v>
      </c>
      <c r="I409" s="4">
        <v>6</v>
      </c>
      <c r="J409" s="4">
        <v>10</v>
      </c>
      <c r="K409" s="4" t="s">
        <v>451</v>
      </c>
      <c r="L409" s="4" t="s">
        <v>13</v>
      </c>
      <c r="M409" s="4">
        <v>2025</v>
      </c>
      <c r="N409" s="4">
        <v>1</v>
      </c>
      <c r="O409" s="4">
        <v>1</v>
      </c>
    </row>
    <row r="410" spans="1:15">
      <c r="A410" s="4" t="s">
        <v>516</v>
      </c>
      <c r="B410" s="4" t="s">
        <v>1197</v>
      </c>
      <c r="C410" s="9" t="s">
        <v>1372</v>
      </c>
      <c r="F410" s="13">
        <v>0</v>
      </c>
      <c r="I410" s="4"/>
      <c r="J410" s="4"/>
      <c r="K410" s="4"/>
      <c r="L410" s="4"/>
      <c r="M410" s="4"/>
      <c r="N410" s="4"/>
      <c r="O410" s="4"/>
    </row>
    <row r="411" spans="1:15">
      <c r="A411" s="4" t="s">
        <v>516</v>
      </c>
      <c r="B411" s="4" t="s">
        <v>1198</v>
      </c>
      <c r="C411" s="9" t="s">
        <v>1373</v>
      </c>
      <c r="F411" s="13">
        <v>0</v>
      </c>
      <c r="I411" s="4"/>
      <c r="J411" s="4"/>
      <c r="K411" s="4"/>
      <c r="L411" s="4"/>
      <c r="M411" s="4"/>
      <c r="N411" s="4"/>
      <c r="O411" s="4"/>
    </row>
    <row r="412" spans="1:15">
      <c r="A412" s="4" t="s">
        <v>516</v>
      </c>
      <c r="B412" s="4" t="s">
        <v>529</v>
      </c>
      <c r="C412" s="9" t="s">
        <v>524</v>
      </c>
      <c r="F412" s="13">
        <v>1</v>
      </c>
      <c r="G412" s="21">
        <v>1</v>
      </c>
      <c r="I412" s="4">
        <v>9</v>
      </c>
      <c r="J412" s="4">
        <v>10</v>
      </c>
      <c r="K412" s="4" t="s">
        <v>451</v>
      </c>
      <c r="L412" s="4" t="s">
        <v>13</v>
      </c>
      <c r="M412" s="4">
        <v>2025</v>
      </c>
      <c r="N412" s="4">
        <v>1</v>
      </c>
      <c r="O412" s="4">
        <v>1</v>
      </c>
    </row>
    <row r="413" spans="1:15">
      <c r="A413" s="4" t="s">
        <v>516</v>
      </c>
      <c r="B413" s="4" t="s">
        <v>1199</v>
      </c>
      <c r="C413" s="9" t="s">
        <v>1374</v>
      </c>
      <c r="F413" s="13">
        <v>0</v>
      </c>
      <c r="I413" s="4"/>
      <c r="J413" s="4"/>
      <c r="K413" s="4"/>
      <c r="L413" s="4"/>
      <c r="M413" s="4"/>
      <c r="N413" s="4"/>
      <c r="O413" s="4"/>
    </row>
    <row r="414" spans="1:15">
      <c r="A414" s="4" t="s">
        <v>531</v>
      </c>
      <c r="B414" s="4" t="s">
        <v>532</v>
      </c>
      <c r="C414" s="9" t="s">
        <v>533</v>
      </c>
      <c r="F414" s="13">
        <v>0</v>
      </c>
      <c r="I414" s="4"/>
      <c r="J414" s="4"/>
      <c r="K414" s="4"/>
      <c r="L414" s="4"/>
      <c r="M414" s="4"/>
      <c r="N414" s="4"/>
      <c r="O414" s="4"/>
    </row>
    <row r="415" spans="1:15">
      <c r="A415" s="4" t="s">
        <v>531</v>
      </c>
      <c r="B415" s="4" t="s">
        <v>534</v>
      </c>
      <c r="C415" s="9" t="s">
        <v>535</v>
      </c>
      <c r="F415" s="13">
        <v>1</v>
      </c>
      <c r="G415" s="21">
        <v>1</v>
      </c>
      <c r="I415" s="4">
        <v>2</v>
      </c>
      <c r="J415" s="4">
        <v>4</v>
      </c>
      <c r="K415" s="4" t="s">
        <v>540</v>
      </c>
      <c r="L415" s="4" t="s">
        <v>13</v>
      </c>
      <c r="M415" s="4">
        <v>2021</v>
      </c>
      <c r="N415" s="4">
        <v>1</v>
      </c>
      <c r="O415" s="4">
        <v>1</v>
      </c>
    </row>
    <row r="416" spans="1:15">
      <c r="A416" s="4" t="s">
        <v>531</v>
      </c>
      <c r="B416" s="4" t="s">
        <v>536</v>
      </c>
      <c r="C416" s="9" t="s">
        <v>537</v>
      </c>
      <c r="F416" s="13">
        <v>1</v>
      </c>
      <c r="G416" s="21">
        <v>0</v>
      </c>
      <c r="I416" s="4">
        <v>3</v>
      </c>
      <c r="J416" s="4">
        <v>4</v>
      </c>
      <c r="K416" s="4" t="s">
        <v>540</v>
      </c>
      <c r="L416" s="4" t="s">
        <v>13</v>
      </c>
      <c r="M416" s="4">
        <v>2021</v>
      </c>
      <c r="N416" s="4">
        <v>1</v>
      </c>
      <c r="O416" s="4">
        <v>1</v>
      </c>
    </row>
    <row r="417" spans="1:15">
      <c r="A417" s="4" t="s">
        <v>531</v>
      </c>
      <c r="B417" s="4" t="s">
        <v>538</v>
      </c>
      <c r="C417" s="9" t="s">
        <v>539</v>
      </c>
      <c r="F417" s="13">
        <v>1</v>
      </c>
      <c r="G417" s="21">
        <v>0</v>
      </c>
      <c r="I417" s="4">
        <v>4</v>
      </c>
      <c r="J417" s="4">
        <v>4</v>
      </c>
      <c r="K417" s="4" t="s">
        <v>540</v>
      </c>
      <c r="L417" s="4" t="s">
        <v>13</v>
      </c>
      <c r="M417" s="4">
        <v>2021</v>
      </c>
      <c r="N417" s="4">
        <v>1</v>
      </c>
      <c r="O417" s="4">
        <v>1</v>
      </c>
    </row>
    <row r="418" spans="1:15">
      <c r="A418" s="4" t="s">
        <v>541</v>
      </c>
      <c r="B418" s="4" t="s">
        <v>549</v>
      </c>
      <c r="C418" s="9" t="s">
        <v>542</v>
      </c>
      <c r="F418" s="13">
        <v>0</v>
      </c>
      <c r="I418" s="4"/>
      <c r="J418" s="4"/>
      <c r="K418" s="4"/>
      <c r="L418" s="4"/>
      <c r="M418" s="4"/>
      <c r="N418" s="4"/>
      <c r="O418" s="4"/>
    </row>
    <row r="419" spans="1:15">
      <c r="A419" s="4" t="s">
        <v>541</v>
      </c>
      <c r="B419" s="4" t="s">
        <v>550</v>
      </c>
      <c r="C419" t="s">
        <v>543</v>
      </c>
      <c r="F419" s="13">
        <v>0</v>
      </c>
      <c r="I419" s="4"/>
      <c r="J419" s="4"/>
      <c r="K419" s="4"/>
      <c r="L419" s="4"/>
      <c r="M419" s="4"/>
      <c r="N419" s="4"/>
      <c r="O419" s="4"/>
    </row>
    <row r="420" spans="1:15">
      <c r="A420" s="4" t="s">
        <v>541</v>
      </c>
      <c r="B420" s="4" t="s">
        <v>551</v>
      </c>
      <c r="C420" s="9" t="s">
        <v>544</v>
      </c>
      <c r="F420" s="13">
        <v>0</v>
      </c>
      <c r="I420" s="4"/>
      <c r="J420" s="4"/>
      <c r="K420" s="4"/>
      <c r="L420" s="4"/>
      <c r="M420" s="4"/>
      <c r="N420" s="4"/>
      <c r="O420" s="4"/>
    </row>
    <row r="421" spans="1:15">
      <c r="A421" s="4" t="s">
        <v>541</v>
      </c>
      <c r="B421" s="4" t="s">
        <v>552</v>
      </c>
      <c r="C421" s="9" t="s">
        <v>545</v>
      </c>
      <c r="F421" s="13">
        <v>0</v>
      </c>
      <c r="I421" s="4"/>
      <c r="J421" s="4"/>
      <c r="K421" s="4"/>
      <c r="L421" s="4"/>
      <c r="M421" s="4"/>
      <c r="N421" s="4"/>
      <c r="O421" s="4"/>
    </row>
    <row r="422" spans="1:15">
      <c r="A422" s="4" t="s">
        <v>541</v>
      </c>
      <c r="B422" s="4" t="s">
        <v>553</v>
      </c>
      <c r="C422" s="9" t="s">
        <v>546</v>
      </c>
      <c r="F422" s="13">
        <v>1</v>
      </c>
      <c r="G422" s="21">
        <v>0</v>
      </c>
      <c r="I422" s="4">
        <v>5</v>
      </c>
      <c r="J422" s="4">
        <v>7</v>
      </c>
      <c r="K422" s="4" t="s">
        <v>540</v>
      </c>
      <c r="L422" s="4" t="s">
        <v>13</v>
      </c>
      <c r="M422" s="4">
        <v>2022</v>
      </c>
      <c r="N422" s="4">
        <v>1</v>
      </c>
      <c r="O422" s="4">
        <v>1</v>
      </c>
    </row>
    <row r="423" spans="1:15">
      <c r="A423" s="4" t="s">
        <v>541</v>
      </c>
      <c r="B423" s="4" t="s">
        <v>554</v>
      </c>
      <c r="C423" t="s">
        <v>547</v>
      </c>
      <c r="F423" s="13">
        <v>0</v>
      </c>
      <c r="I423" s="4"/>
      <c r="J423" s="4"/>
      <c r="K423" s="4"/>
      <c r="L423" s="4"/>
      <c r="M423" s="4"/>
      <c r="N423" s="4"/>
      <c r="O423" s="4"/>
    </row>
    <row r="424" spans="1:15">
      <c r="A424" s="4" t="s">
        <v>541</v>
      </c>
      <c r="B424" s="4" t="s">
        <v>557</v>
      </c>
      <c r="C424" s="9" t="s">
        <v>548</v>
      </c>
      <c r="F424" s="13">
        <v>0</v>
      </c>
      <c r="I424" s="4"/>
      <c r="J424" s="4"/>
      <c r="K424" s="4"/>
      <c r="L424" s="4"/>
      <c r="M424" s="4"/>
      <c r="N424" s="4"/>
      <c r="O424" s="4"/>
    </row>
    <row r="425" spans="1:15">
      <c r="A425" s="4" t="s">
        <v>556</v>
      </c>
      <c r="B425" s="4" t="s">
        <v>555</v>
      </c>
      <c r="C425" s="9" t="s">
        <v>558</v>
      </c>
      <c r="F425" s="13">
        <v>0</v>
      </c>
      <c r="I425" s="4"/>
      <c r="J425" s="4"/>
      <c r="K425" s="4"/>
      <c r="L425" s="4"/>
      <c r="M425" s="4"/>
      <c r="N425" s="4"/>
      <c r="O425" s="4"/>
    </row>
    <row r="426" spans="1:15">
      <c r="A426" s="4" t="s">
        <v>556</v>
      </c>
      <c r="B426" s="4" t="s">
        <v>563</v>
      </c>
      <c r="C426" t="s">
        <v>559</v>
      </c>
      <c r="F426" s="13">
        <v>1</v>
      </c>
      <c r="G426" s="21">
        <v>1</v>
      </c>
      <c r="I426" s="4">
        <v>2</v>
      </c>
      <c r="J426" s="4">
        <v>5</v>
      </c>
      <c r="K426" s="4" t="s">
        <v>540</v>
      </c>
      <c r="L426" s="4" t="s">
        <v>13</v>
      </c>
      <c r="M426" s="4">
        <v>2023</v>
      </c>
      <c r="N426" s="4">
        <v>1</v>
      </c>
      <c r="O426" s="4">
        <v>1</v>
      </c>
    </row>
    <row r="427" spans="1:15">
      <c r="A427" s="4" t="s">
        <v>556</v>
      </c>
      <c r="B427" s="4" t="s">
        <v>564</v>
      </c>
      <c r="C427" s="9" t="s">
        <v>560</v>
      </c>
      <c r="F427" s="13">
        <v>1</v>
      </c>
      <c r="G427" s="21">
        <v>0</v>
      </c>
      <c r="I427" s="4">
        <v>3</v>
      </c>
      <c r="J427" s="4">
        <v>5</v>
      </c>
      <c r="K427" s="4" t="s">
        <v>540</v>
      </c>
      <c r="L427" s="4" t="s">
        <v>13</v>
      </c>
      <c r="M427" s="4">
        <v>2023</v>
      </c>
      <c r="N427" s="4">
        <v>1</v>
      </c>
      <c r="O427" s="4">
        <v>1</v>
      </c>
    </row>
    <row r="428" spans="1:15">
      <c r="A428" s="4" t="s">
        <v>556</v>
      </c>
      <c r="B428" s="4" t="s">
        <v>565</v>
      </c>
      <c r="C428" s="9" t="s">
        <v>561</v>
      </c>
      <c r="F428" s="13">
        <v>1</v>
      </c>
      <c r="G428" s="21">
        <v>0</v>
      </c>
      <c r="I428" s="4">
        <v>4</v>
      </c>
      <c r="J428" s="4">
        <v>5</v>
      </c>
      <c r="K428" s="4" t="s">
        <v>540</v>
      </c>
      <c r="L428" s="4" t="s">
        <v>13</v>
      </c>
      <c r="M428" s="4">
        <v>2023</v>
      </c>
      <c r="N428" s="4">
        <v>1</v>
      </c>
      <c r="O428" s="4">
        <v>1</v>
      </c>
    </row>
    <row r="429" spans="1:15">
      <c r="A429" s="4" t="s">
        <v>556</v>
      </c>
      <c r="B429" s="4" t="s">
        <v>566</v>
      </c>
      <c r="C429" s="9" t="s">
        <v>562</v>
      </c>
      <c r="F429" s="13">
        <v>0</v>
      </c>
      <c r="I429" s="4"/>
      <c r="J429" s="4"/>
      <c r="K429" s="4"/>
      <c r="L429" s="4"/>
      <c r="M429" s="4"/>
      <c r="N429" s="4"/>
      <c r="O429" s="4"/>
    </row>
    <row r="430" spans="1:15">
      <c r="A430" s="4" t="s">
        <v>568</v>
      </c>
      <c r="B430" s="4" t="s">
        <v>567</v>
      </c>
      <c r="C430" s="9" t="s">
        <v>569</v>
      </c>
      <c r="F430" s="13">
        <v>1</v>
      </c>
      <c r="G430" s="21">
        <v>1</v>
      </c>
      <c r="I430" s="4">
        <v>1</v>
      </c>
      <c r="J430" s="4">
        <v>5</v>
      </c>
      <c r="K430" s="4" t="s">
        <v>540</v>
      </c>
      <c r="L430" s="4" t="s">
        <v>13</v>
      </c>
      <c r="M430" s="4">
        <v>2024</v>
      </c>
      <c r="N430" s="4">
        <v>1</v>
      </c>
      <c r="O430" s="4">
        <v>1</v>
      </c>
    </row>
    <row r="431" spans="1:15">
      <c r="A431" s="4" t="s">
        <v>568</v>
      </c>
      <c r="B431" s="4" t="s">
        <v>570</v>
      </c>
      <c r="C431" s="9" t="s">
        <v>571</v>
      </c>
      <c r="F431" s="13">
        <v>1</v>
      </c>
      <c r="G431" s="21">
        <v>1</v>
      </c>
      <c r="I431" s="4">
        <v>2</v>
      </c>
      <c r="J431" s="4">
        <v>5</v>
      </c>
      <c r="K431" s="4" t="s">
        <v>540</v>
      </c>
      <c r="L431" s="4" t="s">
        <v>13</v>
      </c>
      <c r="M431" s="4">
        <v>2024</v>
      </c>
      <c r="N431" s="4">
        <v>1</v>
      </c>
      <c r="O431" s="4">
        <v>1</v>
      </c>
    </row>
    <row r="432" spans="1:15">
      <c r="A432" s="4" t="s">
        <v>568</v>
      </c>
      <c r="B432" s="4" t="s">
        <v>575</v>
      </c>
      <c r="C432" s="9" t="s">
        <v>572</v>
      </c>
      <c r="F432" s="13">
        <v>1</v>
      </c>
      <c r="G432" s="21">
        <v>1</v>
      </c>
      <c r="I432" s="4">
        <v>3</v>
      </c>
      <c r="J432" s="4">
        <v>5</v>
      </c>
      <c r="K432" s="4" t="s">
        <v>540</v>
      </c>
      <c r="L432" s="4" t="s">
        <v>13</v>
      </c>
      <c r="M432" s="4">
        <v>2024</v>
      </c>
      <c r="N432" s="4">
        <v>1</v>
      </c>
      <c r="O432" s="4">
        <v>1</v>
      </c>
    </row>
    <row r="433" spans="1:15">
      <c r="A433" s="4" t="s">
        <v>568</v>
      </c>
      <c r="B433" s="4" t="s">
        <v>576</v>
      </c>
      <c r="C433" s="9" t="s">
        <v>573</v>
      </c>
      <c r="F433" s="13">
        <v>1</v>
      </c>
      <c r="G433" s="21">
        <v>0</v>
      </c>
      <c r="I433" s="4">
        <v>4</v>
      </c>
      <c r="J433" s="4">
        <v>5</v>
      </c>
      <c r="K433" s="4" t="s">
        <v>540</v>
      </c>
      <c r="L433" s="4" t="s">
        <v>13</v>
      </c>
      <c r="M433" s="4">
        <v>2024</v>
      </c>
      <c r="N433" s="4">
        <v>1</v>
      </c>
      <c r="O433" s="4">
        <v>1</v>
      </c>
    </row>
    <row r="434" spans="1:15">
      <c r="A434" s="4" t="s">
        <v>568</v>
      </c>
      <c r="B434" s="4" t="s">
        <v>577</v>
      </c>
      <c r="C434" s="9" t="s">
        <v>574</v>
      </c>
      <c r="F434" s="13">
        <v>1</v>
      </c>
      <c r="G434" s="21">
        <v>0</v>
      </c>
      <c r="I434" s="4">
        <v>5</v>
      </c>
      <c r="J434" s="4">
        <v>5</v>
      </c>
      <c r="K434" s="4" t="s">
        <v>540</v>
      </c>
      <c r="L434" s="4" t="s">
        <v>13</v>
      </c>
      <c r="M434" s="4">
        <v>2024</v>
      </c>
      <c r="N434" s="4">
        <v>1</v>
      </c>
      <c r="O434" s="4">
        <v>1</v>
      </c>
    </row>
    <row r="435" spans="1:15">
      <c r="A435" s="4" t="s">
        <v>579</v>
      </c>
      <c r="B435" s="4" t="s">
        <v>578</v>
      </c>
      <c r="C435" s="9" t="s">
        <v>580</v>
      </c>
      <c r="F435" s="13">
        <v>1</v>
      </c>
      <c r="G435" s="21">
        <v>1</v>
      </c>
      <c r="I435" s="4">
        <v>1</v>
      </c>
      <c r="J435" s="4">
        <v>8</v>
      </c>
      <c r="K435" s="4" t="s">
        <v>540</v>
      </c>
      <c r="L435" s="4" t="s">
        <v>13</v>
      </c>
      <c r="M435" s="4">
        <v>2025</v>
      </c>
      <c r="N435" s="4">
        <v>1</v>
      </c>
      <c r="O435" s="4">
        <v>1</v>
      </c>
    </row>
    <row r="436" spans="1:15">
      <c r="A436" s="4" t="s">
        <v>579</v>
      </c>
      <c r="B436" s="4" t="s">
        <v>581</v>
      </c>
      <c r="C436" s="9" t="s">
        <v>582</v>
      </c>
      <c r="F436" s="13">
        <v>1</v>
      </c>
      <c r="G436" s="21">
        <v>1</v>
      </c>
      <c r="I436" s="4">
        <v>2</v>
      </c>
      <c r="J436" s="4">
        <v>8</v>
      </c>
      <c r="K436" s="4" t="s">
        <v>540</v>
      </c>
      <c r="L436" s="4" t="s">
        <v>13</v>
      </c>
      <c r="M436" s="4">
        <v>2025</v>
      </c>
      <c r="N436" s="4">
        <v>1</v>
      </c>
      <c r="O436" s="4">
        <v>1</v>
      </c>
    </row>
    <row r="437" spans="1:15">
      <c r="A437" s="4" t="s">
        <v>579</v>
      </c>
      <c r="B437" s="4" t="s">
        <v>589</v>
      </c>
      <c r="C437" s="9" t="s">
        <v>583</v>
      </c>
      <c r="F437" s="13">
        <v>1</v>
      </c>
      <c r="G437" s="21">
        <v>1</v>
      </c>
      <c r="I437" s="4">
        <v>3</v>
      </c>
      <c r="J437" s="4">
        <v>8</v>
      </c>
      <c r="K437" s="4" t="s">
        <v>540</v>
      </c>
      <c r="L437" s="4" t="s">
        <v>13</v>
      </c>
      <c r="M437" s="4">
        <v>2025</v>
      </c>
      <c r="N437" s="4">
        <v>1</v>
      </c>
      <c r="O437" s="4">
        <v>1</v>
      </c>
    </row>
    <row r="438" spans="1:15">
      <c r="A438" s="4" t="s">
        <v>579</v>
      </c>
      <c r="B438" s="4" t="s">
        <v>590</v>
      </c>
      <c r="C438" s="9" t="s">
        <v>584</v>
      </c>
      <c r="F438" s="13">
        <v>1</v>
      </c>
      <c r="G438" s="21">
        <v>1</v>
      </c>
      <c r="I438" s="4">
        <v>4</v>
      </c>
      <c r="J438" s="4">
        <v>8</v>
      </c>
      <c r="K438" s="4" t="s">
        <v>540</v>
      </c>
      <c r="L438" s="4" t="s">
        <v>13</v>
      </c>
      <c r="M438" s="4">
        <v>2025</v>
      </c>
      <c r="N438" s="4">
        <v>1</v>
      </c>
      <c r="O438" s="4">
        <v>1</v>
      </c>
    </row>
    <row r="439" spans="1:15">
      <c r="A439" s="4" t="s">
        <v>579</v>
      </c>
      <c r="B439" s="4" t="s">
        <v>591</v>
      </c>
      <c r="C439" s="9" t="s">
        <v>585</v>
      </c>
      <c r="F439" s="13">
        <v>1</v>
      </c>
      <c r="G439" s="21">
        <v>1</v>
      </c>
      <c r="I439" s="4">
        <v>5</v>
      </c>
      <c r="J439" s="4">
        <v>8</v>
      </c>
      <c r="K439" s="4" t="s">
        <v>540</v>
      </c>
      <c r="L439" s="4" t="s">
        <v>13</v>
      </c>
      <c r="M439" s="4">
        <v>2025</v>
      </c>
      <c r="N439" s="4">
        <v>1</v>
      </c>
      <c r="O439" s="4">
        <v>1</v>
      </c>
    </row>
    <row r="440" spans="1:15">
      <c r="A440" s="4" t="s">
        <v>579</v>
      </c>
      <c r="B440" s="4" t="s">
        <v>592</v>
      </c>
      <c r="C440" s="9" t="s">
        <v>586</v>
      </c>
      <c r="F440" s="13">
        <v>1</v>
      </c>
      <c r="G440" s="21">
        <v>0</v>
      </c>
      <c r="I440" s="4">
        <v>6</v>
      </c>
      <c r="J440" s="4">
        <v>8</v>
      </c>
      <c r="K440" s="4" t="s">
        <v>540</v>
      </c>
      <c r="L440" s="4" t="s">
        <v>13</v>
      </c>
      <c r="M440" s="4">
        <v>2025</v>
      </c>
      <c r="N440" s="4">
        <v>1</v>
      </c>
      <c r="O440" s="4">
        <v>1</v>
      </c>
    </row>
    <row r="441" spans="1:15">
      <c r="A441" s="4" t="s">
        <v>579</v>
      </c>
      <c r="B441" s="4" t="s">
        <v>593</v>
      </c>
      <c r="C441" s="9" t="s">
        <v>587</v>
      </c>
      <c r="F441" s="13">
        <v>0</v>
      </c>
      <c r="I441" s="4"/>
      <c r="J441" s="4"/>
      <c r="K441" s="4"/>
      <c r="L441" s="4"/>
      <c r="M441" s="4"/>
      <c r="N441" s="4"/>
      <c r="O441" s="4"/>
    </row>
    <row r="442" spans="1:15">
      <c r="A442" s="4" t="s">
        <v>579</v>
      </c>
      <c r="B442" s="4" t="s">
        <v>594</v>
      </c>
      <c r="C442" s="9" t="s">
        <v>588</v>
      </c>
      <c r="F442" s="13">
        <v>0</v>
      </c>
      <c r="I442" s="4"/>
      <c r="J442" s="4"/>
      <c r="K442" s="4"/>
      <c r="L442" s="4"/>
      <c r="M442" s="4"/>
      <c r="N442" s="4"/>
      <c r="O442" s="4"/>
    </row>
    <row r="443" spans="1:15">
      <c r="A443" s="4" t="s">
        <v>595</v>
      </c>
      <c r="B443" s="4" t="s">
        <v>596</v>
      </c>
      <c r="C443" s="10" t="s">
        <v>597</v>
      </c>
      <c r="F443" s="13">
        <v>1</v>
      </c>
      <c r="G443" s="21">
        <v>1</v>
      </c>
      <c r="I443" s="4">
        <v>1</v>
      </c>
      <c r="J443" s="4">
        <v>10</v>
      </c>
      <c r="K443" s="4" t="s">
        <v>616</v>
      </c>
      <c r="L443" s="4" t="s">
        <v>13</v>
      </c>
      <c r="M443" s="4">
        <v>2025</v>
      </c>
      <c r="N443" s="4">
        <v>1</v>
      </c>
      <c r="O443" s="4">
        <v>1</v>
      </c>
    </row>
    <row r="444" spans="1:15">
      <c r="A444" s="4" t="s">
        <v>595</v>
      </c>
      <c r="B444" s="4" t="s">
        <v>598</v>
      </c>
      <c r="C444" s="9" t="s">
        <v>599</v>
      </c>
      <c r="F444" s="13">
        <v>1</v>
      </c>
      <c r="G444" s="21">
        <v>0</v>
      </c>
      <c r="I444" s="4">
        <v>2</v>
      </c>
      <c r="J444" s="4">
        <v>10</v>
      </c>
      <c r="K444" s="4" t="s">
        <v>616</v>
      </c>
      <c r="L444" s="4" t="s">
        <v>13</v>
      </c>
      <c r="M444" s="4">
        <v>2025</v>
      </c>
      <c r="N444" s="4">
        <v>1</v>
      </c>
      <c r="O444" s="4">
        <v>1</v>
      </c>
    </row>
    <row r="445" spans="1:15">
      <c r="A445" s="4" t="s">
        <v>595</v>
      </c>
      <c r="B445" s="4" t="s">
        <v>600</v>
      </c>
      <c r="C445" s="9" t="s">
        <v>601</v>
      </c>
      <c r="F445" s="13">
        <v>0</v>
      </c>
      <c r="I445" s="4"/>
      <c r="J445" s="4"/>
      <c r="K445" s="4"/>
      <c r="L445" s="4"/>
      <c r="M445" s="4"/>
      <c r="N445" s="4"/>
      <c r="O445" s="4"/>
    </row>
    <row r="446" spans="1:15">
      <c r="A446" s="4" t="s">
        <v>595</v>
      </c>
      <c r="B446" s="4" t="s">
        <v>602</v>
      </c>
      <c r="C446" s="9" t="s">
        <v>603</v>
      </c>
      <c r="F446" s="13">
        <v>1</v>
      </c>
      <c r="G446" s="21">
        <v>1</v>
      </c>
      <c r="I446" s="4">
        <v>4</v>
      </c>
      <c r="J446" s="4">
        <v>10</v>
      </c>
      <c r="K446" s="4" t="s">
        <v>616</v>
      </c>
      <c r="L446" s="4" t="s">
        <v>13</v>
      </c>
      <c r="M446" s="4">
        <v>2025</v>
      </c>
      <c r="N446" s="4">
        <v>1</v>
      </c>
      <c r="O446" s="4">
        <v>1</v>
      </c>
    </row>
    <row r="447" spans="1:15">
      <c r="A447" s="4" t="s">
        <v>595</v>
      </c>
      <c r="B447" s="4" t="s">
        <v>604</v>
      </c>
      <c r="C447" s="9" t="s">
        <v>605</v>
      </c>
      <c r="F447" s="13">
        <v>1</v>
      </c>
      <c r="G447" s="21">
        <v>1</v>
      </c>
      <c r="I447" s="4">
        <v>5</v>
      </c>
      <c r="J447" s="4">
        <v>10</v>
      </c>
      <c r="K447" s="4" t="s">
        <v>616</v>
      </c>
      <c r="L447" s="4" t="s">
        <v>13</v>
      </c>
      <c r="M447" s="4">
        <v>2025</v>
      </c>
      <c r="N447" s="4">
        <v>1</v>
      </c>
      <c r="O447" s="4">
        <v>1</v>
      </c>
    </row>
    <row r="448" spans="1:15">
      <c r="A448" s="4" t="s">
        <v>595</v>
      </c>
      <c r="B448" s="4" t="s">
        <v>606</v>
      </c>
      <c r="C448" s="9" t="s">
        <v>607</v>
      </c>
      <c r="F448" s="13">
        <v>0</v>
      </c>
      <c r="I448" s="4"/>
      <c r="J448" s="4"/>
      <c r="K448" s="4"/>
      <c r="L448" s="4"/>
      <c r="M448" s="4"/>
      <c r="N448" s="4"/>
      <c r="O448" s="4"/>
    </row>
    <row r="449" spans="1:15">
      <c r="A449" s="4" t="s">
        <v>595</v>
      </c>
      <c r="B449" s="4" t="s">
        <v>608</v>
      </c>
      <c r="C449" s="9" t="s">
        <v>609</v>
      </c>
      <c r="F449" s="13">
        <v>0</v>
      </c>
      <c r="I449" s="4"/>
      <c r="J449" s="4"/>
      <c r="K449" s="4"/>
      <c r="L449" s="4"/>
      <c r="M449" s="4"/>
      <c r="N449" s="4"/>
      <c r="O449" s="4"/>
    </row>
    <row r="450" spans="1:15">
      <c r="A450" s="4" t="s">
        <v>595</v>
      </c>
      <c r="B450" s="4" t="s">
        <v>610</v>
      </c>
      <c r="C450" s="9" t="s">
        <v>611</v>
      </c>
      <c r="F450" s="13">
        <v>0</v>
      </c>
      <c r="I450" s="4"/>
      <c r="J450" s="4"/>
      <c r="K450" s="4"/>
      <c r="L450" s="4"/>
      <c r="M450" s="4"/>
      <c r="N450" s="4"/>
      <c r="O450" s="4"/>
    </row>
    <row r="451" spans="1:15">
      <c r="A451" s="4" t="s">
        <v>595</v>
      </c>
      <c r="B451" s="4" t="s">
        <v>612</v>
      </c>
      <c r="C451" s="9" t="s">
        <v>613</v>
      </c>
      <c r="F451" s="13">
        <v>0</v>
      </c>
      <c r="I451" s="4"/>
      <c r="J451" s="4"/>
      <c r="K451" s="4"/>
      <c r="L451" s="4"/>
      <c r="M451" s="4"/>
      <c r="N451" s="4"/>
      <c r="O451" s="4"/>
    </row>
    <row r="452" spans="1:15">
      <c r="A452" s="4" t="s">
        <v>595</v>
      </c>
      <c r="B452" s="4" t="s">
        <v>614</v>
      </c>
      <c r="C452" s="9" t="s">
        <v>615</v>
      </c>
      <c r="F452" s="13">
        <v>0</v>
      </c>
      <c r="I452" s="4"/>
      <c r="J452" s="4"/>
      <c r="K452" s="4"/>
      <c r="L452" s="4"/>
      <c r="M452" s="4"/>
      <c r="N452" s="4"/>
      <c r="O452" s="4"/>
    </row>
    <row r="453" spans="1:15">
      <c r="A453" s="4" t="s">
        <v>618</v>
      </c>
      <c r="B453" s="4" t="s">
        <v>617</v>
      </c>
      <c r="C453" s="9" t="s">
        <v>619</v>
      </c>
      <c r="F453" s="13">
        <v>1</v>
      </c>
      <c r="G453" s="21">
        <v>1</v>
      </c>
      <c r="I453" s="4">
        <v>1</v>
      </c>
      <c r="J453" s="4">
        <v>11</v>
      </c>
      <c r="K453" s="4" t="s">
        <v>616</v>
      </c>
      <c r="L453" s="4" t="s">
        <v>13</v>
      </c>
      <c r="M453" s="4">
        <v>2024</v>
      </c>
      <c r="N453" s="4">
        <v>1</v>
      </c>
      <c r="O453" s="4">
        <v>1</v>
      </c>
    </row>
    <row r="454" spans="1:15">
      <c r="A454" s="4" t="s">
        <v>618</v>
      </c>
      <c r="B454" s="4" t="s">
        <v>629</v>
      </c>
      <c r="C454" s="9" t="s">
        <v>599</v>
      </c>
      <c r="F454" s="13">
        <v>1</v>
      </c>
      <c r="G454" s="21">
        <v>0</v>
      </c>
      <c r="I454" s="4">
        <v>2</v>
      </c>
      <c r="J454" s="4">
        <v>11</v>
      </c>
      <c r="K454" s="4" t="s">
        <v>616</v>
      </c>
      <c r="L454" s="4" t="s">
        <v>13</v>
      </c>
      <c r="M454" s="4">
        <v>2024</v>
      </c>
      <c r="N454" s="4">
        <v>1</v>
      </c>
      <c r="O454" s="4">
        <v>1</v>
      </c>
    </row>
    <row r="455" spans="1:15" ht="18">
      <c r="A455" s="4" t="s">
        <v>618</v>
      </c>
      <c r="B455" s="4" t="s">
        <v>630</v>
      </c>
      <c r="C455" s="24" t="s">
        <v>620</v>
      </c>
      <c r="F455" s="13">
        <v>1</v>
      </c>
      <c r="G455" s="21">
        <v>1</v>
      </c>
      <c r="I455" s="4">
        <v>3</v>
      </c>
      <c r="J455" s="4">
        <v>11</v>
      </c>
      <c r="K455" s="4" t="s">
        <v>616</v>
      </c>
      <c r="L455" s="4" t="s">
        <v>13</v>
      </c>
      <c r="M455" s="4">
        <v>2024</v>
      </c>
      <c r="N455" s="4">
        <v>1</v>
      </c>
      <c r="O455" s="4">
        <v>1</v>
      </c>
    </row>
    <row r="456" spans="1:15">
      <c r="A456" s="4" t="s">
        <v>618</v>
      </c>
      <c r="B456" s="4" t="s">
        <v>631</v>
      </c>
      <c r="C456" s="9" t="s">
        <v>621</v>
      </c>
      <c r="F456" s="13">
        <v>1</v>
      </c>
      <c r="G456" s="21">
        <v>1</v>
      </c>
      <c r="I456" s="4">
        <v>4</v>
      </c>
      <c r="J456" s="4">
        <v>11</v>
      </c>
      <c r="K456" s="4" t="s">
        <v>616</v>
      </c>
      <c r="L456" s="4" t="s">
        <v>13</v>
      </c>
      <c r="M456" s="4">
        <v>2024</v>
      </c>
      <c r="N456" s="4">
        <v>1</v>
      </c>
      <c r="O456" s="4">
        <v>1</v>
      </c>
    </row>
    <row r="457" spans="1:15">
      <c r="A457" s="4" t="s">
        <v>618</v>
      </c>
      <c r="B457" s="4" t="s">
        <v>632</v>
      </c>
      <c r="C457" s="9" t="s">
        <v>622</v>
      </c>
      <c r="F457" s="13">
        <v>1</v>
      </c>
      <c r="G457" s="21">
        <v>0</v>
      </c>
      <c r="I457" s="4">
        <v>5</v>
      </c>
      <c r="J457" s="4">
        <v>11</v>
      </c>
      <c r="K457" s="4" t="s">
        <v>616</v>
      </c>
      <c r="L457" s="4" t="s">
        <v>13</v>
      </c>
      <c r="M457" s="4">
        <v>2024</v>
      </c>
      <c r="N457" s="4">
        <v>1</v>
      </c>
      <c r="O457" s="4">
        <v>1</v>
      </c>
    </row>
    <row r="458" spans="1:15">
      <c r="A458" s="4" t="s">
        <v>618</v>
      </c>
      <c r="B458" s="4" t="s">
        <v>633</v>
      </c>
      <c r="C458" s="9" t="s">
        <v>623</v>
      </c>
      <c r="F458" s="13">
        <v>1</v>
      </c>
      <c r="G458" s="21">
        <v>1</v>
      </c>
      <c r="I458" s="4">
        <v>6</v>
      </c>
      <c r="J458" s="4">
        <v>11</v>
      </c>
      <c r="K458" s="4" t="s">
        <v>616</v>
      </c>
      <c r="L458" s="4" t="s">
        <v>13</v>
      </c>
      <c r="M458" s="4">
        <v>2024</v>
      </c>
      <c r="N458" s="4">
        <v>1</v>
      </c>
      <c r="O458" s="4">
        <v>1</v>
      </c>
    </row>
    <row r="459" spans="1:15">
      <c r="A459" s="4" t="s">
        <v>618</v>
      </c>
      <c r="B459" s="4" t="s">
        <v>634</v>
      </c>
      <c r="C459" s="9" t="s">
        <v>624</v>
      </c>
      <c r="F459" s="13">
        <v>0</v>
      </c>
      <c r="I459" s="4"/>
      <c r="J459" s="4"/>
      <c r="K459" s="4"/>
      <c r="L459" s="4"/>
      <c r="M459" s="4"/>
      <c r="N459" s="4"/>
      <c r="O459" s="4"/>
    </row>
    <row r="460" spans="1:15">
      <c r="A460" s="4" t="s">
        <v>618</v>
      </c>
      <c r="B460" s="4" t="s">
        <v>635</v>
      </c>
      <c r="C460" s="9" t="s">
        <v>625</v>
      </c>
      <c r="F460" s="13">
        <v>0</v>
      </c>
      <c r="I460" s="4"/>
      <c r="J460" s="4"/>
      <c r="K460" s="4"/>
      <c r="L460" s="4"/>
      <c r="M460" s="4"/>
      <c r="N460" s="4"/>
      <c r="O460" s="4"/>
    </row>
    <row r="461" spans="1:15">
      <c r="A461" s="4" t="s">
        <v>618</v>
      </c>
      <c r="B461" s="4" t="s">
        <v>636</v>
      </c>
      <c r="C461" s="9" t="s">
        <v>626</v>
      </c>
      <c r="F461" s="13">
        <v>0</v>
      </c>
      <c r="I461" s="4"/>
      <c r="J461" s="4"/>
      <c r="K461" s="4"/>
      <c r="L461" s="4"/>
      <c r="M461" s="4"/>
      <c r="N461" s="4"/>
      <c r="O461" s="4"/>
    </row>
    <row r="462" spans="1:15">
      <c r="A462" s="4" t="s">
        <v>618</v>
      </c>
      <c r="B462" s="4" t="s">
        <v>637</v>
      </c>
      <c r="C462" s="9" t="s">
        <v>627</v>
      </c>
      <c r="F462" s="13">
        <v>0</v>
      </c>
      <c r="I462" s="4"/>
      <c r="J462" s="4"/>
      <c r="K462" s="4"/>
      <c r="L462" s="4"/>
      <c r="M462" s="4"/>
      <c r="N462" s="4"/>
      <c r="O462" s="4"/>
    </row>
    <row r="463" spans="1:15">
      <c r="A463" s="4" t="s">
        <v>618</v>
      </c>
      <c r="B463" s="4" t="s">
        <v>638</v>
      </c>
      <c r="C463" s="9" t="s">
        <v>628</v>
      </c>
      <c r="F463" s="13">
        <v>0</v>
      </c>
      <c r="I463" s="4"/>
      <c r="J463" s="4"/>
      <c r="K463" s="4"/>
      <c r="L463" s="4"/>
      <c r="M463" s="4"/>
      <c r="N463" s="4"/>
      <c r="O463" s="4"/>
    </row>
    <row r="464" spans="1:15">
      <c r="A464" s="4" t="s">
        <v>640</v>
      </c>
      <c r="B464" s="4" t="s">
        <v>639</v>
      </c>
      <c r="C464" s="9" t="s">
        <v>641</v>
      </c>
      <c r="F464" s="13">
        <v>1</v>
      </c>
      <c r="G464" s="21">
        <v>0</v>
      </c>
      <c r="I464" s="4">
        <v>1</v>
      </c>
      <c r="J464" s="4">
        <v>13</v>
      </c>
      <c r="K464" s="4" t="s">
        <v>616</v>
      </c>
      <c r="L464" s="4" t="s">
        <v>13</v>
      </c>
      <c r="M464" s="4">
        <v>2023</v>
      </c>
      <c r="N464" s="4">
        <v>1</v>
      </c>
      <c r="O464" s="4">
        <v>1</v>
      </c>
    </row>
    <row r="465" spans="1:15">
      <c r="A465" s="4" t="s">
        <v>640</v>
      </c>
      <c r="B465" s="4" t="s">
        <v>643</v>
      </c>
      <c r="C465" s="9" t="s">
        <v>642</v>
      </c>
      <c r="F465" s="13">
        <v>1</v>
      </c>
      <c r="G465" s="21">
        <v>0</v>
      </c>
      <c r="I465" s="4">
        <v>2</v>
      </c>
      <c r="J465" s="4">
        <v>13</v>
      </c>
      <c r="K465" s="4" t="s">
        <v>616</v>
      </c>
      <c r="L465" s="4" t="s">
        <v>13</v>
      </c>
      <c r="M465" s="4">
        <v>2023</v>
      </c>
      <c r="N465" s="4">
        <v>1</v>
      </c>
      <c r="O465" s="4">
        <v>1</v>
      </c>
    </row>
    <row r="466" spans="1:15">
      <c r="A466" s="4" t="s">
        <v>640</v>
      </c>
      <c r="B466" s="4" t="s">
        <v>646</v>
      </c>
      <c r="C466" s="22" t="s">
        <v>644</v>
      </c>
      <c r="F466" s="13">
        <v>0</v>
      </c>
      <c r="I466" s="4"/>
      <c r="J466" s="4"/>
      <c r="K466" s="4"/>
      <c r="L466" s="4"/>
      <c r="M466" s="4"/>
      <c r="N466" s="4"/>
      <c r="O466" s="4"/>
    </row>
    <row r="467" spans="1:15">
      <c r="A467" s="4" t="s">
        <v>640</v>
      </c>
      <c r="B467" s="4" t="s">
        <v>647</v>
      </c>
      <c r="C467" s="9" t="s">
        <v>645</v>
      </c>
      <c r="F467" s="13">
        <v>0</v>
      </c>
      <c r="I467" s="4"/>
      <c r="J467" s="4"/>
      <c r="K467" s="4"/>
      <c r="L467" s="4"/>
      <c r="M467" s="4"/>
      <c r="N467" s="4"/>
      <c r="O467" s="4"/>
    </row>
    <row r="468" spans="1:15">
      <c r="A468" s="4" t="s">
        <v>640</v>
      </c>
      <c r="B468" s="4" t="s">
        <v>657</v>
      </c>
      <c r="C468" s="9" t="s">
        <v>648</v>
      </c>
      <c r="F468" s="13">
        <v>1</v>
      </c>
      <c r="G468" s="21">
        <v>0</v>
      </c>
      <c r="I468" s="4">
        <v>5</v>
      </c>
      <c r="J468" s="4">
        <v>13</v>
      </c>
      <c r="K468" s="4" t="s">
        <v>616</v>
      </c>
      <c r="L468" s="4" t="s">
        <v>13</v>
      </c>
      <c r="M468" s="4">
        <v>2023</v>
      </c>
      <c r="N468" s="4">
        <v>1</v>
      </c>
      <c r="O468" s="4">
        <v>1</v>
      </c>
    </row>
    <row r="469" spans="1:15">
      <c r="A469" s="4" t="s">
        <v>640</v>
      </c>
      <c r="B469" s="4" t="s">
        <v>658</v>
      </c>
      <c r="C469" s="9" t="s">
        <v>649</v>
      </c>
      <c r="F469" s="13">
        <v>1</v>
      </c>
      <c r="G469" s="21">
        <v>1</v>
      </c>
      <c r="I469" s="4">
        <v>6</v>
      </c>
      <c r="J469" s="4">
        <v>13</v>
      </c>
      <c r="K469" s="4" t="s">
        <v>616</v>
      </c>
      <c r="L469" s="4" t="s">
        <v>13</v>
      </c>
      <c r="M469" s="4">
        <v>2023</v>
      </c>
      <c r="N469" s="4">
        <v>1</v>
      </c>
      <c r="O469" s="4">
        <v>1</v>
      </c>
    </row>
    <row r="470" spans="1:15">
      <c r="A470" s="4" t="s">
        <v>640</v>
      </c>
      <c r="B470" s="4" t="s">
        <v>659</v>
      </c>
      <c r="C470" s="9" t="s">
        <v>650</v>
      </c>
      <c r="F470" s="13">
        <v>0</v>
      </c>
      <c r="I470" s="4"/>
      <c r="J470" s="4"/>
      <c r="K470" s="4"/>
      <c r="L470" s="4"/>
      <c r="M470" s="4"/>
      <c r="N470" s="4"/>
      <c r="O470" s="4"/>
    </row>
    <row r="471" spans="1:15">
      <c r="A471" s="4" t="s">
        <v>640</v>
      </c>
      <c r="B471" s="4" t="s">
        <v>660</v>
      </c>
      <c r="C471" s="9" t="s">
        <v>651</v>
      </c>
      <c r="F471" s="13">
        <v>1</v>
      </c>
      <c r="G471" s="21">
        <v>0</v>
      </c>
      <c r="I471" s="4">
        <v>8</v>
      </c>
      <c r="J471" s="4">
        <v>13</v>
      </c>
      <c r="K471" s="4" t="s">
        <v>616</v>
      </c>
      <c r="L471" s="4" t="s">
        <v>13</v>
      </c>
      <c r="M471" s="4">
        <v>2023</v>
      </c>
      <c r="N471" s="4">
        <v>1</v>
      </c>
      <c r="O471" s="4">
        <v>1</v>
      </c>
    </row>
    <row r="472" spans="1:15">
      <c r="A472" s="4" t="s">
        <v>640</v>
      </c>
      <c r="B472" s="4" t="s">
        <v>661</v>
      </c>
      <c r="C472" s="9" t="s">
        <v>652</v>
      </c>
      <c r="F472" s="13">
        <v>1</v>
      </c>
      <c r="G472" s="21">
        <v>0</v>
      </c>
      <c r="I472" s="4">
        <v>9</v>
      </c>
      <c r="J472" s="4">
        <v>13</v>
      </c>
      <c r="K472" s="4" t="s">
        <v>616</v>
      </c>
      <c r="L472" s="4" t="s">
        <v>13</v>
      </c>
      <c r="M472" s="4">
        <v>2023</v>
      </c>
      <c r="N472" s="4">
        <v>1</v>
      </c>
      <c r="O472" s="4">
        <v>1</v>
      </c>
    </row>
    <row r="473" spans="1:15">
      <c r="A473" s="4" t="s">
        <v>640</v>
      </c>
      <c r="B473" s="4" t="s">
        <v>662</v>
      </c>
      <c r="C473" s="9" t="s">
        <v>653</v>
      </c>
      <c r="F473" s="13">
        <v>0</v>
      </c>
      <c r="I473" s="4"/>
      <c r="J473" s="4"/>
      <c r="K473" s="4"/>
      <c r="L473" s="4"/>
      <c r="M473" s="4"/>
      <c r="N473" s="4"/>
      <c r="O473" s="4"/>
    </row>
    <row r="474" spans="1:15">
      <c r="A474" s="4" t="s">
        <v>640</v>
      </c>
      <c r="B474" s="4" t="s">
        <v>663</v>
      </c>
      <c r="C474" s="9" t="s">
        <v>654</v>
      </c>
      <c r="F474" s="13">
        <v>0</v>
      </c>
      <c r="I474" s="4"/>
      <c r="J474" s="4"/>
      <c r="K474" s="4"/>
      <c r="L474" s="4"/>
      <c r="M474" s="4"/>
      <c r="N474" s="4"/>
      <c r="O474" s="4"/>
    </row>
    <row r="475" spans="1:15">
      <c r="A475" s="4" t="s">
        <v>640</v>
      </c>
      <c r="B475" s="4" t="s">
        <v>664</v>
      </c>
      <c r="C475" s="9" t="s">
        <v>655</v>
      </c>
      <c r="F475" s="13">
        <v>0</v>
      </c>
      <c r="I475" s="4"/>
      <c r="J475" s="4"/>
      <c r="K475" s="4"/>
      <c r="L475" s="4"/>
      <c r="M475" s="4"/>
      <c r="N475" s="4"/>
      <c r="O475" s="4"/>
    </row>
    <row r="476" spans="1:15">
      <c r="A476" s="4" t="s">
        <v>640</v>
      </c>
      <c r="B476" s="4" t="s">
        <v>665</v>
      </c>
      <c r="C476" s="9" t="s">
        <v>656</v>
      </c>
      <c r="F476" s="13">
        <v>0</v>
      </c>
      <c r="I476" s="4"/>
      <c r="J476" s="4"/>
      <c r="K476" s="4"/>
      <c r="L476" s="4"/>
      <c r="M476" s="4"/>
      <c r="N476" s="4"/>
      <c r="O476" s="4"/>
    </row>
    <row r="477" spans="1:15" ht="18">
      <c r="A477" s="4" t="s">
        <v>667</v>
      </c>
      <c r="B477" s="4" t="s">
        <v>666</v>
      </c>
      <c r="C477" s="23" t="s">
        <v>668</v>
      </c>
      <c r="F477" s="13">
        <v>0</v>
      </c>
      <c r="I477" s="4"/>
      <c r="J477" s="4"/>
      <c r="K477" s="4"/>
      <c r="L477" s="4"/>
      <c r="M477" s="4"/>
      <c r="N477" s="4"/>
      <c r="O477" s="4"/>
    </row>
    <row r="478" spans="1:15">
      <c r="A478" s="4" t="s">
        <v>667</v>
      </c>
      <c r="B478" s="4" t="s">
        <v>675</v>
      </c>
      <c r="C478" s="9" t="s">
        <v>669</v>
      </c>
      <c r="F478" s="13">
        <v>1</v>
      </c>
      <c r="G478" s="21">
        <v>0</v>
      </c>
      <c r="I478" s="4">
        <v>2</v>
      </c>
      <c r="J478" s="4">
        <v>7</v>
      </c>
      <c r="K478" s="4" t="s">
        <v>616</v>
      </c>
      <c r="L478" s="4" t="s">
        <v>13</v>
      </c>
      <c r="M478" s="4">
        <v>2022</v>
      </c>
      <c r="N478" s="4">
        <v>1</v>
      </c>
      <c r="O478" s="4">
        <v>1</v>
      </c>
    </row>
    <row r="479" spans="1:15" ht="18">
      <c r="A479" s="4" t="s">
        <v>667</v>
      </c>
      <c r="B479" s="4" t="s">
        <v>676</v>
      </c>
      <c r="C479" s="23" t="s">
        <v>670</v>
      </c>
      <c r="F479" s="13">
        <v>0</v>
      </c>
      <c r="I479" s="4"/>
      <c r="J479" s="4"/>
      <c r="K479" s="4"/>
      <c r="L479" s="4"/>
      <c r="M479" s="4"/>
      <c r="N479" s="4"/>
      <c r="O479" s="4"/>
    </row>
    <row r="480" spans="1:15" ht="18">
      <c r="A480" s="4" t="s">
        <v>667</v>
      </c>
      <c r="B480" s="4" t="s">
        <v>677</v>
      </c>
      <c r="C480" s="23" t="s">
        <v>671</v>
      </c>
      <c r="F480" s="13">
        <v>0</v>
      </c>
      <c r="I480" s="4"/>
      <c r="J480" s="4"/>
      <c r="K480" s="4"/>
      <c r="L480" s="4"/>
      <c r="M480" s="4"/>
      <c r="N480" s="4"/>
      <c r="O480" s="4"/>
    </row>
    <row r="481" spans="1:15" ht="18">
      <c r="A481" s="4" t="s">
        <v>667</v>
      </c>
      <c r="B481" s="4" t="s">
        <v>678</v>
      </c>
      <c r="C481" s="23" t="s">
        <v>672</v>
      </c>
      <c r="F481" s="13">
        <v>0</v>
      </c>
      <c r="I481" s="4"/>
      <c r="J481" s="4"/>
      <c r="K481" s="4"/>
      <c r="L481" s="4"/>
      <c r="M481" s="4"/>
      <c r="N481" s="4"/>
      <c r="O481" s="4"/>
    </row>
    <row r="482" spans="1:15" ht="18">
      <c r="A482" s="4" t="s">
        <v>667</v>
      </c>
      <c r="B482" s="4" t="s">
        <v>679</v>
      </c>
      <c r="C482" s="23" t="s">
        <v>673</v>
      </c>
      <c r="F482" s="13">
        <v>0</v>
      </c>
      <c r="I482" s="4"/>
      <c r="J482" s="4"/>
      <c r="K482" s="4"/>
      <c r="L482" s="4"/>
      <c r="M482" s="4"/>
      <c r="N482" s="4"/>
      <c r="O482" s="4"/>
    </row>
    <row r="483" spans="1:15" ht="18">
      <c r="A483" s="4" t="s">
        <v>667</v>
      </c>
      <c r="B483" s="4" t="s">
        <v>680</v>
      </c>
      <c r="C483" s="23" t="s">
        <v>674</v>
      </c>
      <c r="F483" s="13">
        <v>0</v>
      </c>
      <c r="I483" s="4"/>
      <c r="J483" s="4"/>
      <c r="K483" s="4"/>
      <c r="L483" s="4"/>
      <c r="M483" s="4"/>
      <c r="N483" s="4"/>
      <c r="O483" s="4"/>
    </row>
    <row r="484" spans="1:15" ht="18">
      <c r="A484" s="4" t="s">
        <v>700</v>
      </c>
      <c r="B484" s="4" t="s">
        <v>681</v>
      </c>
      <c r="C484" s="23" t="s">
        <v>682</v>
      </c>
      <c r="F484" s="13">
        <v>0</v>
      </c>
      <c r="I484" s="4"/>
      <c r="J484" s="4"/>
      <c r="K484" s="4"/>
      <c r="L484" s="4"/>
      <c r="M484" s="4"/>
      <c r="N484" s="4"/>
      <c r="O484" s="4"/>
    </row>
    <row r="485" spans="1:15" ht="18">
      <c r="A485" s="4" t="s">
        <v>700</v>
      </c>
      <c r="B485" s="4" t="s">
        <v>691</v>
      </c>
      <c r="C485" s="23" t="s">
        <v>683</v>
      </c>
      <c r="F485" s="13">
        <v>0</v>
      </c>
      <c r="I485" s="4"/>
      <c r="J485" s="4"/>
      <c r="K485" s="4"/>
      <c r="L485" s="4"/>
      <c r="M485" s="4"/>
      <c r="N485" s="4"/>
      <c r="O485" s="4"/>
    </row>
    <row r="486" spans="1:15" ht="18">
      <c r="A486" s="4" t="s">
        <v>700</v>
      </c>
      <c r="B486" s="4" t="s">
        <v>692</v>
      </c>
      <c r="C486" s="23" t="s">
        <v>684</v>
      </c>
      <c r="F486" s="13">
        <v>0</v>
      </c>
      <c r="I486" s="4"/>
      <c r="J486" s="4"/>
      <c r="K486" s="4"/>
      <c r="L486" s="4"/>
      <c r="M486" s="4"/>
      <c r="N486" s="4"/>
      <c r="O486" s="4"/>
    </row>
    <row r="487" spans="1:15" ht="18">
      <c r="A487" s="4" t="s">
        <v>700</v>
      </c>
      <c r="B487" s="4" t="s">
        <v>693</v>
      </c>
      <c r="C487" s="23" t="s">
        <v>685</v>
      </c>
      <c r="F487" s="13">
        <v>1</v>
      </c>
      <c r="G487" s="21">
        <v>1</v>
      </c>
      <c r="I487" s="4">
        <v>4</v>
      </c>
      <c r="J487" s="4">
        <v>10</v>
      </c>
      <c r="K487" s="4" t="s">
        <v>616</v>
      </c>
      <c r="L487" s="4" t="s">
        <v>13</v>
      </c>
      <c r="M487" s="4">
        <v>2021</v>
      </c>
      <c r="N487" s="4">
        <v>1</v>
      </c>
      <c r="O487" s="4">
        <v>1</v>
      </c>
    </row>
    <row r="488" spans="1:15" ht="18">
      <c r="A488" s="4" t="s">
        <v>700</v>
      </c>
      <c r="B488" s="4" t="s">
        <v>694</v>
      </c>
      <c r="C488" s="23" t="s">
        <v>686</v>
      </c>
      <c r="F488" s="13">
        <v>0</v>
      </c>
      <c r="I488" s="4"/>
      <c r="J488" s="4"/>
      <c r="K488" s="4"/>
      <c r="L488" s="4"/>
      <c r="M488" s="4"/>
      <c r="N488" s="4"/>
      <c r="O488" s="4"/>
    </row>
    <row r="489" spans="1:15">
      <c r="A489" s="4" t="s">
        <v>700</v>
      </c>
      <c r="B489" s="4" t="s">
        <v>695</v>
      </c>
      <c r="C489" s="22" t="s">
        <v>687</v>
      </c>
      <c r="F489" s="13">
        <v>1</v>
      </c>
      <c r="G489" s="21">
        <v>0</v>
      </c>
      <c r="I489" s="4">
        <v>6</v>
      </c>
      <c r="J489" s="4">
        <v>10</v>
      </c>
      <c r="K489" s="4" t="s">
        <v>616</v>
      </c>
      <c r="L489" s="4" t="s">
        <v>13</v>
      </c>
      <c r="M489" s="4">
        <v>2021</v>
      </c>
      <c r="N489" s="4">
        <v>1</v>
      </c>
      <c r="O489" s="4">
        <v>1</v>
      </c>
    </row>
    <row r="490" spans="1:15" ht="18">
      <c r="A490" s="4" t="s">
        <v>700</v>
      </c>
      <c r="B490" s="4" t="s">
        <v>696</v>
      </c>
      <c r="C490" s="23" t="s">
        <v>671</v>
      </c>
      <c r="F490" s="13">
        <v>0</v>
      </c>
      <c r="I490" s="4"/>
      <c r="J490" s="4"/>
      <c r="K490" s="4"/>
      <c r="L490" s="4"/>
      <c r="M490" s="4"/>
      <c r="N490" s="4"/>
      <c r="O490" s="4"/>
    </row>
    <row r="491" spans="1:15" ht="18">
      <c r="A491" s="4" t="s">
        <v>700</v>
      </c>
      <c r="B491" s="4" t="s">
        <v>697</v>
      </c>
      <c r="C491" s="23" t="s">
        <v>688</v>
      </c>
      <c r="F491" s="13">
        <v>0</v>
      </c>
      <c r="I491" s="4"/>
      <c r="J491" s="4"/>
      <c r="K491" s="4"/>
      <c r="L491" s="4"/>
      <c r="M491" s="4"/>
      <c r="N491" s="4"/>
      <c r="O491" s="4"/>
    </row>
    <row r="492" spans="1:15" ht="18">
      <c r="A492" s="4" t="s">
        <v>700</v>
      </c>
      <c r="B492" s="4" t="s">
        <v>698</v>
      </c>
      <c r="C492" s="23" t="s">
        <v>689</v>
      </c>
      <c r="F492" s="13">
        <v>0</v>
      </c>
      <c r="I492" s="4"/>
      <c r="J492" s="4"/>
      <c r="K492" s="4"/>
      <c r="L492" s="4"/>
      <c r="M492" s="4"/>
      <c r="N492" s="4"/>
      <c r="O492" s="4"/>
    </row>
    <row r="493" spans="1:15" ht="18">
      <c r="A493" s="4" t="s">
        <v>700</v>
      </c>
      <c r="B493" s="4" t="s">
        <v>699</v>
      </c>
      <c r="C493" s="23" t="s">
        <v>690</v>
      </c>
      <c r="F493" s="13">
        <v>0</v>
      </c>
      <c r="I493" s="4"/>
      <c r="J493" s="4"/>
      <c r="K493" s="4"/>
      <c r="L493" s="4"/>
      <c r="M493" s="4"/>
      <c r="N493" s="4"/>
      <c r="O493" s="4"/>
    </row>
    <row r="494" spans="1:15" ht="18">
      <c r="A494" s="4" t="s">
        <v>702</v>
      </c>
      <c r="B494" s="4" t="s">
        <v>701</v>
      </c>
      <c r="C494" s="23" t="s">
        <v>704</v>
      </c>
      <c r="F494" s="13">
        <v>0</v>
      </c>
      <c r="I494" s="4"/>
      <c r="J494" s="4"/>
      <c r="K494" s="4"/>
      <c r="L494" s="4"/>
      <c r="M494" s="4"/>
      <c r="N494" s="4"/>
      <c r="O494" s="4"/>
    </row>
    <row r="495" spans="1:15" ht="18">
      <c r="A495" s="4" t="s">
        <v>702</v>
      </c>
      <c r="B495" s="4" t="s">
        <v>703</v>
      </c>
      <c r="C495" s="23" t="s">
        <v>705</v>
      </c>
      <c r="F495" s="13">
        <v>0</v>
      </c>
      <c r="I495" s="4"/>
      <c r="J495" s="4"/>
      <c r="K495" s="4"/>
      <c r="L495" s="4"/>
      <c r="M495" s="4"/>
      <c r="N495" s="4"/>
      <c r="O495" s="4"/>
    </row>
    <row r="496" spans="1:15" ht="18">
      <c r="A496" s="4" t="s">
        <v>702</v>
      </c>
      <c r="B496" s="4" t="s">
        <v>720</v>
      </c>
      <c r="C496" s="23" t="s">
        <v>706</v>
      </c>
      <c r="F496" s="13">
        <v>0</v>
      </c>
      <c r="I496" s="4"/>
      <c r="J496" s="4"/>
      <c r="K496" s="4"/>
      <c r="L496" s="4"/>
      <c r="M496" s="4"/>
      <c r="N496" s="4"/>
      <c r="O496" s="4"/>
    </row>
    <row r="497" spans="1:15" ht="18">
      <c r="A497" s="4" t="s">
        <v>702</v>
      </c>
      <c r="B497" s="4" t="s">
        <v>721</v>
      </c>
      <c r="C497" s="23" t="s">
        <v>707</v>
      </c>
      <c r="F497" s="13">
        <v>0</v>
      </c>
      <c r="I497" s="4"/>
      <c r="J497" s="4"/>
      <c r="K497" s="4"/>
      <c r="L497" s="4"/>
      <c r="M497" s="4"/>
      <c r="N497" s="4"/>
      <c r="O497" s="4"/>
    </row>
    <row r="498" spans="1:15" ht="18">
      <c r="A498" s="4" t="s">
        <v>702</v>
      </c>
      <c r="B498" s="4" t="s">
        <v>722</v>
      </c>
      <c r="C498" s="24" t="s">
        <v>708</v>
      </c>
      <c r="F498" s="13">
        <v>0</v>
      </c>
      <c r="I498" s="4"/>
      <c r="J498" s="4"/>
      <c r="K498" s="4"/>
      <c r="L498" s="4"/>
      <c r="M498" s="4"/>
      <c r="N498" s="4"/>
      <c r="O498" s="4"/>
    </row>
    <row r="499" spans="1:15" ht="18">
      <c r="A499" s="4" t="s">
        <v>702</v>
      </c>
      <c r="B499" s="4" t="s">
        <v>723</v>
      </c>
      <c r="C499" s="24" t="s">
        <v>709</v>
      </c>
      <c r="F499" s="13">
        <v>0</v>
      </c>
      <c r="I499" s="4"/>
      <c r="J499" s="4"/>
      <c r="K499" s="4"/>
      <c r="L499" s="4"/>
      <c r="M499" s="4"/>
      <c r="N499" s="4"/>
      <c r="O499" s="4"/>
    </row>
    <row r="500" spans="1:15" ht="18">
      <c r="A500" s="4" t="s">
        <v>702</v>
      </c>
      <c r="B500" s="4" t="s">
        <v>724</v>
      </c>
      <c r="C500" s="23" t="s">
        <v>710</v>
      </c>
      <c r="F500" s="13">
        <v>0</v>
      </c>
      <c r="I500" s="4"/>
      <c r="J500" s="4"/>
      <c r="K500" s="4"/>
      <c r="L500" s="4"/>
      <c r="M500" s="4"/>
      <c r="N500" s="4"/>
      <c r="O500" s="4"/>
    </row>
    <row r="501" spans="1:15" ht="18">
      <c r="A501" s="4" t="s">
        <v>702</v>
      </c>
      <c r="B501" s="4" t="s">
        <v>725</v>
      </c>
      <c r="C501" s="23" t="s">
        <v>711</v>
      </c>
      <c r="F501" s="13">
        <v>1</v>
      </c>
      <c r="G501" s="21">
        <v>0</v>
      </c>
      <c r="I501" s="4">
        <v>8</v>
      </c>
      <c r="J501" s="4">
        <v>17</v>
      </c>
      <c r="K501" s="4" t="s">
        <v>616</v>
      </c>
      <c r="L501" s="4" t="s">
        <v>13</v>
      </c>
      <c r="M501" s="4">
        <v>2019</v>
      </c>
      <c r="N501" s="4">
        <v>1</v>
      </c>
      <c r="O501" s="4">
        <v>1</v>
      </c>
    </row>
    <row r="502" spans="1:15" ht="18">
      <c r="A502" s="4" t="s">
        <v>702</v>
      </c>
      <c r="B502" s="4" t="s">
        <v>726</v>
      </c>
      <c r="C502" s="23" t="s">
        <v>706</v>
      </c>
      <c r="F502" s="13">
        <v>0</v>
      </c>
      <c r="I502" s="4"/>
      <c r="J502" s="4"/>
      <c r="K502" s="4"/>
      <c r="L502" s="4"/>
      <c r="M502" s="4"/>
      <c r="N502" s="4"/>
      <c r="O502" s="4"/>
    </row>
    <row r="503" spans="1:15">
      <c r="A503" s="4" t="s">
        <v>702</v>
      </c>
      <c r="B503" s="4" t="s">
        <v>727</v>
      </c>
      <c r="C503" t="s">
        <v>712</v>
      </c>
      <c r="F503" s="13">
        <v>0</v>
      </c>
      <c r="I503" s="4"/>
      <c r="J503" s="4"/>
      <c r="K503" s="4"/>
      <c r="L503" s="4"/>
      <c r="M503" s="4"/>
      <c r="N503" s="4"/>
      <c r="O503" s="4"/>
    </row>
    <row r="504" spans="1:15" ht="18">
      <c r="A504" s="4" t="s">
        <v>702</v>
      </c>
      <c r="B504" s="4" t="s">
        <v>728</v>
      </c>
      <c r="C504" s="23" t="s">
        <v>713</v>
      </c>
      <c r="F504" s="13">
        <v>0</v>
      </c>
      <c r="I504" s="4"/>
      <c r="J504" s="4"/>
      <c r="K504" s="4"/>
      <c r="L504" s="4"/>
      <c r="M504" s="4"/>
      <c r="N504" s="4"/>
      <c r="O504" s="4"/>
    </row>
    <row r="505" spans="1:15" ht="18">
      <c r="A505" s="4" t="s">
        <v>702</v>
      </c>
      <c r="B505" s="4" t="s">
        <v>729</v>
      </c>
      <c r="C505" s="23" t="s">
        <v>714</v>
      </c>
      <c r="F505" s="13">
        <v>0</v>
      </c>
      <c r="I505" s="4"/>
      <c r="J505" s="4"/>
      <c r="K505" s="4"/>
      <c r="L505" s="4"/>
      <c r="M505" s="4"/>
      <c r="N505" s="4"/>
      <c r="O505" s="4"/>
    </row>
    <row r="506" spans="1:15" ht="18">
      <c r="A506" s="4" t="s">
        <v>702</v>
      </c>
      <c r="B506" s="4" t="s">
        <v>730</v>
      </c>
      <c r="C506" s="23" t="s">
        <v>715</v>
      </c>
      <c r="F506" s="13">
        <v>0</v>
      </c>
      <c r="I506" s="4"/>
      <c r="J506" s="4"/>
      <c r="K506" s="4"/>
      <c r="L506" s="4"/>
      <c r="M506" s="4"/>
      <c r="N506" s="4"/>
      <c r="O506" s="4"/>
    </row>
    <row r="507" spans="1:15" ht="18">
      <c r="A507" s="4" t="s">
        <v>702</v>
      </c>
      <c r="B507" s="4" t="s">
        <v>731</v>
      </c>
      <c r="C507" s="23" t="s">
        <v>716</v>
      </c>
      <c r="F507" s="13">
        <v>1</v>
      </c>
      <c r="G507" s="21">
        <v>0</v>
      </c>
      <c r="I507" s="4">
        <v>14</v>
      </c>
      <c r="J507" s="4">
        <v>17</v>
      </c>
      <c r="K507" s="4" t="s">
        <v>616</v>
      </c>
      <c r="L507" s="4" t="s">
        <v>13</v>
      </c>
      <c r="M507" s="4">
        <v>2019</v>
      </c>
      <c r="N507" s="4">
        <v>1</v>
      </c>
      <c r="O507" s="4">
        <v>1</v>
      </c>
    </row>
    <row r="508" spans="1:15" ht="18">
      <c r="A508" s="4" t="s">
        <v>702</v>
      </c>
      <c r="B508" s="4" t="s">
        <v>732</v>
      </c>
      <c r="C508" s="23" t="s">
        <v>717</v>
      </c>
      <c r="F508" s="13">
        <v>1</v>
      </c>
      <c r="G508" s="21">
        <v>0</v>
      </c>
      <c r="I508" s="4">
        <v>15</v>
      </c>
      <c r="J508" s="4">
        <v>17</v>
      </c>
      <c r="K508" s="4" t="s">
        <v>616</v>
      </c>
      <c r="L508" s="4" t="s">
        <v>13</v>
      </c>
      <c r="M508" s="4">
        <v>2019</v>
      </c>
      <c r="N508" s="4">
        <v>1</v>
      </c>
      <c r="O508" s="4">
        <v>1</v>
      </c>
    </row>
    <row r="509" spans="1:15" ht="18">
      <c r="A509" s="4" t="s">
        <v>702</v>
      </c>
      <c r="B509" s="4" t="s">
        <v>733</v>
      </c>
      <c r="C509" s="23" t="s">
        <v>718</v>
      </c>
      <c r="F509" s="13">
        <v>0</v>
      </c>
      <c r="I509" s="4"/>
      <c r="J509" s="4"/>
      <c r="K509" s="4"/>
      <c r="L509" s="4"/>
      <c r="M509" s="4"/>
      <c r="N509" s="4"/>
      <c r="O509" s="4"/>
    </row>
    <row r="510" spans="1:15">
      <c r="A510" s="4" t="s">
        <v>702</v>
      </c>
      <c r="B510" s="4" t="s">
        <v>734</v>
      </c>
      <c r="C510" t="s">
        <v>719</v>
      </c>
      <c r="F510" s="13">
        <v>0</v>
      </c>
      <c r="I510" s="4"/>
      <c r="J510" s="4"/>
      <c r="K510" s="4"/>
      <c r="L510" s="4"/>
      <c r="M510" s="4"/>
      <c r="N510" s="4"/>
      <c r="O510" s="4"/>
    </row>
    <row r="511" spans="1:15" ht="18">
      <c r="A511" s="27" t="s">
        <v>735</v>
      </c>
      <c r="B511" s="4" t="s">
        <v>736</v>
      </c>
      <c r="C511" s="23" t="s">
        <v>737</v>
      </c>
      <c r="F511" s="13">
        <v>0</v>
      </c>
      <c r="I511" s="4"/>
      <c r="J511" s="4"/>
      <c r="K511" s="4"/>
      <c r="L511" s="4"/>
      <c r="M511" s="4"/>
      <c r="N511" s="4"/>
      <c r="O511" s="4"/>
    </row>
    <row r="512" spans="1:15">
      <c r="A512" s="4" t="s">
        <v>735</v>
      </c>
      <c r="B512" s="4" t="s">
        <v>739</v>
      </c>
      <c r="C512" t="s">
        <v>738</v>
      </c>
      <c r="F512" s="13">
        <v>1</v>
      </c>
      <c r="G512" s="21">
        <v>1</v>
      </c>
      <c r="I512" s="4">
        <v>2</v>
      </c>
      <c r="J512" s="4">
        <v>10</v>
      </c>
      <c r="K512" s="4" t="s">
        <v>756</v>
      </c>
      <c r="L512" s="4" t="s">
        <v>13</v>
      </c>
      <c r="M512" s="4">
        <v>2023</v>
      </c>
      <c r="N512" s="4">
        <v>1</v>
      </c>
      <c r="O512" s="4">
        <v>1</v>
      </c>
    </row>
    <row r="513" spans="1:15" ht="18">
      <c r="A513" s="4" t="s">
        <v>735</v>
      </c>
      <c r="B513" s="4" t="s">
        <v>749</v>
      </c>
      <c r="C513" s="23" t="s">
        <v>740</v>
      </c>
      <c r="F513" s="13">
        <v>0</v>
      </c>
      <c r="I513" s="4"/>
      <c r="J513" s="4"/>
      <c r="K513" s="4"/>
      <c r="L513" s="4"/>
      <c r="M513" s="4"/>
      <c r="N513" s="4"/>
      <c r="O513" s="4"/>
    </row>
    <row r="514" spans="1:15" ht="18">
      <c r="A514" s="4" t="s">
        <v>735</v>
      </c>
      <c r="B514" s="4" t="s">
        <v>750</v>
      </c>
      <c r="C514" s="23" t="s">
        <v>741</v>
      </c>
      <c r="F514" s="13">
        <v>0</v>
      </c>
      <c r="I514" s="4"/>
      <c r="J514" s="4"/>
      <c r="K514" s="4"/>
      <c r="L514" s="4"/>
      <c r="M514" s="4"/>
      <c r="N514" s="4"/>
      <c r="O514" s="4"/>
    </row>
    <row r="515" spans="1:15" ht="18">
      <c r="A515" s="4" t="s">
        <v>735</v>
      </c>
      <c r="B515" s="4" t="s">
        <v>751</v>
      </c>
      <c r="C515" s="23" t="s">
        <v>742</v>
      </c>
      <c r="F515" s="13">
        <v>0</v>
      </c>
      <c r="I515" s="4"/>
      <c r="J515" s="4"/>
      <c r="K515" s="4"/>
      <c r="L515" s="4"/>
      <c r="M515" s="4"/>
      <c r="N515" s="4"/>
      <c r="O515" s="4"/>
    </row>
    <row r="516" spans="1:15" ht="18">
      <c r="A516" s="4" t="s">
        <v>735</v>
      </c>
      <c r="B516" s="4" t="s">
        <v>752</v>
      </c>
      <c r="C516" s="23" t="s">
        <v>743</v>
      </c>
      <c r="F516" s="13">
        <v>0</v>
      </c>
      <c r="I516" s="4"/>
      <c r="J516" s="4"/>
      <c r="K516" s="4"/>
      <c r="L516" s="4"/>
      <c r="M516" s="4"/>
      <c r="N516" s="4"/>
      <c r="O516" s="4"/>
    </row>
    <row r="517" spans="1:15" ht="18">
      <c r="A517" s="4" t="s">
        <v>735</v>
      </c>
      <c r="B517" s="4" t="s">
        <v>753</v>
      </c>
      <c r="C517" s="23" t="s">
        <v>744</v>
      </c>
      <c r="F517" s="13">
        <v>1</v>
      </c>
      <c r="G517" s="21">
        <v>1</v>
      </c>
      <c r="I517" s="4">
        <v>7</v>
      </c>
      <c r="J517" s="4">
        <v>10</v>
      </c>
      <c r="K517" s="4" t="s">
        <v>756</v>
      </c>
      <c r="L517" s="4" t="s">
        <v>13</v>
      </c>
      <c r="M517" s="4">
        <v>2023</v>
      </c>
      <c r="N517" s="4">
        <v>1</v>
      </c>
      <c r="O517" s="4">
        <v>1</v>
      </c>
    </row>
    <row r="518" spans="1:15" ht="18">
      <c r="A518" s="4" t="s">
        <v>735</v>
      </c>
      <c r="B518" s="4" t="s">
        <v>754</v>
      </c>
      <c r="C518" s="23" t="s">
        <v>745</v>
      </c>
      <c r="F518" s="13">
        <v>1</v>
      </c>
      <c r="G518" s="21">
        <v>1</v>
      </c>
      <c r="I518" s="4">
        <v>8</v>
      </c>
      <c r="J518" s="4">
        <v>10</v>
      </c>
      <c r="K518" s="4" t="s">
        <v>756</v>
      </c>
      <c r="L518" s="4" t="s">
        <v>13</v>
      </c>
      <c r="M518" s="4">
        <v>2023</v>
      </c>
      <c r="N518" s="4">
        <v>1</v>
      </c>
      <c r="O518" s="4">
        <v>1</v>
      </c>
    </row>
    <row r="519" spans="1:15" ht="18">
      <c r="A519" s="4" t="s">
        <v>735</v>
      </c>
      <c r="B519" s="4" t="s">
        <v>755</v>
      </c>
      <c r="C519" s="23" t="s">
        <v>746</v>
      </c>
      <c r="F519" s="13">
        <v>1</v>
      </c>
      <c r="G519" s="21">
        <v>1</v>
      </c>
      <c r="I519" s="4">
        <v>9</v>
      </c>
      <c r="J519" s="4">
        <v>10</v>
      </c>
      <c r="K519" s="4" t="s">
        <v>756</v>
      </c>
      <c r="L519" s="4" t="s">
        <v>13</v>
      </c>
      <c r="M519" s="4">
        <v>2023</v>
      </c>
      <c r="N519" s="4">
        <v>1</v>
      </c>
      <c r="O519" s="4">
        <v>1</v>
      </c>
    </row>
    <row r="520" spans="1:15" ht="18">
      <c r="A520" s="4" t="s">
        <v>735</v>
      </c>
      <c r="B520" s="4" t="s">
        <v>759</v>
      </c>
      <c r="C520" s="23" t="s">
        <v>747</v>
      </c>
      <c r="F520" s="13">
        <v>1</v>
      </c>
      <c r="G520" s="21">
        <v>0</v>
      </c>
      <c r="I520" s="4">
        <v>10</v>
      </c>
      <c r="J520" s="4">
        <v>10</v>
      </c>
      <c r="K520" s="4" t="s">
        <v>756</v>
      </c>
      <c r="L520" s="4" t="s">
        <v>13</v>
      </c>
      <c r="M520" s="4">
        <v>2023</v>
      </c>
      <c r="N520" s="4">
        <v>1</v>
      </c>
      <c r="O520" s="4">
        <v>1</v>
      </c>
    </row>
    <row r="521" spans="1:15">
      <c r="A521" s="4" t="s">
        <v>758</v>
      </c>
      <c r="B521" s="4" t="s">
        <v>757</v>
      </c>
      <c r="C521" s="9" t="s">
        <v>748</v>
      </c>
      <c r="F521" s="13">
        <v>1</v>
      </c>
      <c r="G521" s="21">
        <v>1</v>
      </c>
      <c r="I521" s="4">
        <v>1</v>
      </c>
      <c r="J521" s="4">
        <v>7</v>
      </c>
      <c r="K521" s="4" t="s">
        <v>756</v>
      </c>
      <c r="L521" s="4" t="s">
        <v>13</v>
      </c>
      <c r="M521" s="4">
        <v>2024</v>
      </c>
      <c r="N521" s="4">
        <v>1</v>
      </c>
      <c r="O521" s="4">
        <v>1</v>
      </c>
    </row>
    <row r="522" spans="1:15" ht="18">
      <c r="A522" s="4" t="s">
        <v>758</v>
      </c>
      <c r="B522" s="4" t="s">
        <v>761</v>
      </c>
      <c r="C522" s="23" t="s">
        <v>760</v>
      </c>
      <c r="F522" s="13">
        <v>0</v>
      </c>
      <c r="I522" s="4"/>
      <c r="J522" s="4"/>
      <c r="K522" s="4"/>
      <c r="L522" s="4"/>
      <c r="M522" s="4"/>
      <c r="N522" s="4"/>
      <c r="O522" s="4"/>
    </row>
    <row r="523" spans="1:15" ht="18">
      <c r="A523" s="4" t="s">
        <v>758</v>
      </c>
      <c r="B523" s="4" t="s">
        <v>763</v>
      </c>
      <c r="C523" s="23" t="s">
        <v>762</v>
      </c>
      <c r="F523" s="13">
        <v>1</v>
      </c>
      <c r="G523" s="21">
        <v>1</v>
      </c>
      <c r="I523" s="4">
        <v>3</v>
      </c>
      <c r="J523" s="4">
        <v>7</v>
      </c>
      <c r="K523" s="4" t="s">
        <v>756</v>
      </c>
      <c r="L523" s="4" t="s">
        <v>13</v>
      </c>
      <c r="M523" s="4">
        <v>2024</v>
      </c>
      <c r="N523" s="4">
        <v>1</v>
      </c>
      <c r="O523" s="4">
        <v>1</v>
      </c>
    </row>
    <row r="524" spans="1:15" ht="18">
      <c r="A524" s="4" t="s">
        <v>758</v>
      </c>
      <c r="B524" s="4" t="s">
        <v>765</v>
      </c>
      <c r="C524" s="23" t="s">
        <v>764</v>
      </c>
      <c r="F524" s="13">
        <v>1</v>
      </c>
      <c r="G524" s="21">
        <v>1</v>
      </c>
      <c r="I524" s="4">
        <v>4</v>
      </c>
      <c r="J524" s="4">
        <v>7</v>
      </c>
      <c r="K524" s="4" t="s">
        <v>756</v>
      </c>
      <c r="L524" s="4" t="s">
        <v>13</v>
      </c>
      <c r="M524" s="4">
        <v>2024</v>
      </c>
      <c r="N524" s="4">
        <v>1</v>
      </c>
      <c r="O524" s="4">
        <v>1</v>
      </c>
    </row>
    <row r="525" spans="1:15" ht="18">
      <c r="A525" s="4" t="s">
        <v>758</v>
      </c>
      <c r="B525" s="4" t="s">
        <v>767</v>
      </c>
      <c r="C525" s="23" t="s">
        <v>766</v>
      </c>
      <c r="F525" s="13">
        <v>0</v>
      </c>
      <c r="I525" s="4"/>
      <c r="J525" s="4"/>
      <c r="K525" s="4"/>
      <c r="L525" s="4"/>
      <c r="M525" s="4"/>
      <c r="N525" s="4"/>
      <c r="O525" s="4"/>
    </row>
    <row r="526" spans="1:15" ht="18">
      <c r="A526" s="4" t="s">
        <v>758</v>
      </c>
      <c r="B526" s="4" t="s">
        <v>770</v>
      </c>
      <c r="C526" s="23" t="s">
        <v>768</v>
      </c>
      <c r="F526" s="13">
        <v>0</v>
      </c>
      <c r="I526" s="4"/>
      <c r="J526" s="4"/>
      <c r="K526" s="4"/>
      <c r="L526" s="4"/>
      <c r="M526" s="4"/>
      <c r="N526" s="4"/>
      <c r="O526" s="4"/>
    </row>
    <row r="527" spans="1:15" ht="18">
      <c r="A527" s="4" t="s">
        <v>758</v>
      </c>
      <c r="B527" s="4" t="s">
        <v>771</v>
      </c>
      <c r="C527" s="23" t="s">
        <v>769</v>
      </c>
      <c r="F527" s="13">
        <v>0</v>
      </c>
      <c r="I527" s="4"/>
      <c r="J527" s="4"/>
      <c r="K527" s="4"/>
      <c r="L527" s="4"/>
      <c r="M527" s="4"/>
      <c r="N527" s="4"/>
      <c r="O527" s="4"/>
    </row>
    <row r="528" spans="1:15" ht="18">
      <c r="A528" s="4" t="s">
        <v>772</v>
      </c>
      <c r="B528" s="4" t="s">
        <v>773</v>
      </c>
      <c r="C528" s="23" t="s">
        <v>774</v>
      </c>
      <c r="F528" s="13">
        <v>0</v>
      </c>
      <c r="I528" s="4"/>
      <c r="J528" s="4"/>
      <c r="K528" s="4"/>
      <c r="L528" s="4"/>
      <c r="M528" s="4"/>
      <c r="N528" s="4"/>
      <c r="O528" s="4"/>
    </row>
    <row r="529" spans="1:15" ht="18">
      <c r="A529" s="4" t="s">
        <v>772</v>
      </c>
      <c r="B529" s="4" t="s">
        <v>782</v>
      </c>
      <c r="C529" s="23" t="s">
        <v>775</v>
      </c>
      <c r="F529" s="13">
        <v>0</v>
      </c>
      <c r="I529" s="4"/>
      <c r="J529" s="4"/>
      <c r="K529" s="4"/>
      <c r="L529" s="4"/>
      <c r="M529" s="4"/>
      <c r="N529" s="4"/>
      <c r="O529" s="4"/>
    </row>
    <row r="530" spans="1:15" ht="18">
      <c r="A530" s="26" t="s">
        <v>772</v>
      </c>
      <c r="B530" s="4" t="s">
        <v>783</v>
      </c>
      <c r="C530" s="23" t="s">
        <v>776</v>
      </c>
      <c r="F530" s="13">
        <v>1</v>
      </c>
      <c r="G530" s="21">
        <v>1</v>
      </c>
      <c r="I530" s="4">
        <v>3</v>
      </c>
      <c r="J530" s="4">
        <v>8</v>
      </c>
      <c r="K530" s="4" t="s">
        <v>756</v>
      </c>
      <c r="L530" s="4" t="s">
        <v>13</v>
      </c>
      <c r="M530" s="4">
        <v>2025</v>
      </c>
      <c r="N530" s="4">
        <v>1</v>
      </c>
      <c r="O530" s="4">
        <v>1</v>
      </c>
    </row>
    <row r="531" spans="1:15" ht="18">
      <c r="A531" s="26" t="s">
        <v>772</v>
      </c>
      <c r="B531" s="4" t="s">
        <v>784</v>
      </c>
      <c r="C531" s="23" t="s">
        <v>777</v>
      </c>
      <c r="F531" s="13">
        <v>0</v>
      </c>
      <c r="I531" s="4"/>
      <c r="J531" s="4"/>
      <c r="K531" s="4"/>
      <c r="L531" s="4"/>
      <c r="M531" s="4"/>
      <c r="N531" s="4"/>
      <c r="O531" s="4"/>
    </row>
    <row r="532" spans="1:15" ht="18">
      <c r="A532" s="26" t="s">
        <v>772</v>
      </c>
      <c r="B532" s="4" t="s">
        <v>785</v>
      </c>
      <c r="C532" s="23" t="s">
        <v>778</v>
      </c>
      <c r="F532" s="13">
        <v>0</v>
      </c>
      <c r="I532" s="4"/>
      <c r="J532" s="4"/>
      <c r="K532" s="4"/>
      <c r="L532" s="4"/>
      <c r="M532" s="4"/>
      <c r="N532" s="4"/>
      <c r="O532" s="4"/>
    </row>
    <row r="533" spans="1:15" ht="18">
      <c r="A533" s="4" t="s">
        <v>772</v>
      </c>
      <c r="B533" s="4" t="s">
        <v>786</v>
      </c>
      <c r="C533" s="23" t="s">
        <v>779</v>
      </c>
      <c r="F533" s="13">
        <v>1</v>
      </c>
      <c r="G533" s="21">
        <v>0</v>
      </c>
      <c r="I533" s="4">
        <v>6</v>
      </c>
      <c r="J533" s="4">
        <v>8</v>
      </c>
      <c r="K533" s="4" t="s">
        <v>756</v>
      </c>
      <c r="L533" s="4" t="s">
        <v>13</v>
      </c>
      <c r="M533" s="4">
        <v>2025</v>
      </c>
      <c r="N533" s="4">
        <v>1</v>
      </c>
      <c r="O533" s="4">
        <v>1</v>
      </c>
    </row>
    <row r="534" spans="1:15" ht="18">
      <c r="A534" s="4" t="s">
        <v>772</v>
      </c>
      <c r="B534" s="4" t="s">
        <v>787</v>
      </c>
      <c r="C534" s="23" t="s">
        <v>780</v>
      </c>
      <c r="F534" s="13">
        <v>0</v>
      </c>
      <c r="I534" s="4"/>
      <c r="J534" s="4"/>
      <c r="K534" s="4"/>
      <c r="L534" s="4"/>
      <c r="M534" s="4"/>
      <c r="N534" s="4"/>
      <c r="O534" s="4"/>
    </row>
    <row r="535" spans="1:15" ht="18">
      <c r="A535" s="4" t="s">
        <v>772</v>
      </c>
      <c r="B535" s="4" t="s">
        <v>788</v>
      </c>
      <c r="C535" s="23" t="s">
        <v>781</v>
      </c>
      <c r="F535" s="13">
        <v>0</v>
      </c>
      <c r="I535" s="4"/>
      <c r="J535" s="4"/>
      <c r="K535" s="4"/>
      <c r="L535" s="4"/>
      <c r="M535" s="4"/>
      <c r="N535" s="4"/>
      <c r="O535" s="4"/>
    </row>
    <row r="536" spans="1:15" ht="18">
      <c r="A536" s="4" t="s">
        <v>789</v>
      </c>
      <c r="B536" s="4" t="s">
        <v>790</v>
      </c>
      <c r="C536" s="23" t="s">
        <v>791</v>
      </c>
      <c r="F536" s="13">
        <v>0</v>
      </c>
      <c r="I536" s="4"/>
      <c r="J536" s="4"/>
      <c r="K536" s="4"/>
      <c r="L536" s="4"/>
      <c r="M536" s="4"/>
      <c r="N536" s="4"/>
      <c r="O536" s="4"/>
    </row>
    <row r="537" spans="1:15" ht="18">
      <c r="A537" s="4" t="s">
        <v>789</v>
      </c>
      <c r="B537" s="4" t="s">
        <v>792</v>
      </c>
      <c r="C537" s="23" t="s">
        <v>793</v>
      </c>
      <c r="F537" s="13">
        <v>0</v>
      </c>
      <c r="I537" s="4"/>
      <c r="J537" s="4"/>
      <c r="K537" s="4"/>
      <c r="L537" s="4"/>
      <c r="M537" s="4"/>
      <c r="N537" s="4"/>
      <c r="O537" s="4"/>
    </row>
    <row r="538" spans="1:15">
      <c r="A538" s="4" t="s">
        <v>789</v>
      </c>
      <c r="B538" s="4" t="s">
        <v>798</v>
      </c>
      <c r="C538" t="s">
        <v>794</v>
      </c>
      <c r="F538" s="13">
        <v>0</v>
      </c>
      <c r="I538" s="4"/>
      <c r="J538" s="4"/>
      <c r="K538" s="4"/>
      <c r="L538" s="4"/>
      <c r="M538" s="4"/>
      <c r="N538" s="4"/>
      <c r="O538" s="4"/>
    </row>
    <row r="539" spans="1:15" ht="18">
      <c r="A539" s="4" t="s">
        <v>789</v>
      </c>
      <c r="B539" s="4" t="s">
        <v>799</v>
      </c>
      <c r="C539" s="23" t="s">
        <v>795</v>
      </c>
      <c r="F539" s="13">
        <v>1</v>
      </c>
      <c r="G539" s="21">
        <v>0</v>
      </c>
      <c r="I539" s="4">
        <v>4</v>
      </c>
      <c r="J539" s="4">
        <v>6</v>
      </c>
      <c r="K539" s="4" t="s">
        <v>802</v>
      </c>
      <c r="L539" s="4" t="s">
        <v>13</v>
      </c>
      <c r="M539" s="4">
        <v>2025</v>
      </c>
      <c r="N539" s="4">
        <v>1</v>
      </c>
      <c r="O539" s="4">
        <v>1</v>
      </c>
    </row>
    <row r="540" spans="1:15">
      <c r="A540" s="4" t="s">
        <v>789</v>
      </c>
      <c r="B540" s="4" t="s">
        <v>800</v>
      </c>
      <c r="C540" t="s">
        <v>796</v>
      </c>
      <c r="F540" s="13">
        <v>0</v>
      </c>
      <c r="I540" s="4"/>
      <c r="J540" s="4"/>
      <c r="K540" s="4"/>
      <c r="L540" s="4"/>
      <c r="M540" s="4"/>
      <c r="N540" s="4"/>
      <c r="O540" s="4"/>
    </row>
    <row r="541" spans="1:15" ht="18">
      <c r="A541" s="4" t="s">
        <v>789</v>
      </c>
      <c r="B541" s="4" t="s">
        <v>801</v>
      </c>
      <c r="C541" s="23" t="s">
        <v>797</v>
      </c>
      <c r="F541" s="13">
        <v>0</v>
      </c>
      <c r="I541" s="4"/>
      <c r="J541" s="4"/>
      <c r="K541" s="4"/>
      <c r="L541" s="4"/>
      <c r="M541" s="4"/>
      <c r="N541" s="4"/>
      <c r="O541" s="4"/>
    </row>
    <row r="542" spans="1:15">
      <c r="A542" s="4" t="s">
        <v>803</v>
      </c>
      <c r="B542" s="4" t="s">
        <v>822</v>
      </c>
      <c r="C542" t="s">
        <v>804</v>
      </c>
      <c r="F542" s="13">
        <v>0</v>
      </c>
      <c r="I542" s="4"/>
      <c r="J542" s="4"/>
      <c r="K542" s="4"/>
      <c r="L542" s="4"/>
      <c r="M542" s="4"/>
      <c r="N542" s="4"/>
      <c r="O542" s="4"/>
    </row>
    <row r="543" spans="1:15">
      <c r="A543" s="4" t="s">
        <v>803</v>
      </c>
      <c r="B543" s="4" t="s">
        <v>823</v>
      </c>
      <c r="C543" t="s">
        <v>805</v>
      </c>
      <c r="F543" s="13">
        <v>0</v>
      </c>
      <c r="I543" s="4"/>
      <c r="J543" s="4"/>
      <c r="K543" s="4"/>
      <c r="L543" s="4"/>
      <c r="M543" s="4"/>
      <c r="N543" s="4"/>
      <c r="O543" s="4"/>
    </row>
    <row r="544" spans="1:15">
      <c r="A544" s="4" t="s">
        <v>803</v>
      </c>
      <c r="B544" s="4" t="s">
        <v>824</v>
      </c>
      <c r="C544" t="s">
        <v>806</v>
      </c>
      <c r="F544" s="13">
        <v>0</v>
      </c>
      <c r="I544" s="4"/>
      <c r="J544" s="4"/>
      <c r="K544" s="4"/>
      <c r="L544" s="4"/>
      <c r="M544" s="4"/>
      <c r="N544" s="4"/>
      <c r="O544" s="4"/>
    </row>
    <row r="545" spans="1:15">
      <c r="A545" s="4" t="s">
        <v>803</v>
      </c>
      <c r="B545" s="4" t="s">
        <v>825</v>
      </c>
      <c r="C545" t="s">
        <v>807</v>
      </c>
      <c r="F545" s="13">
        <v>1</v>
      </c>
      <c r="G545" s="21">
        <v>0</v>
      </c>
      <c r="I545" s="4">
        <v>4</v>
      </c>
      <c r="J545" s="4">
        <v>18</v>
      </c>
      <c r="K545" s="4" t="s">
        <v>840</v>
      </c>
      <c r="L545" s="4" t="s">
        <v>13</v>
      </c>
      <c r="M545" s="4">
        <v>2025</v>
      </c>
      <c r="N545" s="4">
        <v>1</v>
      </c>
      <c r="O545" s="4">
        <v>1</v>
      </c>
    </row>
    <row r="546" spans="1:15">
      <c r="A546" s="4" t="s">
        <v>803</v>
      </c>
      <c r="B546" s="4" t="s">
        <v>826</v>
      </c>
      <c r="C546" t="s">
        <v>808</v>
      </c>
      <c r="F546" s="13">
        <v>0</v>
      </c>
      <c r="I546" s="4"/>
      <c r="J546" s="4"/>
      <c r="K546" s="4"/>
      <c r="L546" s="4"/>
      <c r="M546" s="4"/>
      <c r="N546" s="4"/>
      <c r="O546" s="4"/>
    </row>
    <row r="547" spans="1:15">
      <c r="A547" s="4" t="s">
        <v>803</v>
      </c>
      <c r="B547" s="4" t="s">
        <v>827</v>
      </c>
      <c r="C547" t="s">
        <v>809</v>
      </c>
      <c r="F547" s="13">
        <v>0</v>
      </c>
      <c r="I547" s="4"/>
      <c r="J547" s="4"/>
      <c r="K547" s="4"/>
      <c r="L547" s="4"/>
      <c r="M547" s="4"/>
      <c r="N547" s="4"/>
      <c r="O547" s="4"/>
    </row>
    <row r="548" spans="1:15">
      <c r="A548" s="4" t="s">
        <v>803</v>
      </c>
      <c r="B548" s="4" t="s">
        <v>828</v>
      </c>
      <c r="C548" t="s">
        <v>810</v>
      </c>
      <c r="F548" s="13">
        <v>1</v>
      </c>
      <c r="G548" s="21">
        <v>0</v>
      </c>
      <c r="I548" s="4">
        <v>7</v>
      </c>
      <c r="J548" s="4">
        <v>18</v>
      </c>
      <c r="K548" s="4" t="s">
        <v>840</v>
      </c>
      <c r="L548" s="4" t="s">
        <v>13</v>
      </c>
      <c r="M548" s="4">
        <v>2025</v>
      </c>
      <c r="N548" s="4">
        <v>1</v>
      </c>
      <c r="O548" s="4">
        <v>1</v>
      </c>
    </row>
    <row r="549" spans="1:15">
      <c r="A549" s="4" t="s">
        <v>803</v>
      </c>
      <c r="B549" s="4" t="s">
        <v>829</v>
      </c>
      <c r="C549" t="s">
        <v>811</v>
      </c>
      <c r="F549" s="13">
        <v>1</v>
      </c>
      <c r="G549" s="21">
        <v>0</v>
      </c>
      <c r="I549" s="4">
        <v>8</v>
      </c>
      <c r="J549" s="4">
        <v>18</v>
      </c>
      <c r="K549" s="4" t="s">
        <v>840</v>
      </c>
      <c r="L549" s="4" t="s">
        <v>13</v>
      </c>
      <c r="M549" s="4">
        <v>2025</v>
      </c>
      <c r="N549" s="4">
        <v>1</v>
      </c>
      <c r="O549" s="4">
        <v>1</v>
      </c>
    </row>
    <row r="550" spans="1:15">
      <c r="A550" s="4" t="s">
        <v>803</v>
      </c>
      <c r="B550" s="4" t="s">
        <v>830</v>
      </c>
      <c r="C550" t="s">
        <v>812</v>
      </c>
      <c r="F550" s="13">
        <v>0</v>
      </c>
      <c r="I550" s="4"/>
      <c r="J550" s="4"/>
      <c r="K550" s="4"/>
      <c r="L550" s="4"/>
      <c r="M550" s="4"/>
      <c r="N550" s="4"/>
      <c r="O550" s="4"/>
    </row>
    <row r="551" spans="1:15">
      <c r="A551" s="4" t="s">
        <v>803</v>
      </c>
      <c r="B551" s="4" t="s">
        <v>831</v>
      </c>
      <c r="C551" t="s">
        <v>813</v>
      </c>
      <c r="F551" s="13">
        <v>0</v>
      </c>
      <c r="I551" s="4"/>
      <c r="J551" s="4"/>
      <c r="K551" s="4"/>
      <c r="L551" s="4"/>
      <c r="M551" s="4"/>
      <c r="N551" s="4"/>
      <c r="O551" s="4"/>
    </row>
    <row r="552" spans="1:15">
      <c r="A552" s="4" t="s">
        <v>803</v>
      </c>
      <c r="B552" s="4" t="s">
        <v>832</v>
      </c>
      <c r="C552" t="s">
        <v>814</v>
      </c>
      <c r="F552" s="13">
        <v>1</v>
      </c>
      <c r="G552" s="21">
        <v>0</v>
      </c>
      <c r="I552" s="4">
        <v>11</v>
      </c>
      <c r="J552" s="4">
        <v>18</v>
      </c>
      <c r="K552" s="4" t="s">
        <v>840</v>
      </c>
      <c r="L552" s="4" t="s">
        <v>13</v>
      </c>
      <c r="M552" s="4">
        <v>2025</v>
      </c>
      <c r="N552" s="4">
        <v>1</v>
      </c>
      <c r="O552" s="4">
        <v>1</v>
      </c>
    </row>
    <row r="553" spans="1:15">
      <c r="A553" s="4" t="s">
        <v>803</v>
      </c>
      <c r="B553" s="4" t="s">
        <v>833</v>
      </c>
      <c r="C553" t="s">
        <v>815</v>
      </c>
      <c r="F553" s="13">
        <v>0</v>
      </c>
      <c r="I553" s="4"/>
      <c r="J553" s="4"/>
      <c r="K553" s="4"/>
      <c r="L553" s="4"/>
      <c r="M553" s="4"/>
      <c r="N553" s="4"/>
      <c r="O553" s="4"/>
    </row>
    <row r="554" spans="1:15">
      <c r="A554" s="4" t="s">
        <v>803</v>
      </c>
      <c r="B554" s="4" t="s">
        <v>834</v>
      </c>
      <c r="C554" t="s">
        <v>816</v>
      </c>
      <c r="F554" s="13">
        <v>1</v>
      </c>
      <c r="G554" s="21">
        <v>0</v>
      </c>
      <c r="I554" s="4">
        <v>13</v>
      </c>
      <c r="J554" s="4">
        <v>18</v>
      </c>
      <c r="K554" s="4" t="s">
        <v>840</v>
      </c>
      <c r="L554" s="4" t="s">
        <v>13</v>
      </c>
      <c r="M554" s="4">
        <v>2025</v>
      </c>
      <c r="N554" s="4">
        <v>1</v>
      </c>
      <c r="O554" s="4">
        <v>1</v>
      </c>
    </row>
    <row r="555" spans="1:15">
      <c r="A555" s="4" t="s">
        <v>803</v>
      </c>
      <c r="B555" s="4" t="s">
        <v>835</v>
      </c>
      <c r="C555" t="s">
        <v>817</v>
      </c>
      <c r="F555" s="13">
        <v>1</v>
      </c>
      <c r="G555" s="21">
        <v>0</v>
      </c>
      <c r="I555" s="4">
        <v>14</v>
      </c>
      <c r="J555" s="4">
        <v>18</v>
      </c>
      <c r="K555" s="4" t="s">
        <v>840</v>
      </c>
      <c r="L555" s="4" t="s">
        <v>13</v>
      </c>
      <c r="M555" s="4">
        <v>2025</v>
      </c>
      <c r="N555" s="4">
        <v>1</v>
      </c>
      <c r="O555" s="4">
        <v>1</v>
      </c>
    </row>
    <row r="556" spans="1:15">
      <c r="A556" s="4" t="s">
        <v>803</v>
      </c>
      <c r="B556" s="4" t="s">
        <v>836</v>
      </c>
      <c r="C556" t="s">
        <v>818</v>
      </c>
      <c r="F556" s="13">
        <v>0</v>
      </c>
      <c r="I556" s="4"/>
      <c r="J556" s="4"/>
      <c r="K556" s="4"/>
      <c r="L556" s="4"/>
      <c r="M556" s="4"/>
      <c r="N556" s="4"/>
      <c r="O556" s="4"/>
    </row>
    <row r="557" spans="1:15">
      <c r="A557" s="4" t="s">
        <v>803</v>
      </c>
      <c r="B557" s="4" t="s">
        <v>837</v>
      </c>
      <c r="C557" t="s">
        <v>819</v>
      </c>
      <c r="F557" s="13">
        <v>0</v>
      </c>
      <c r="I557" s="4"/>
      <c r="J557" s="4"/>
      <c r="K557" s="4"/>
      <c r="L557" s="4"/>
      <c r="M557" s="4"/>
      <c r="N557" s="4"/>
      <c r="O557" s="4"/>
    </row>
    <row r="558" spans="1:15">
      <c r="A558" s="4" t="s">
        <v>803</v>
      </c>
      <c r="B558" s="4" t="s">
        <v>838</v>
      </c>
      <c r="C558" t="s">
        <v>820</v>
      </c>
      <c r="F558" s="13">
        <v>1</v>
      </c>
      <c r="G558" s="21">
        <v>0</v>
      </c>
      <c r="I558" s="4">
        <v>17</v>
      </c>
      <c r="J558" s="4">
        <v>18</v>
      </c>
      <c r="K558" s="4" t="s">
        <v>840</v>
      </c>
      <c r="L558" s="4" t="s">
        <v>13</v>
      </c>
      <c r="M558" s="4">
        <v>2025</v>
      </c>
      <c r="N558" s="4">
        <v>1</v>
      </c>
      <c r="O558" s="4">
        <v>1</v>
      </c>
    </row>
    <row r="559" spans="1:15">
      <c r="A559" s="4" t="s">
        <v>803</v>
      </c>
      <c r="B559" s="4" t="s">
        <v>839</v>
      </c>
      <c r="C559" t="s">
        <v>821</v>
      </c>
      <c r="F559" s="13">
        <v>0</v>
      </c>
      <c r="I559" s="4"/>
      <c r="J559" s="4"/>
      <c r="K559" s="4"/>
      <c r="L559" s="4"/>
      <c r="M559" s="4"/>
      <c r="N559" s="4"/>
      <c r="O559" s="4"/>
    </row>
    <row r="560" spans="1:15">
      <c r="A560" s="4" t="s">
        <v>842</v>
      </c>
      <c r="B560" s="4" t="s">
        <v>841</v>
      </c>
      <c r="C560" t="s">
        <v>843</v>
      </c>
      <c r="F560" s="13">
        <v>1</v>
      </c>
      <c r="G560" s="21">
        <v>1</v>
      </c>
      <c r="I560" s="4">
        <v>1</v>
      </c>
      <c r="J560" s="4">
        <v>11</v>
      </c>
      <c r="K560" s="4" t="s">
        <v>840</v>
      </c>
      <c r="L560" s="4" t="s">
        <v>13</v>
      </c>
      <c r="M560" s="4">
        <v>2024</v>
      </c>
      <c r="N560" s="4">
        <v>1</v>
      </c>
      <c r="O560" s="4">
        <v>1</v>
      </c>
    </row>
    <row r="561" spans="1:15">
      <c r="A561" s="4" t="s">
        <v>842</v>
      </c>
      <c r="B561" s="4" t="s">
        <v>854</v>
      </c>
      <c r="C561" t="s">
        <v>844</v>
      </c>
      <c r="F561" s="13">
        <v>1</v>
      </c>
      <c r="G561" s="21">
        <v>0</v>
      </c>
      <c r="I561" s="4">
        <v>2</v>
      </c>
      <c r="J561" s="4">
        <v>11</v>
      </c>
      <c r="K561" s="4" t="s">
        <v>840</v>
      </c>
      <c r="L561" s="4" t="s">
        <v>13</v>
      </c>
      <c r="M561" s="4">
        <v>2024</v>
      </c>
      <c r="N561" s="4">
        <v>1</v>
      </c>
      <c r="O561" s="4">
        <v>1</v>
      </c>
    </row>
    <row r="562" spans="1:15">
      <c r="A562" s="4" t="s">
        <v>842</v>
      </c>
      <c r="B562" s="4" t="s">
        <v>855</v>
      </c>
      <c r="C562" t="s">
        <v>845</v>
      </c>
      <c r="F562" s="13">
        <v>0</v>
      </c>
      <c r="I562" s="4"/>
      <c r="J562" s="4"/>
      <c r="K562" s="4"/>
      <c r="L562" s="4"/>
      <c r="M562" s="4"/>
      <c r="N562" s="4"/>
      <c r="O562" s="4"/>
    </row>
    <row r="563" spans="1:15">
      <c r="A563" s="4" t="s">
        <v>842</v>
      </c>
      <c r="B563" s="4" t="s">
        <v>856</v>
      </c>
      <c r="C563" t="s">
        <v>846</v>
      </c>
      <c r="F563" s="13">
        <v>0</v>
      </c>
      <c r="I563" s="4"/>
      <c r="J563" s="4"/>
      <c r="K563" s="4"/>
      <c r="L563" s="4"/>
      <c r="M563" s="4"/>
      <c r="N563" s="4"/>
      <c r="O563" s="4"/>
    </row>
    <row r="564" spans="1:15">
      <c r="A564" s="4" t="s">
        <v>842</v>
      </c>
      <c r="B564" s="4" t="s">
        <v>857</v>
      </c>
      <c r="C564" t="s">
        <v>847</v>
      </c>
      <c r="F564" s="13">
        <v>0</v>
      </c>
      <c r="I564" s="4"/>
      <c r="J564" s="4"/>
      <c r="K564" s="4"/>
      <c r="L564" s="4"/>
      <c r="M564" s="4"/>
      <c r="N564" s="4"/>
      <c r="O564" s="4"/>
    </row>
    <row r="565" spans="1:15">
      <c r="A565" s="4" t="s">
        <v>842</v>
      </c>
      <c r="B565" s="4" t="s">
        <v>858</v>
      </c>
      <c r="C565" t="s">
        <v>848</v>
      </c>
      <c r="F565" s="13">
        <v>0</v>
      </c>
      <c r="I565" s="4"/>
      <c r="J565" s="4"/>
      <c r="K565" s="4"/>
      <c r="L565" s="4"/>
      <c r="M565" s="4"/>
      <c r="N565" s="4"/>
      <c r="O565" s="4"/>
    </row>
    <row r="566" spans="1:15">
      <c r="A566" s="4" t="s">
        <v>842</v>
      </c>
      <c r="B566" s="4" t="s">
        <v>859</v>
      </c>
      <c r="C566" t="s">
        <v>849</v>
      </c>
      <c r="F566" s="13">
        <v>1</v>
      </c>
      <c r="G566" s="21">
        <v>1</v>
      </c>
      <c r="I566" s="4">
        <v>7</v>
      </c>
      <c r="J566" s="4">
        <v>11</v>
      </c>
      <c r="K566" s="4" t="s">
        <v>840</v>
      </c>
      <c r="L566" s="4" t="s">
        <v>13</v>
      </c>
      <c r="M566" s="4">
        <v>2024</v>
      </c>
      <c r="N566" s="4">
        <v>1</v>
      </c>
      <c r="O566" s="4">
        <v>1</v>
      </c>
    </row>
    <row r="567" spans="1:15">
      <c r="A567" s="4" t="s">
        <v>842</v>
      </c>
      <c r="B567" s="4" t="s">
        <v>860</v>
      </c>
      <c r="C567" t="s">
        <v>850</v>
      </c>
      <c r="F567" s="13">
        <v>1</v>
      </c>
      <c r="G567" s="21">
        <v>1</v>
      </c>
      <c r="I567" s="4">
        <v>8</v>
      </c>
      <c r="J567" s="4">
        <v>11</v>
      </c>
      <c r="K567" s="4" t="s">
        <v>840</v>
      </c>
      <c r="L567" s="4" t="s">
        <v>13</v>
      </c>
      <c r="M567" s="4">
        <v>2024</v>
      </c>
      <c r="N567" s="4">
        <v>1</v>
      </c>
      <c r="O567" s="4">
        <v>1</v>
      </c>
    </row>
    <row r="568" spans="1:15">
      <c r="A568" s="4" t="s">
        <v>842</v>
      </c>
      <c r="B568" s="4" t="s">
        <v>861</v>
      </c>
      <c r="C568" t="s">
        <v>851</v>
      </c>
      <c r="F568" s="13">
        <v>1</v>
      </c>
      <c r="G568" s="21">
        <v>0</v>
      </c>
      <c r="I568" s="4">
        <v>9</v>
      </c>
      <c r="J568" s="4">
        <v>11</v>
      </c>
      <c r="K568" s="4" t="s">
        <v>840</v>
      </c>
      <c r="L568" s="4" t="s">
        <v>13</v>
      </c>
      <c r="M568" s="4">
        <v>2024</v>
      </c>
      <c r="N568" s="4">
        <v>1</v>
      </c>
      <c r="O568" s="4">
        <v>1</v>
      </c>
    </row>
    <row r="569" spans="1:15">
      <c r="A569" s="4" t="s">
        <v>842</v>
      </c>
      <c r="B569" s="4" t="s">
        <v>862</v>
      </c>
      <c r="C569" t="s">
        <v>852</v>
      </c>
      <c r="F569" s="13">
        <v>0</v>
      </c>
      <c r="I569" s="4"/>
      <c r="J569" s="4"/>
      <c r="K569" s="4"/>
      <c r="L569" s="4"/>
      <c r="M569" s="4"/>
      <c r="N569" s="4"/>
      <c r="O569" s="4"/>
    </row>
    <row r="570" spans="1:15">
      <c r="A570" s="4" t="s">
        <v>842</v>
      </c>
      <c r="B570" s="4" t="s">
        <v>863</v>
      </c>
      <c r="C570" t="s">
        <v>853</v>
      </c>
      <c r="F570" s="13">
        <v>1</v>
      </c>
      <c r="G570" s="21">
        <v>0</v>
      </c>
      <c r="I570" s="4">
        <v>11</v>
      </c>
      <c r="J570" s="4">
        <v>11</v>
      </c>
      <c r="K570" s="4" t="s">
        <v>840</v>
      </c>
      <c r="L570" s="4" t="s">
        <v>13</v>
      </c>
      <c r="M570" s="4">
        <v>2024</v>
      </c>
      <c r="N570" s="4">
        <v>1</v>
      </c>
      <c r="O570" s="4">
        <v>1</v>
      </c>
    </row>
    <row r="571" spans="1:15">
      <c r="A571" s="4" t="s">
        <v>864</v>
      </c>
      <c r="B571" s="4" t="s">
        <v>865</v>
      </c>
      <c r="C571" t="s">
        <v>866</v>
      </c>
      <c r="F571" s="13">
        <v>0</v>
      </c>
      <c r="I571" s="4"/>
      <c r="J571" s="4"/>
      <c r="K571" s="4"/>
      <c r="L571" s="4"/>
      <c r="M571" s="4"/>
      <c r="N571" s="4"/>
      <c r="O571" s="4"/>
    </row>
    <row r="572" spans="1:15">
      <c r="A572" s="4" t="s">
        <v>864</v>
      </c>
      <c r="B572" s="4" t="s">
        <v>875</v>
      </c>
      <c r="C572" t="s">
        <v>867</v>
      </c>
      <c r="F572" s="13">
        <v>0</v>
      </c>
      <c r="I572" s="4"/>
      <c r="J572" s="4"/>
      <c r="K572" s="4"/>
      <c r="L572" s="4"/>
      <c r="M572" s="4"/>
      <c r="N572" s="4"/>
      <c r="O572" s="4"/>
    </row>
    <row r="573" spans="1:15">
      <c r="A573" s="4" t="s">
        <v>864</v>
      </c>
      <c r="B573" s="4" t="s">
        <v>876</v>
      </c>
      <c r="C573" t="s">
        <v>868</v>
      </c>
      <c r="F573" s="13">
        <v>0</v>
      </c>
      <c r="I573" s="4"/>
      <c r="J573" s="4"/>
      <c r="K573" s="4"/>
      <c r="L573" s="4"/>
      <c r="M573" s="4"/>
      <c r="N573" s="4"/>
      <c r="O573" s="4"/>
    </row>
    <row r="574" spans="1:15">
      <c r="A574" s="4" t="s">
        <v>864</v>
      </c>
      <c r="B574" s="4" t="s">
        <v>877</v>
      </c>
      <c r="C574" t="s">
        <v>869</v>
      </c>
      <c r="F574" s="13">
        <v>1</v>
      </c>
      <c r="G574" s="21">
        <v>0</v>
      </c>
      <c r="I574" s="4">
        <v>4</v>
      </c>
      <c r="J574" s="4">
        <v>9</v>
      </c>
      <c r="K574" s="4" t="s">
        <v>840</v>
      </c>
      <c r="L574" s="4" t="s">
        <v>13</v>
      </c>
      <c r="M574" s="4">
        <v>2023</v>
      </c>
      <c r="N574" s="4">
        <v>1</v>
      </c>
      <c r="O574" s="4">
        <v>1</v>
      </c>
    </row>
    <row r="575" spans="1:15">
      <c r="A575" s="4" t="s">
        <v>864</v>
      </c>
      <c r="B575" s="4" t="s">
        <v>878</v>
      </c>
      <c r="C575" t="s">
        <v>870</v>
      </c>
      <c r="F575" s="13">
        <v>1</v>
      </c>
      <c r="G575" s="21">
        <v>0</v>
      </c>
      <c r="I575" s="4">
        <v>5</v>
      </c>
      <c r="J575" s="4">
        <v>9</v>
      </c>
      <c r="K575" s="4" t="s">
        <v>840</v>
      </c>
      <c r="L575" s="4" t="s">
        <v>13</v>
      </c>
      <c r="M575" s="4">
        <v>2023</v>
      </c>
      <c r="N575" s="4">
        <v>1</v>
      </c>
      <c r="O575" s="4">
        <v>1</v>
      </c>
    </row>
    <row r="576" spans="1:15">
      <c r="A576" s="4" t="s">
        <v>864</v>
      </c>
      <c r="B576" s="4" t="s">
        <v>879</v>
      </c>
      <c r="C576" t="s">
        <v>871</v>
      </c>
      <c r="F576" s="13">
        <v>1</v>
      </c>
      <c r="G576" s="21">
        <v>0</v>
      </c>
      <c r="I576" s="4">
        <v>6</v>
      </c>
      <c r="J576" s="4">
        <v>9</v>
      </c>
      <c r="K576" s="4" t="s">
        <v>840</v>
      </c>
      <c r="L576" s="4" t="s">
        <v>13</v>
      </c>
      <c r="M576" s="4">
        <v>2023</v>
      </c>
      <c r="N576" s="4">
        <v>1</v>
      </c>
      <c r="O576" s="4">
        <v>1</v>
      </c>
    </row>
    <row r="577" spans="1:15">
      <c r="A577" s="4" t="s">
        <v>864</v>
      </c>
      <c r="B577" s="4" t="s">
        <v>880</v>
      </c>
      <c r="C577" t="s">
        <v>872</v>
      </c>
      <c r="F577" s="13">
        <v>0</v>
      </c>
      <c r="I577" s="4"/>
      <c r="J577" s="4"/>
      <c r="K577" s="4"/>
      <c r="L577" s="4"/>
      <c r="M577" s="4"/>
      <c r="N577" s="4"/>
      <c r="O577" s="4"/>
    </row>
    <row r="578" spans="1:15">
      <c r="A578" s="4" t="s">
        <v>864</v>
      </c>
      <c r="B578" s="4" t="s">
        <v>881</v>
      </c>
      <c r="C578" t="s">
        <v>873</v>
      </c>
      <c r="F578" s="13">
        <v>1</v>
      </c>
      <c r="G578" s="21">
        <v>0</v>
      </c>
      <c r="I578" s="4">
        <v>8</v>
      </c>
      <c r="J578" s="4">
        <v>9</v>
      </c>
      <c r="K578" s="4" t="s">
        <v>840</v>
      </c>
      <c r="L578" s="4" t="s">
        <v>13</v>
      </c>
      <c r="M578" s="4">
        <v>2023</v>
      </c>
      <c r="N578" s="4">
        <v>1</v>
      </c>
      <c r="O578" s="4">
        <v>1</v>
      </c>
    </row>
    <row r="579" spans="1:15">
      <c r="A579" s="4" t="s">
        <v>864</v>
      </c>
      <c r="B579" s="4" t="s">
        <v>882</v>
      </c>
      <c r="C579" t="s">
        <v>874</v>
      </c>
      <c r="F579" s="13">
        <v>0</v>
      </c>
      <c r="I579" s="4"/>
      <c r="J579" s="4"/>
      <c r="K579" s="4"/>
      <c r="L579" s="4"/>
      <c r="M579" s="4"/>
      <c r="N579" s="4"/>
      <c r="O579" s="4"/>
    </row>
    <row r="580" spans="1:15">
      <c r="A580" s="4" t="s">
        <v>883</v>
      </c>
      <c r="B580" s="4" t="s">
        <v>884</v>
      </c>
      <c r="C580" t="s">
        <v>885</v>
      </c>
      <c r="F580" s="13">
        <v>1</v>
      </c>
      <c r="G580" s="21">
        <v>0</v>
      </c>
      <c r="I580" s="4">
        <v>1</v>
      </c>
      <c r="J580" s="4">
        <v>8</v>
      </c>
      <c r="K580" s="4" t="s">
        <v>840</v>
      </c>
      <c r="L580" s="4" t="s">
        <v>13</v>
      </c>
      <c r="M580" s="4">
        <v>2019</v>
      </c>
      <c r="N580" s="4">
        <v>1</v>
      </c>
      <c r="O580" s="4">
        <v>1</v>
      </c>
    </row>
    <row r="581" spans="1:15">
      <c r="A581" s="4" t="s">
        <v>883</v>
      </c>
      <c r="B581" s="4" t="s">
        <v>894</v>
      </c>
      <c r="C581" t="s">
        <v>886</v>
      </c>
      <c r="F581" s="13">
        <v>0</v>
      </c>
      <c r="I581" s="4"/>
      <c r="J581" s="4"/>
      <c r="K581" s="4"/>
      <c r="L581" s="4"/>
      <c r="M581" s="4"/>
      <c r="N581" s="4"/>
      <c r="O581" s="4"/>
    </row>
    <row r="582" spans="1:15">
      <c r="A582" s="4" t="s">
        <v>883</v>
      </c>
      <c r="B582" s="4" t="s">
        <v>895</v>
      </c>
      <c r="C582" t="s">
        <v>887</v>
      </c>
      <c r="F582" s="13">
        <v>0</v>
      </c>
      <c r="I582" s="4"/>
      <c r="J582" s="4"/>
      <c r="K582" s="4"/>
      <c r="L582" s="4"/>
      <c r="M582" s="4"/>
      <c r="N582" s="4"/>
      <c r="O582" s="4"/>
    </row>
    <row r="583" spans="1:15">
      <c r="A583" s="4" t="s">
        <v>883</v>
      </c>
      <c r="B583" s="4" t="s">
        <v>896</v>
      </c>
      <c r="C583" t="s">
        <v>888</v>
      </c>
      <c r="F583" s="13">
        <v>1</v>
      </c>
      <c r="G583" s="21">
        <v>0</v>
      </c>
      <c r="I583" s="4">
        <v>4</v>
      </c>
      <c r="J583" s="4">
        <v>8</v>
      </c>
      <c r="K583" s="4" t="s">
        <v>840</v>
      </c>
      <c r="L583" s="4" t="s">
        <v>13</v>
      </c>
      <c r="M583" s="4">
        <v>2019</v>
      </c>
      <c r="N583" s="4">
        <v>1</v>
      </c>
      <c r="O583" s="4">
        <v>1</v>
      </c>
    </row>
    <row r="584" spans="1:15">
      <c r="A584" s="4" t="s">
        <v>883</v>
      </c>
      <c r="B584" s="4" t="s">
        <v>897</v>
      </c>
      <c r="C584" t="s">
        <v>889</v>
      </c>
      <c r="F584" s="13">
        <v>0</v>
      </c>
      <c r="I584" s="4"/>
      <c r="J584" s="4"/>
      <c r="K584" s="4"/>
      <c r="L584" s="4"/>
      <c r="M584" s="4"/>
      <c r="N584" s="4"/>
      <c r="O584" s="4"/>
    </row>
    <row r="585" spans="1:15">
      <c r="A585" s="4" t="s">
        <v>883</v>
      </c>
      <c r="B585" s="4" t="s">
        <v>898</v>
      </c>
      <c r="C585" t="s">
        <v>890</v>
      </c>
      <c r="F585" s="13">
        <v>0</v>
      </c>
      <c r="I585" s="4"/>
      <c r="J585" s="4"/>
      <c r="K585" s="4"/>
      <c r="L585" s="4"/>
      <c r="M585" s="4"/>
      <c r="N585" s="4"/>
      <c r="O585" s="4"/>
    </row>
    <row r="586" spans="1:15">
      <c r="A586" s="4" t="s">
        <v>883</v>
      </c>
      <c r="B586" s="4" t="s">
        <v>899</v>
      </c>
      <c r="C586" t="s">
        <v>891</v>
      </c>
      <c r="F586" s="13">
        <v>0</v>
      </c>
      <c r="I586" s="4"/>
      <c r="J586" s="4"/>
      <c r="K586" s="4"/>
      <c r="L586" s="4"/>
      <c r="M586" s="4"/>
      <c r="N586" s="4"/>
      <c r="O586" s="4"/>
    </row>
    <row r="587" spans="1:15">
      <c r="A587" s="4" t="s">
        <v>883</v>
      </c>
      <c r="B587" s="4" t="s">
        <v>900</v>
      </c>
      <c r="C587" t="s">
        <v>892</v>
      </c>
      <c r="F587" s="13">
        <v>0</v>
      </c>
      <c r="I587" s="4"/>
      <c r="J587" s="4"/>
      <c r="K587" s="4"/>
      <c r="L587" s="4"/>
      <c r="M587" s="4"/>
      <c r="N587" s="4"/>
      <c r="O587" s="4"/>
    </row>
    <row r="588" spans="1:15">
      <c r="A588" s="4" t="s">
        <v>902</v>
      </c>
      <c r="B588" s="4" t="s">
        <v>901</v>
      </c>
      <c r="C588" t="s">
        <v>893</v>
      </c>
      <c r="F588" s="13">
        <v>0</v>
      </c>
      <c r="I588" s="4"/>
      <c r="J588" s="4"/>
      <c r="K588" s="4"/>
      <c r="L588" s="4"/>
      <c r="M588" s="4"/>
      <c r="N588" s="4"/>
      <c r="O588" s="4"/>
    </row>
    <row r="589" spans="1:15">
      <c r="A589" s="4" t="s">
        <v>902</v>
      </c>
      <c r="B589" s="4" t="s">
        <v>908</v>
      </c>
      <c r="C589" t="s">
        <v>903</v>
      </c>
      <c r="F589" s="13">
        <v>0</v>
      </c>
      <c r="I589" s="4"/>
      <c r="J589" s="4"/>
      <c r="K589" s="4"/>
      <c r="L589" s="4"/>
      <c r="M589" s="4"/>
      <c r="N589" s="4"/>
      <c r="O589" s="4"/>
    </row>
    <row r="590" spans="1:15">
      <c r="A590" s="4" t="s">
        <v>902</v>
      </c>
      <c r="B590" s="4" t="s">
        <v>909</v>
      </c>
      <c r="C590" t="s">
        <v>904</v>
      </c>
      <c r="F590" s="13">
        <v>0</v>
      </c>
      <c r="I590" s="4"/>
      <c r="J590" s="4"/>
      <c r="K590" s="4"/>
      <c r="L590" s="4"/>
      <c r="M590" s="4"/>
      <c r="N590" s="4"/>
      <c r="O590" s="4"/>
    </row>
    <row r="591" spans="1:15">
      <c r="A591" s="4" t="s">
        <v>902</v>
      </c>
      <c r="B591" s="4" t="s">
        <v>910</v>
      </c>
      <c r="C591" t="s">
        <v>905</v>
      </c>
      <c r="F591" s="13">
        <v>0</v>
      </c>
      <c r="I591" s="4"/>
      <c r="J591" s="4"/>
      <c r="K591" s="4"/>
      <c r="L591" s="4"/>
      <c r="M591" s="4"/>
      <c r="N591" s="4"/>
      <c r="O591" s="4"/>
    </row>
    <row r="592" spans="1:15">
      <c r="A592" s="4" t="s">
        <v>902</v>
      </c>
      <c r="B592" s="4" t="s">
        <v>911</v>
      </c>
      <c r="C592" t="s">
        <v>906</v>
      </c>
      <c r="F592" s="13">
        <v>1</v>
      </c>
      <c r="G592" s="21">
        <v>0</v>
      </c>
      <c r="I592" s="4">
        <v>5</v>
      </c>
      <c r="J592" s="4">
        <v>6</v>
      </c>
      <c r="K592" s="4" t="s">
        <v>840</v>
      </c>
      <c r="L592" s="4" t="s">
        <v>13</v>
      </c>
      <c r="M592" s="4">
        <v>2021</v>
      </c>
      <c r="N592" s="4">
        <v>1</v>
      </c>
      <c r="O592" s="4">
        <v>1</v>
      </c>
    </row>
    <row r="593" spans="1:15">
      <c r="A593" s="4" t="s">
        <v>902</v>
      </c>
      <c r="B593" s="4" t="s">
        <v>912</v>
      </c>
      <c r="C593" t="s">
        <v>907</v>
      </c>
      <c r="F593" s="13">
        <v>0</v>
      </c>
      <c r="I593" s="4"/>
      <c r="J593" s="4"/>
      <c r="K593" s="4"/>
      <c r="L593" s="4"/>
      <c r="M593" s="4"/>
      <c r="N593" s="4"/>
      <c r="O593" s="4"/>
    </row>
    <row r="594" spans="1:15">
      <c r="A594" s="4" t="s">
        <v>914</v>
      </c>
      <c r="B594" s="4" t="s">
        <v>913</v>
      </c>
      <c r="C594" t="s">
        <v>915</v>
      </c>
      <c r="F594" s="13">
        <v>0</v>
      </c>
      <c r="I594" s="4"/>
      <c r="J594" s="4"/>
      <c r="K594" s="4"/>
      <c r="L594" s="4"/>
      <c r="M594" s="4"/>
      <c r="N594" s="4"/>
      <c r="O594" s="4"/>
    </row>
    <row r="595" spans="1:15">
      <c r="A595" s="4" t="s">
        <v>914</v>
      </c>
      <c r="B595" s="4" t="s">
        <v>923</v>
      </c>
      <c r="C595" t="s">
        <v>916</v>
      </c>
      <c r="F595" s="13">
        <v>0</v>
      </c>
      <c r="I595" s="4"/>
      <c r="J595" s="4"/>
      <c r="K595" s="4"/>
      <c r="L595" s="4"/>
      <c r="M595" s="4"/>
      <c r="N595" s="4"/>
      <c r="O595" s="4"/>
    </row>
    <row r="596" spans="1:15">
      <c r="A596" s="4" t="s">
        <v>914</v>
      </c>
      <c r="B596" s="4" t="s">
        <v>924</v>
      </c>
      <c r="C596" t="s">
        <v>917</v>
      </c>
      <c r="F596" s="13">
        <v>1</v>
      </c>
      <c r="G596" s="21">
        <v>0</v>
      </c>
      <c r="I596" s="4">
        <v>3</v>
      </c>
      <c r="J596" s="4">
        <v>8</v>
      </c>
      <c r="K596" s="4" t="s">
        <v>840</v>
      </c>
      <c r="L596" s="4" t="s">
        <v>13</v>
      </c>
      <c r="M596" s="4">
        <v>2022</v>
      </c>
      <c r="N596" s="4">
        <v>1</v>
      </c>
      <c r="O596" s="4">
        <v>1</v>
      </c>
    </row>
    <row r="597" spans="1:15">
      <c r="A597" s="4" t="s">
        <v>914</v>
      </c>
      <c r="B597" s="4" t="s">
        <v>925</v>
      </c>
      <c r="C597" t="s">
        <v>918</v>
      </c>
      <c r="F597" s="13">
        <v>0</v>
      </c>
      <c r="I597" s="4"/>
      <c r="J597" s="4"/>
      <c r="K597" s="4"/>
      <c r="L597" s="4"/>
      <c r="M597" s="4"/>
      <c r="N597" s="4"/>
      <c r="O597" s="4"/>
    </row>
    <row r="598" spans="1:15">
      <c r="A598" s="4" t="s">
        <v>914</v>
      </c>
      <c r="B598" s="4" t="s">
        <v>926</v>
      </c>
      <c r="C598" t="s">
        <v>919</v>
      </c>
      <c r="F598" s="13">
        <v>0</v>
      </c>
      <c r="I598" s="4"/>
      <c r="J598" s="4"/>
      <c r="K598" s="4"/>
      <c r="L598" s="4"/>
      <c r="M598" s="4"/>
      <c r="N598" s="4"/>
      <c r="O598" s="4"/>
    </row>
    <row r="599" spans="1:15">
      <c r="A599" s="4" t="s">
        <v>914</v>
      </c>
      <c r="B599" s="4" t="s">
        <v>927</v>
      </c>
      <c r="C599" t="s">
        <v>920</v>
      </c>
      <c r="F599" s="13">
        <v>0</v>
      </c>
      <c r="I599" s="4"/>
      <c r="J599" s="4"/>
      <c r="K599" s="4"/>
      <c r="L599" s="4"/>
      <c r="M599" s="4"/>
      <c r="N599" s="4"/>
      <c r="O599" s="4"/>
    </row>
    <row r="600" spans="1:15">
      <c r="A600" s="4" t="s">
        <v>914</v>
      </c>
      <c r="B600" s="4" t="s">
        <v>928</v>
      </c>
      <c r="C600" t="s">
        <v>921</v>
      </c>
      <c r="F600" s="13">
        <v>0</v>
      </c>
      <c r="I600" s="4"/>
      <c r="J600" s="4"/>
      <c r="K600" s="4"/>
      <c r="L600" s="4"/>
      <c r="M600" s="4"/>
      <c r="N600" s="4"/>
      <c r="O600" s="4"/>
    </row>
    <row r="601" spans="1:15">
      <c r="A601" s="4" t="s">
        <v>914</v>
      </c>
      <c r="B601" s="4" t="s">
        <v>929</v>
      </c>
      <c r="C601" t="s">
        <v>922</v>
      </c>
      <c r="F601" s="13">
        <v>0</v>
      </c>
      <c r="I601" s="4"/>
      <c r="J601" s="4"/>
      <c r="K601" s="4"/>
      <c r="L601" s="4"/>
      <c r="M601" s="4"/>
      <c r="N601" s="4"/>
      <c r="O601" s="4"/>
    </row>
    <row r="602" spans="1:15">
      <c r="A602" s="4" t="s">
        <v>930</v>
      </c>
      <c r="B602" s="4" t="s">
        <v>931</v>
      </c>
      <c r="C602" t="s">
        <v>932</v>
      </c>
      <c r="F602" s="13">
        <v>0</v>
      </c>
      <c r="I602" s="4"/>
      <c r="J602" s="4"/>
      <c r="K602" s="4"/>
      <c r="L602" s="4"/>
      <c r="M602" s="4"/>
      <c r="N602" s="4"/>
      <c r="O602" s="4"/>
    </row>
    <row r="603" spans="1:15">
      <c r="A603" s="4" t="s">
        <v>930</v>
      </c>
      <c r="B603" s="4" t="s">
        <v>938</v>
      </c>
      <c r="C603" t="s">
        <v>933</v>
      </c>
      <c r="F603" s="13">
        <v>1</v>
      </c>
      <c r="G603" s="21">
        <v>1</v>
      </c>
      <c r="I603" s="4">
        <v>2</v>
      </c>
      <c r="J603" s="4">
        <v>6</v>
      </c>
      <c r="K603" s="4" t="s">
        <v>943</v>
      </c>
      <c r="L603" s="4" t="s">
        <v>13</v>
      </c>
      <c r="M603" s="4">
        <v>2025</v>
      </c>
      <c r="N603" s="4">
        <v>1</v>
      </c>
      <c r="O603" s="4">
        <v>1</v>
      </c>
    </row>
    <row r="604" spans="1:15">
      <c r="A604" s="4" t="s">
        <v>930</v>
      </c>
      <c r="B604" s="4" t="s">
        <v>939</v>
      </c>
      <c r="C604" t="s">
        <v>934</v>
      </c>
      <c r="F604" s="13">
        <v>1</v>
      </c>
      <c r="G604" s="21">
        <v>1</v>
      </c>
      <c r="I604" s="4">
        <v>3</v>
      </c>
      <c r="J604" s="4">
        <v>6</v>
      </c>
      <c r="K604" s="4" t="s">
        <v>943</v>
      </c>
      <c r="L604" s="4" t="s">
        <v>13</v>
      </c>
      <c r="M604" s="4">
        <v>2025</v>
      </c>
      <c r="N604" s="4">
        <v>1</v>
      </c>
      <c r="O604" s="4">
        <v>1</v>
      </c>
    </row>
    <row r="605" spans="1:15">
      <c r="A605" s="4" t="s">
        <v>930</v>
      </c>
      <c r="B605" s="4" t="s">
        <v>940</v>
      </c>
      <c r="C605" t="s">
        <v>935</v>
      </c>
      <c r="F605" s="13">
        <v>1</v>
      </c>
      <c r="G605" s="21">
        <v>1</v>
      </c>
      <c r="I605" s="4">
        <v>4</v>
      </c>
      <c r="J605" s="4">
        <v>6</v>
      </c>
      <c r="K605" s="4" t="s">
        <v>943</v>
      </c>
      <c r="L605" s="4" t="s">
        <v>13</v>
      </c>
      <c r="M605" s="4">
        <v>2025</v>
      </c>
      <c r="N605" s="4">
        <v>1</v>
      </c>
      <c r="O605" s="4">
        <v>1</v>
      </c>
    </row>
    <row r="606" spans="1:15">
      <c r="A606" s="4" t="s">
        <v>930</v>
      </c>
      <c r="B606" s="4" t="s">
        <v>941</v>
      </c>
      <c r="C606" s="28" t="s">
        <v>936</v>
      </c>
      <c r="F606" s="13">
        <v>1</v>
      </c>
      <c r="G606" s="21">
        <v>0</v>
      </c>
      <c r="I606" s="4">
        <v>5</v>
      </c>
      <c r="J606" s="4">
        <v>6</v>
      </c>
      <c r="K606" s="4" t="s">
        <v>943</v>
      </c>
      <c r="L606" s="4" t="s">
        <v>13</v>
      </c>
      <c r="M606" s="4">
        <v>2025</v>
      </c>
      <c r="N606" s="4">
        <v>1</v>
      </c>
      <c r="O606" s="4">
        <v>1</v>
      </c>
    </row>
    <row r="607" spans="1:15">
      <c r="A607" s="4" t="s">
        <v>930</v>
      </c>
      <c r="B607" s="4" t="s">
        <v>942</v>
      </c>
      <c r="C607" t="s">
        <v>937</v>
      </c>
      <c r="F607" s="13">
        <v>1</v>
      </c>
      <c r="G607" s="21">
        <v>0</v>
      </c>
      <c r="I607" s="4">
        <v>6</v>
      </c>
      <c r="J607" s="4">
        <v>6</v>
      </c>
      <c r="K607" s="4" t="s">
        <v>943</v>
      </c>
      <c r="L607" s="4" t="s">
        <v>13</v>
      </c>
      <c r="M607" s="4">
        <v>2025</v>
      </c>
      <c r="N607" s="4">
        <v>1</v>
      </c>
      <c r="O607" s="4">
        <v>1</v>
      </c>
    </row>
    <row r="608" spans="1:15">
      <c r="A608" s="4" t="s">
        <v>945</v>
      </c>
      <c r="B608" s="4" t="s">
        <v>946</v>
      </c>
      <c r="C608" t="s">
        <v>947</v>
      </c>
      <c r="F608" s="13">
        <v>1</v>
      </c>
      <c r="G608" s="21">
        <v>1</v>
      </c>
      <c r="I608" s="4">
        <v>1</v>
      </c>
      <c r="J608" s="4">
        <v>6</v>
      </c>
      <c r="K608" s="4" t="s">
        <v>958</v>
      </c>
      <c r="L608" s="4" t="s">
        <v>13</v>
      </c>
      <c r="M608" s="4">
        <v>2024</v>
      </c>
      <c r="N608" s="4">
        <v>1</v>
      </c>
      <c r="O608" s="4">
        <v>1</v>
      </c>
    </row>
    <row r="609" spans="1:15">
      <c r="A609" s="4" t="s">
        <v>945</v>
      </c>
      <c r="B609" s="4" t="s">
        <v>953</v>
      </c>
      <c r="C609" t="s">
        <v>948</v>
      </c>
      <c r="F609" s="13">
        <v>1</v>
      </c>
      <c r="G609" s="21">
        <v>0</v>
      </c>
      <c r="I609" s="4">
        <v>2</v>
      </c>
      <c r="J609" s="4">
        <v>6</v>
      </c>
      <c r="K609" s="4" t="s">
        <v>958</v>
      </c>
      <c r="L609" s="4" t="s">
        <v>13</v>
      </c>
      <c r="M609" s="4">
        <v>2024</v>
      </c>
      <c r="N609" s="4">
        <v>1</v>
      </c>
      <c r="O609" s="4">
        <v>1</v>
      </c>
    </row>
    <row r="610" spans="1:15">
      <c r="A610" s="4" t="s">
        <v>945</v>
      </c>
      <c r="B610" s="4" t="s">
        <v>954</v>
      </c>
      <c r="C610" t="s">
        <v>949</v>
      </c>
      <c r="F610" s="13">
        <v>1</v>
      </c>
      <c r="G610" s="21">
        <v>0</v>
      </c>
      <c r="I610" s="4">
        <v>3</v>
      </c>
      <c r="J610" s="4">
        <v>6</v>
      </c>
      <c r="K610" s="4" t="s">
        <v>958</v>
      </c>
      <c r="L610" s="4" t="s">
        <v>13</v>
      </c>
      <c r="M610" s="4">
        <v>2024</v>
      </c>
      <c r="N610" s="4">
        <v>1</v>
      </c>
      <c r="O610" s="4">
        <v>1</v>
      </c>
    </row>
    <row r="611" spans="1:15">
      <c r="A611" s="4" t="s">
        <v>945</v>
      </c>
      <c r="B611" s="4" t="s">
        <v>955</v>
      </c>
      <c r="C611" t="s">
        <v>950</v>
      </c>
      <c r="F611" s="13">
        <v>1</v>
      </c>
      <c r="G611" s="21">
        <v>0</v>
      </c>
      <c r="I611" s="4">
        <v>4</v>
      </c>
      <c r="J611" s="4">
        <v>6</v>
      </c>
      <c r="K611" s="4" t="s">
        <v>958</v>
      </c>
      <c r="L611" s="4" t="s">
        <v>13</v>
      </c>
      <c r="M611" s="4">
        <v>2024</v>
      </c>
      <c r="N611" s="4">
        <v>1</v>
      </c>
      <c r="O611" s="4">
        <v>1</v>
      </c>
    </row>
    <row r="612" spans="1:15">
      <c r="A612" s="4" t="s">
        <v>945</v>
      </c>
      <c r="B612" s="4" t="s">
        <v>956</v>
      </c>
      <c r="C612" t="s">
        <v>951</v>
      </c>
      <c r="F612" s="13">
        <v>1</v>
      </c>
      <c r="G612" s="21">
        <v>0</v>
      </c>
      <c r="I612" s="4">
        <v>5</v>
      </c>
      <c r="J612" s="4">
        <v>6</v>
      </c>
      <c r="K612" s="4" t="s">
        <v>958</v>
      </c>
      <c r="L612" s="4" t="s">
        <v>13</v>
      </c>
      <c r="M612" s="4">
        <v>2024</v>
      </c>
      <c r="N612" s="4">
        <v>1</v>
      </c>
      <c r="O612" s="4">
        <v>1</v>
      </c>
    </row>
    <row r="613" spans="1:15">
      <c r="A613" s="4" t="s">
        <v>945</v>
      </c>
      <c r="B613" s="4" t="s">
        <v>957</v>
      </c>
      <c r="C613" t="s">
        <v>952</v>
      </c>
      <c r="F613" s="13">
        <v>1</v>
      </c>
      <c r="G613" s="21">
        <v>0</v>
      </c>
      <c r="I613" s="4">
        <v>6</v>
      </c>
      <c r="J613" s="4">
        <v>6</v>
      </c>
      <c r="K613" s="4" t="s">
        <v>958</v>
      </c>
      <c r="L613" s="4" t="s">
        <v>13</v>
      </c>
      <c r="M613" s="4">
        <v>2024</v>
      </c>
      <c r="N613" s="4">
        <v>1</v>
      </c>
      <c r="O613" s="4">
        <v>1</v>
      </c>
    </row>
    <row r="614" spans="1:15">
      <c r="A614" s="4" t="s">
        <v>944</v>
      </c>
      <c r="B614" s="4" t="s">
        <v>959</v>
      </c>
      <c r="C614" t="s">
        <v>960</v>
      </c>
      <c r="F614" s="13">
        <v>1</v>
      </c>
      <c r="G614" s="21">
        <v>0</v>
      </c>
      <c r="I614" s="4">
        <v>1</v>
      </c>
      <c r="J614" s="4">
        <v>4</v>
      </c>
      <c r="K614" s="4" t="s">
        <v>958</v>
      </c>
      <c r="L614" s="4" t="s">
        <v>13</v>
      </c>
      <c r="M614" s="4">
        <v>2025</v>
      </c>
      <c r="N614" s="4">
        <v>1</v>
      </c>
      <c r="O614" s="4">
        <v>1</v>
      </c>
    </row>
    <row r="615" spans="1:15">
      <c r="A615" s="4" t="s">
        <v>944</v>
      </c>
      <c r="B615" s="4" t="s">
        <v>965</v>
      </c>
      <c r="C615" t="s">
        <v>961</v>
      </c>
      <c r="F615" s="13">
        <v>1</v>
      </c>
      <c r="G615" s="21">
        <v>1</v>
      </c>
      <c r="I615" s="4">
        <v>2</v>
      </c>
      <c r="J615" s="4">
        <v>4</v>
      </c>
      <c r="K615" s="4" t="s">
        <v>958</v>
      </c>
      <c r="L615" s="4" t="s">
        <v>13</v>
      </c>
      <c r="M615" s="4">
        <v>2025</v>
      </c>
      <c r="N615" s="4">
        <v>1</v>
      </c>
      <c r="O615" s="4">
        <v>1</v>
      </c>
    </row>
    <row r="616" spans="1:15">
      <c r="A616" s="4" t="s">
        <v>944</v>
      </c>
      <c r="B616" s="4" t="s">
        <v>966</v>
      </c>
      <c r="C616" t="s">
        <v>962</v>
      </c>
      <c r="F616" s="13">
        <v>1</v>
      </c>
      <c r="G616" s="21">
        <v>1</v>
      </c>
      <c r="I616" s="4">
        <v>3</v>
      </c>
      <c r="J616" s="4">
        <v>4</v>
      </c>
      <c r="K616" s="4" t="s">
        <v>958</v>
      </c>
      <c r="L616" s="4" t="s">
        <v>13</v>
      </c>
      <c r="M616" s="4">
        <v>2025</v>
      </c>
      <c r="N616" s="4">
        <v>1</v>
      </c>
      <c r="O616" s="4">
        <v>1</v>
      </c>
    </row>
    <row r="617" spans="1:15">
      <c r="A617" s="4" t="s">
        <v>944</v>
      </c>
      <c r="B617" s="4" t="s">
        <v>967</v>
      </c>
      <c r="C617" t="s">
        <v>963</v>
      </c>
      <c r="F617" s="13">
        <v>1</v>
      </c>
      <c r="G617" s="21">
        <v>0</v>
      </c>
      <c r="I617" s="4">
        <v>4</v>
      </c>
      <c r="J617" s="4">
        <v>4</v>
      </c>
      <c r="K617" s="4" t="s">
        <v>958</v>
      </c>
      <c r="L617" s="4" t="s">
        <v>13</v>
      </c>
      <c r="M617" s="4">
        <v>2025</v>
      </c>
      <c r="N617" s="4">
        <v>1</v>
      </c>
      <c r="O617" s="4">
        <v>1</v>
      </c>
    </row>
    <row r="618" spans="1:15">
      <c r="A618" s="4" t="s">
        <v>969</v>
      </c>
      <c r="B618" s="4" t="s">
        <v>968</v>
      </c>
      <c r="C618" s="28" t="s">
        <v>964</v>
      </c>
      <c r="F618" s="13">
        <v>1</v>
      </c>
      <c r="G618" s="21">
        <v>0</v>
      </c>
      <c r="I618" s="4">
        <v>1</v>
      </c>
      <c r="J618" s="4">
        <v>11</v>
      </c>
      <c r="K618" s="4" t="s">
        <v>958</v>
      </c>
      <c r="L618" s="4" t="s">
        <v>13</v>
      </c>
      <c r="M618" s="4">
        <v>2023</v>
      </c>
      <c r="N618" s="4">
        <v>1</v>
      </c>
      <c r="O618" s="4">
        <v>1</v>
      </c>
    </row>
    <row r="619" spans="1:15">
      <c r="A619" s="4" t="s">
        <v>969</v>
      </c>
      <c r="B619" s="4" t="s">
        <v>980</v>
      </c>
      <c r="C619" t="s">
        <v>970</v>
      </c>
      <c r="F619" s="13">
        <v>0</v>
      </c>
      <c r="I619" s="4"/>
      <c r="J619" s="4"/>
      <c r="K619" s="4"/>
      <c r="L619" s="4"/>
      <c r="M619" s="4"/>
      <c r="N619" s="4"/>
      <c r="O619" s="4"/>
    </row>
    <row r="620" spans="1:15">
      <c r="A620" s="4" t="s">
        <v>969</v>
      </c>
      <c r="B620" s="4" t="s">
        <v>981</v>
      </c>
      <c r="C620" t="s">
        <v>971</v>
      </c>
      <c r="F620" s="13">
        <v>0</v>
      </c>
      <c r="I620" s="4"/>
      <c r="J620" s="4"/>
      <c r="K620" s="4"/>
      <c r="L620" s="4"/>
      <c r="M620" s="4"/>
      <c r="N620" s="4"/>
      <c r="O620" s="4"/>
    </row>
    <row r="621" spans="1:15">
      <c r="A621" s="4" t="s">
        <v>969</v>
      </c>
      <c r="B621" s="4" t="s">
        <v>982</v>
      </c>
      <c r="C621" t="s">
        <v>972</v>
      </c>
      <c r="F621" s="13">
        <v>1</v>
      </c>
      <c r="G621" s="21">
        <v>0</v>
      </c>
      <c r="I621" s="4">
        <v>4</v>
      </c>
      <c r="J621" s="4">
        <v>11</v>
      </c>
      <c r="K621" s="4" t="s">
        <v>958</v>
      </c>
      <c r="L621" s="4" t="s">
        <v>13</v>
      </c>
      <c r="M621" s="4">
        <v>2023</v>
      </c>
      <c r="N621" s="4">
        <v>1</v>
      </c>
      <c r="O621" s="4">
        <v>1</v>
      </c>
    </row>
    <row r="622" spans="1:15">
      <c r="A622" s="4" t="s">
        <v>969</v>
      </c>
      <c r="B622" s="4" t="s">
        <v>983</v>
      </c>
      <c r="C622" t="s">
        <v>973</v>
      </c>
      <c r="F622" s="13">
        <v>1</v>
      </c>
      <c r="G622" s="21">
        <v>0</v>
      </c>
      <c r="I622" s="4">
        <v>5</v>
      </c>
      <c r="J622" s="4">
        <v>11</v>
      </c>
      <c r="K622" s="4" t="s">
        <v>958</v>
      </c>
      <c r="L622" s="4" t="s">
        <v>13</v>
      </c>
      <c r="M622" s="4">
        <v>2023</v>
      </c>
      <c r="N622" s="4">
        <v>1</v>
      </c>
      <c r="O622" s="4">
        <v>1</v>
      </c>
    </row>
    <row r="623" spans="1:15">
      <c r="A623" s="4" t="s">
        <v>969</v>
      </c>
      <c r="B623" s="4" t="s">
        <v>984</v>
      </c>
      <c r="C623" t="s">
        <v>974</v>
      </c>
      <c r="F623" s="13">
        <v>0</v>
      </c>
      <c r="I623" s="4"/>
      <c r="J623" s="4"/>
      <c r="K623" s="4"/>
      <c r="L623" s="4"/>
      <c r="M623" s="4"/>
      <c r="N623" s="4"/>
      <c r="O623" s="4"/>
    </row>
    <row r="624" spans="1:15">
      <c r="A624" s="4" t="s">
        <v>969</v>
      </c>
      <c r="B624" s="4" t="s">
        <v>985</v>
      </c>
      <c r="C624" t="s">
        <v>975</v>
      </c>
      <c r="F624" s="13">
        <v>1</v>
      </c>
      <c r="G624" s="21">
        <v>0</v>
      </c>
      <c r="I624" s="4">
        <v>7</v>
      </c>
      <c r="J624" s="4">
        <v>11</v>
      </c>
      <c r="K624" s="4" t="s">
        <v>958</v>
      </c>
      <c r="L624" s="4" t="s">
        <v>13</v>
      </c>
      <c r="M624" s="4">
        <v>2023</v>
      </c>
      <c r="N624" s="4">
        <v>1</v>
      </c>
      <c r="O624" s="4">
        <v>1</v>
      </c>
    </row>
    <row r="625" spans="1:15">
      <c r="A625" s="4" t="s">
        <v>969</v>
      </c>
      <c r="B625" s="4" t="s">
        <v>986</v>
      </c>
      <c r="C625" t="s">
        <v>976</v>
      </c>
      <c r="F625" s="13">
        <v>1</v>
      </c>
      <c r="G625" s="21">
        <v>0</v>
      </c>
      <c r="I625" s="4">
        <v>8</v>
      </c>
      <c r="J625" s="4">
        <v>11</v>
      </c>
      <c r="K625" s="4" t="s">
        <v>958</v>
      </c>
      <c r="L625" s="4" t="s">
        <v>13</v>
      </c>
      <c r="M625" s="4">
        <v>2023</v>
      </c>
      <c r="N625" s="4">
        <v>1</v>
      </c>
      <c r="O625" s="4">
        <v>1</v>
      </c>
    </row>
    <row r="626" spans="1:15">
      <c r="A626" s="4" t="s">
        <v>969</v>
      </c>
      <c r="B626" s="4" t="s">
        <v>987</v>
      </c>
      <c r="C626" t="s">
        <v>977</v>
      </c>
      <c r="F626" s="13">
        <v>1</v>
      </c>
      <c r="G626" s="21">
        <v>0</v>
      </c>
      <c r="I626" s="4">
        <v>9</v>
      </c>
      <c r="J626" s="4">
        <v>11</v>
      </c>
      <c r="K626" s="4" t="s">
        <v>958</v>
      </c>
      <c r="L626" s="4" t="s">
        <v>13</v>
      </c>
      <c r="M626" s="4">
        <v>2023</v>
      </c>
      <c r="N626" s="4">
        <v>1</v>
      </c>
      <c r="O626" s="4">
        <v>1</v>
      </c>
    </row>
    <row r="627" spans="1:15">
      <c r="A627" s="4" t="s">
        <v>969</v>
      </c>
      <c r="B627" s="4" t="s">
        <v>988</v>
      </c>
      <c r="C627" s="28" t="s">
        <v>978</v>
      </c>
      <c r="F627" s="13">
        <v>1</v>
      </c>
      <c r="G627" s="21">
        <v>1</v>
      </c>
      <c r="I627" s="4">
        <v>10</v>
      </c>
      <c r="J627" s="4">
        <v>11</v>
      </c>
      <c r="K627" s="4" t="s">
        <v>958</v>
      </c>
      <c r="L627" s="4" t="s">
        <v>13</v>
      </c>
      <c r="M627" s="4">
        <v>2023</v>
      </c>
      <c r="N627" s="4">
        <v>1</v>
      </c>
      <c r="O627" s="4">
        <v>1</v>
      </c>
    </row>
    <row r="628" spans="1:15">
      <c r="A628" s="4" t="s">
        <v>969</v>
      </c>
      <c r="B628" s="4" t="s">
        <v>989</v>
      </c>
      <c r="C628" t="s">
        <v>979</v>
      </c>
      <c r="F628" s="13">
        <v>1</v>
      </c>
      <c r="G628" s="21">
        <v>1</v>
      </c>
      <c r="I628" s="4">
        <v>11</v>
      </c>
      <c r="J628" s="4">
        <v>11</v>
      </c>
      <c r="K628" s="4" t="s">
        <v>958</v>
      </c>
      <c r="L628" s="4" t="s">
        <v>13</v>
      </c>
      <c r="M628" s="4">
        <v>2023</v>
      </c>
      <c r="N628" s="4">
        <v>1</v>
      </c>
      <c r="O628" s="4">
        <v>1</v>
      </c>
    </row>
    <row r="629" spans="1:15">
      <c r="A629" s="4" t="s">
        <v>998</v>
      </c>
      <c r="B629" s="4" t="s">
        <v>997</v>
      </c>
      <c r="C629" t="s">
        <v>990</v>
      </c>
      <c r="F629" s="13">
        <v>0</v>
      </c>
      <c r="I629" s="4"/>
      <c r="J629" s="4"/>
      <c r="K629" s="4"/>
      <c r="L629" s="4"/>
      <c r="M629" s="4"/>
      <c r="N629" s="4"/>
      <c r="O629" s="4"/>
    </row>
    <row r="630" spans="1:15">
      <c r="A630" s="4" t="s">
        <v>998</v>
      </c>
      <c r="B630" s="4" t="s">
        <v>999</v>
      </c>
      <c r="C630" t="s">
        <v>991</v>
      </c>
      <c r="F630" s="13">
        <v>0</v>
      </c>
      <c r="I630" s="4"/>
      <c r="J630" s="4"/>
      <c r="K630" s="4"/>
      <c r="L630" s="4"/>
      <c r="M630" s="4"/>
      <c r="N630" s="4"/>
      <c r="O630" s="4"/>
    </row>
    <row r="631" spans="1:15">
      <c r="A631" s="4" t="s">
        <v>998</v>
      </c>
      <c r="B631" s="4" t="s">
        <v>1000</v>
      </c>
      <c r="C631" t="s">
        <v>992</v>
      </c>
      <c r="F631" s="13">
        <v>1</v>
      </c>
      <c r="G631" s="21">
        <v>0</v>
      </c>
      <c r="I631" s="4">
        <v>3</v>
      </c>
      <c r="J631" s="4">
        <v>7</v>
      </c>
      <c r="K631" s="4" t="s">
        <v>958</v>
      </c>
      <c r="L631" s="4" t="s">
        <v>13</v>
      </c>
      <c r="M631" s="4">
        <v>2022</v>
      </c>
      <c r="N631" s="4">
        <v>1</v>
      </c>
      <c r="O631" s="4">
        <v>1</v>
      </c>
    </row>
    <row r="632" spans="1:15">
      <c r="A632" s="4" t="s">
        <v>998</v>
      </c>
      <c r="B632" s="4" t="s">
        <v>1001</v>
      </c>
      <c r="C632" t="s">
        <v>993</v>
      </c>
      <c r="F632" s="13">
        <v>1</v>
      </c>
      <c r="G632" s="21">
        <v>1</v>
      </c>
      <c r="I632" s="4">
        <v>4</v>
      </c>
      <c r="J632" s="4">
        <v>7</v>
      </c>
      <c r="K632" s="4" t="s">
        <v>958</v>
      </c>
      <c r="L632" s="4" t="s">
        <v>13</v>
      </c>
      <c r="M632" s="4">
        <v>2022</v>
      </c>
      <c r="N632" s="4">
        <v>1</v>
      </c>
      <c r="O632" s="4">
        <v>1</v>
      </c>
    </row>
    <row r="633" spans="1:15">
      <c r="A633" s="4" t="s">
        <v>998</v>
      </c>
      <c r="B633" s="4" t="s">
        <v>1002</v>
      </c>
      <c r="C633" t="s">
        <v>994</v>
      </c>
      <c r="F633" s="13">
        <v>1</v>
      </c>
      <c r="G633" s="21">
        <v>1</v>
      </c>
      <c r="I633" s="4">
        <v>5</v>
      </c>
      <c r="J633" s="4">
        <v>7</v>
      </c>
      <c r="K633" s="4" t="s">
        <v>958</v>
      </c>
      <c r="L633" s="4" t="s">
        <v>13</v>
      </c>
      <c r="M633" s="4">
        <v>2022</v>
      </c>
      <c r="N633" s="4">
        <v>1</v>
      </c>
      <c r="O633" s="4">
        <v>1</v>
      </c>
    </row>
    <row r="634" spans="1:15">
      <c r="A634" s="4" t="s">
        <v>998</v>
      </c>
      <c r="B634" s="4" t="s">
        <v>1003</v>
      </c>
      <c r="C634" t="s">
        <v>995</v>
      </c>
      <c r="F634" s="13">
        <v>0</v>
      </c>
      <c r="I634" s="4"/>
      <c r="J634" s="4"/>
      <c r="K634" s="4"/>
      <c r="L634" s="4"/>
      <c r="M634" s="4"/>
      <c r="N634" s="4"/>
      <c r="O634" s="4"/>
    </row>
    <row r="635" spans="1:15">
      <c r="A635" s="4" t="s">
        <v>998</v>
      </c>
      <c r="B635" s="4" t="s">
        <v>1004</v>
      </c>
      <c r="C635" t="s">
        <v>996</v>
      </c>
      <c r="F635" s="13">
        <v>1</v>
      </c>
      <c r="G635" s="21">
        <v>0</v>
      </c>
      <c r="I635" s="4">
        <v>7</v>
      </c>
      <c r="J635" s="4">
        <v>7</v>
      </c>
      <c r="K635" s="4" t="s">
        <v>958</v>
      </c>
      <c r="L635" s="4" t="s">
        <v>13</v>
      </c>
      <c r="M635" s="4">
        <v>2022</v>
      </c>
      <c r="N635" s="4">
        <v>1</v>
      </c>
      <c r="O635" s="4">
        <v>1</v>
      </c>
    </row>
    <row r="636" spans="1:15">
      <c r="A636" s="4" t="s">
        <v>1005</v>
      </c>
      <c r="B636" s="4" t="s">
        <v>1007</v>
      </c>
      <c r="C636" t="s">
        <v>1006</v>
      </c>
      <c r="F636" s="13">
        <v>0</v>
      </c>
      <c r="I636" s="4"/>
      <c r="J636" s="4"/>
      <c r="K636" s="4"/>
      <c r="L636" s="4"/>
      <c r="M636" s="4"/>
      <c r="N636" s="4"/>
      <c r="O636" s="4"/>
    </row>
    <row r="637" spans="1:15">
      <c r="A637" s="4" t="s">
        <v>1005</v>
      </c>
      <c r="B637" s="4" t="s">
        <v>1012</v>
      </c>
      <c r="C637" t="s">
        <v>1008</v>
      </c>
      <c r="F637" s="13">
        <v>0</v>
      </c>
      <c r="I637" s="4"/>
      <c r="J637" s="4"/>
      <c r="K637" s="4"/>
      <c r="L637" s="4"/>
      <c r="M637" s="4"/>
      <c r="N637" s="4"/>
      <c r="O637" s="4"/>
    </row>
    <row r="638" spans="1:15">
      <c r="A638" s="4" t="s">
        <v>1005</v>
      </c>
      <c r="B638" s="4" t="s">
        <v>1013</v>
      </c>
      <c r="C638" t="s">
        <v>1009</v>
      </c>
      <c r="F638" s="13">
        <v>0</v>
      </c>
      <c r="I638" s="4"/>
      <c r="J638" s="4"/>
      <c r="K638" s="4"/>
      <c r="L638" s="4"/>
      <c r="M638" s="4"/>
      <c r="N638" s="4"/>
      <c r="O638" s="4"/>
    </row>
    <row r="639" spans="1:15">
      <c r="A639" s="4" t="s">
        <v>1005</v>
      </c>
      <c r="B639" s="4" t="s">
        <v>1014</v>
      </c>
      <c r="C639" t="s">
        <v>1010</v>
      </c>
      <c r="F639" s="13">
        <v>0</v>
      </c>
      <c r="I639" s="4"/>
      <c r="J639" s="4"/>
      <c r="K639" s="4"/>
      <c r="L639" s="4"/>
      <c r="M639" s="4"/>
      <c r="N639" s="4"/>
      <c r="O639" s="4"/>
    </row>
    <row r="640" spans="1:15">
      <c r="A640" s="4" t="s">
        <v>1005</v>
      </c>
      <c r="B640" s="4" t="s">
        <v>1015</v>
      </c>
      <c r="C640" t="s">
        <v>1011</v>
      </c>
      <c r="F640" s="13">
        <v>1</v>
      </c>
      <c r="G640" s="21">
        <v>0</v>
      </c>
      <c r="I640" s="4">
        <v>5</v>
      </c>
      <c r="J640" s="4">
        <v>5</v>
      </c>
      <c r="K640" s="4" t="s">
        <v>958</v>
      </c>
      <c r="L640" s="4" t="s">
        <v>13</v>
      </c>
      <c r="M640" s="4">
        <v>2021</v>
      </c>
      <c r="N640" s="4">
        <v>1</v>
      </c>
      <c r="O640" s="4">
        <v>1</v>
      </c>
    </row>
    <row r="641" spans="1:15">
      <c r="A641" s="4" t="s">
        <v>1017</v>
      </c>
      <c r="B641" s="4" t="s">
        <v>1016</v>
      </c>
      <c r="C641" s="25" t="s">
        <v>1018</v>
      </c>
      <c r="F641" s="13">
        <v>0</v>
      </c>
      <c r="I641" s="4"/>
      <c r="J641" s="4"/>
      <c r="K641" s="4"/>
      <c r="L641" s="4"/>
      <c r="M641" s="4"/>
      <c r="N641" s="4"/>
      <c r="O641" s="4"/>
    </row>
    <row r="642" spans="1:15" ht="18" customHeight="1">
      <c r="A642" s="4" t="s">
        <v>1017</v>
      </c>
      <c r="B642" s="4" t="s">
        <v>1023</v>
      </c>
      <c r="C642" t="s">
        <v>1019</v>
      </c>
      <c r="F642" s="13">
        <v>1</v>
      </c>
      <c r="G642" s="21">
        <v>1</v>
      </c>
      <c r="I642" s="4">
        <v>2</v>
      </c>
      <c r="J642" s="4">
        <v>5</v>
      </c>
      <c r="K642" s="4" t="s">
        <v>958</v>
      </c>
      <c r="L642" s="4" t="s">
        <v>13</v>
      </c>
      <c r="M642" s="4">
        <v>2020</v>
      </c>
      <c r="N642" s="4">
        <v>1</v>
      </c>
      <c r="O642" s="4">
        <v>1</v>
      </c>
    </row>
    <row r="643" spans="1:15">
      <c r="A643" s="4" t="s">
        <v>1017</v>
      </c>
      <c r="B643" s="4" t="s">
        <v>1024</v>
      </c>
      <c r="C643" t="s">
        <v>1020</v>
      </c>
      <c r="F643" s="13">
        <v>0</v>
      </c>
    </row>
    <row r="644" spans="1:15">
      <c r="A644" s="4" t="s">
        <v>1017</v>
      </c>
      <c r="B644" s="4" t="s">
        <v>1025</v>
      </c>
      <c r="C644" t="s">
        <v>1021</v>
      </c>
      <c r="F644" s="13">
        <v>0</v>
      </c>
    </row>
    <row r="645" spans="1:15">
      <c r="A645" s="4" t="s">
        <v>1017</v>
      </c>
      <c r="B645" s="4" t="s">
        <v>1026</v>
      </c>
      <c r="C645" s="28" t="s">
        <v>1022</v>
      </c>
      <c r="F645" s="13">
        <v>0</v>
      </c>
    </row>
  </sheetData>
  <phoneticPr fontId="11" type="noConversion"/>
  <conditionalFormatting sqref="F1:F1048576">
    <cfRule type="cellIs" dxfId="0" priority="3" operator="equal">
      <formula>0</formula>
    </cfRule>
  </conditionalFormatting>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32"/>
  <sheetViews>
    <sheetView topLeftCell="A2" zoomScale="120" zoomScaleNormal="120" workbookViewId="0">
      <selection activeCell="D35" sqref="D35"/>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36</v>
      </c>
      <c r="B8">
        <f>COUNTIF(Sheet1!D:D," ")</f>
        <v>0</v>
      </c>
      <c r="C8">
        <f>COUNTIF(Sheet1!D:D,"1")</f>
        <v>173</v>
      </c>
      <c r="D8">
        <f>SUM(A8:C8)</f>
        <v>209</v>
      </c>
    </row>
    <row r="10" spans="1:4">
      <c r="A10" s="17" t="s">
        <v>396</v>
      </c>
    </row>
    <row r="11" spans="1:4">
      <c r="A11" s="1">
        <v>0</v>
      </c>
      <c r="C11" s="1">
        <v>1</v>
      </c>
    </row>
    <row r="12" spans="1:4">
      <c r="A12">
        <f>COUNTIF(Sheet1!D:D,"0")</f>
        <v>36</v>
      </c>
      <c r="C12">
        <f>COUNTIF(Sheet1!D:D,"1")</f>
        <v>173</v>
      </c>
    </row>
    <row r="14" spans="1:4">
      <c r="C14" s="1" t="s">
        <v>398</v>
      </c>
    </row>
    <row r="15" spans="1:4">
      <c r="C15" s="16">
        <f>COUNTIF(Sheet1!E:E,"Low")</f>
        <v>60</v>
      </c>
    </row>
    <row r="16" spans="1:4">
      <c r="C16" s="1" t="s">
        <v>399</v>
      </c>
    </row>
    <row r="17" spans="1:6">
      <c r="C17" s="16">
        <f>COUNTIF(Sheet1!E:E,"Medium")</f>
        <v>89</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row r="26" spans="1:6">
      <c r="A26" s="18" t="s">
        <v>530</v>
      </c>
      <c r="B26" s="19"/>
      <c r="C26" s="19"/>
      <c r="D26" s="19"/>
    </row>
    <row r="27" spans="1:6">
      <c r="A27">
        <v>0</v>
      </c>
      <c r="C27" t="s">
        <v>409</v>
      </c>
      <c r="F27">
        <f>COUNTIF(Sheet1!G:G,"0")</f>
        <v>214</v>
      </c>
    </row>
    <row r="28" spans="1:6">
      <c r="A28">
        <v>1</v>
      </c>
      <c r="C28" t="s">
        <v>411</v>
      </c>
      <c r="F28">
        <f>COUNTIF(Sheet1!G:G,"1")</f>
        <v>123</v>
      </c>
    </row>
    <row r="30" spans="1:6">
      <c r="A30" s="18" t="s">
        <v>1375</v>
      </c>
    </row>
    <row r="31" spans="1:6">
      <c r="A31">
        <v>0</v>
      </c>
      <c r="C31" t="s">
        <v>1376</v>
      </c>
      <c r="F31">
        <f>COUNTIF(Sheet1!F:F,"0")</f>
        <v>307</v>
      </c>
    </row>
    <row r="32" spans="1:6">
      <c r="A32">
        <v>1</v>
      </c>
      <c r="C32" t="s">
        <v>1377</v>
      </c>
      <c r="F32">
        <f>COUNTIF(Sheet1!F:F,"1")</f>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2026-04-12T07:07:10Z</dcterms:modified>
</cp:coreProperties>
</file>