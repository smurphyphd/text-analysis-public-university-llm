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1BB6DD2D-4042-374A-938D-5D6FB380BF9B}" xr6:coauthVersionLast="47" xr6:coauthVersionMax="47" xr10:uidLastSave="{00000000-0000-0000-0000-000000000000}"/>
  <bookViews>
    <workbookView xWindow="5120" yWindow="1140" windowWidth="3016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3" l="1"/>
  <c r="F27" i="3"/>
  <c r="F24" i="3" l="1"/>
  <c r="F23" i="3"/>
  <c r="F22" i="3"/>
  <c r="C19" i="3"/>
  <c r="C17" i="3"/>
  <c r="C15" i="3"/>
  <c r="C12" i="3"/>
  <c r="A12" i="3"/>
  <c r="C8" i="3"/>
  <c r="B8" i="3"/>
  <c r="A8" i="3"/>
  <c r="D8" i="3" l="1"/>
</calcChain>
</file>

<file path=xl/sharedStrings.xml><?xml version="1.0" encoding="utf-8"?>
<sst xmlns="http://schemas.openxmlformats.org/spreadsheetml/2006/main" count="1881" uniqueCount="735">
  <si>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</si>
  <si>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</si>
  <si>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</si>
  <si>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</si>
  <si>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</si>
  <si>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</si>
  <si>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</si>
  <si>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</si>
  <si>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</si>
  <si>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</si>
  <si>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</si>
  <si>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</si>
  <si>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</si>
  <si>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</si>
  <si>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</si>
  <si>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</si>
  <si>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</si>
  <si>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</si>
  <si>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</si>
  <si>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</si>
  <si>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</si>
  <si>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</si>
  <si>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</si>
  <si>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</si>
  <si>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</si>
  <si>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</si>
  <si>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</si>
  <si>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</si>
  <si>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</si>
  <si>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</si>
  <si>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</si>
  <si>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</si>
  <si>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</si>
  <si>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</si>
  <si>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</si>
  <si>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</si>
  <si>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</si>
  <si>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</si>
  <si>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</si>
  <si>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</si>
  <si>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</si>
  <si>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</si>
  <si>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</si>
  <si>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</si>
  <si>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</si>
  <si>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</si>
  <si>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</si>
  <si>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</si>
  <si>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</si>
  <si>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</si>
  <si>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</si>
  <si>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</si>
  <si>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</si>
  <si>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</si>
  <si>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</si>
  <si>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</si>
  <si>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</si>
  <si>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</si>
  <si>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</si>
  <si>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</si>
  <si>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</si>
  <si>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</si>
  <si>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</si>
  <si>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</si>
  <si>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</si>
  <si>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</si>
  <si>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</si>
  <si>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</si>
  <si>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</si>
  <si>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</si>
  <si>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</si>
  <si>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</si>
  <si>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</si>
  <si>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</si>
  <si>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</si>
  <si>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</si>
  <si>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</si>
  <si>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</si>
  <si>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</si>
  <si>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</si>
  <si>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</si>
  <si>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</si>
  <si>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</si>
  <si>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</si>
  <si>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</si>
  <si>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</si>
  <si>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</si>
  <si>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</si>
  <si>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</si>
  <si>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</si>
  <si>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</si>
  <si>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</si>
  <si>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</si>
  <si>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</si>
  <si>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</si>
  <si>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</si>
  <si>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</si>
  <si>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</si>
  <si>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</si>
  <si>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</si>
  <si>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</si>
  <si>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</si>
  <si>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</si>
  <si>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</si>
  <si>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</si>
  <si>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</si>
  <si>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</si>
  <si>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</si>
  <si>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</si>
  <si>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</si>
  <si>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</si>
  <si>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</si>
  <si>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</si>
  <si>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</si>
  <si>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</si>
  <si>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</si>
  <si>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</si>
  <si>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</si>
  <si>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</si>
  <si>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</si>
  <si>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</si>
  <si>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</si>
  <si>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</si>
  <si>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</si>
  <si>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</si>
  <si>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</si>
  <si>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</si>
  <si>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</si>
  <si>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</si>
  <si>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</si>
  <si>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</si>
  <si>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</si>
  <si>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</si>
  <si>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</si>
  <si>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</si>
  <si>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</si>
  <si>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</si>
  <si>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</si>
  <si>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</si>
  <si>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</si>
  <si>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</si>
  <si>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</si>
  <si>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</si>
  <si>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</si>
  <si>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</si>
  <si>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</si>
  <si>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</si>
  <si>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</si>
  <si>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</si>
  <si>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</si>
  <si>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</si>
  <si>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</si>
  <si>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</si>
  <si>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</si>
  <si>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</si>
  <si>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</si>
  <si>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</si>
  <si>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</si>
  <si>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</si>
  <si>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</si>
  <si>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</si>
  <si>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</si>
  <si>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</si>
  <si>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</si>
  <si>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</si>
  <si>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</si>
  <si>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</si>
  <si>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</si>
  <si>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</si>
  <si>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</si>
  <si>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</si>
  <si>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</si>
  <si>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</si>
  <si>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</si>
  <si>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</si>
  <si>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</si>
  <si>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</si>
  <si>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</si>
  <si>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</si>
  <si>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</si>
  <si>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</si>
  <si>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</si>
  <si>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</si>
  <si>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</si>
  <si>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</si>
  <si>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</si>
  <si>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</si>
  <si>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</si>
  <si>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</si>
  <si>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</si>
  <si>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</si>
  <si>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</si>
  <si>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</si>
  <si>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</si>
  <si>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</si>
  <si>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</si>
  <si>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</si>
  <si>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</si>
  <si>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</si>
  <si>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</si>
  <si>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</si>
  <si>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</si>
  <si>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</si>
  <si>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</si>
  <si>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</si>
  <si>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</si>
  <si>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</si>
  <si>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</si>
  <si>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</si>
  <si>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</si>
  <si>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</si>
  <si>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</si>
  <si>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</si>
  <si>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</si>
  <si>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</si>
  <si>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</si>
  <si>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</si>
  <si>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</si>
  <si>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</si>
  <si>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</si>
  <si>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</si>
  <si>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</si>
  <si>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</si>
  <si>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</si>
  <si>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</si>
  <si>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</si>
  <si>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</si>
  <si>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</si>
  <si>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</si>
  <si>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</si>
  <si>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</si>
  <si>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</si>
  <si>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</si>
  <si>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</si>
  <si>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</si>
  <si>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</si>
  <si>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</si>
  <si>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</si>
  <si>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</si>
  <si>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</si>
  <si>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</si>
  <si>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</si>
  <si>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</si>
  <si>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</si>
  <si>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</si>
  <si>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</si>
  <si>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</si>
  <si>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</si>
  <si>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</si>
  <si>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</si>
  <si>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</si>
  <si>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</si>
  <si>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</si>
  <si>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</si>
  <si>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</si>
  <si>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</si>
  <si>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</si>
  <si>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</si>
  <si>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</si>
  <si>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</si>
  <si>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</si>
  <si>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</si>
  <si>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</si>
  <si>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</si>
  <si>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</si>
  <si>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</si>
  <si>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</si>
  <si>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</si>
  <si>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</si>
  <si>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</si>
  <si>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</si>
  <si>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</si>
  <si>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</si>
  <si>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</si>
  <si>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</si>
  <si>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</si>
  <si>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</si>
  <si>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</si>
  <si>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</si>
  <si>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</si>
  <si>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</si>
  <si>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</si>
  <si>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</si>
  <si>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</si>
  <si>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</si>
  <si>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</si>
  <si>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</si>
  <si>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</si>
  <si>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</si>
  <si>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</si>
  <si>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</si>
  <si>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</si>
  <si>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</si>
  <si>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</si>
  <si>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</si>
  <si>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</si>
  <si>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</si>
  <si>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</si>
  <si>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</si>
  <si>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</si>
  <si>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</si>
  <si>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</si>
  <si>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</si>
  <si>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</si>
  <si>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</si>
  <si>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</si>
  <si>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</si>
  <si>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</si>
  <si>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</si>
  <si>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</si>
  <si>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</si>
  <si>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</si>
  <si>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</si>
  <si>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</si>
  <si>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</si>
  <si>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</si>
  <si>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</si>
  <si>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</si>
  <si>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</si>
  <si>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</si>
  <si>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</si>
  <si>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</si>
  <si>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</si>
  <si>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</si>
  <si>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</si>
  <si>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</si>
  <si>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</si>
  <si>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</si>
  <si>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</si>
  <si>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</si>
  <si>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</si>
  <si>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</si>
  <si>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</si>
  <si>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</si>
  <si>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</si>
  <si>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</si>
  <si>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</si>
  <si>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</si>
  <si>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</si>
  <si>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</si>
  <si>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</si>
  <si>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</si>
  <si>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</si>
  <si>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</si>
  <si>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</si>
  <si>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</si>
  <si>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</si>
  <si>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</si>
  <si>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</si>
  <si>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</si>
  <si>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</si>
  <si>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</si>
  <si>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</si>
  <si>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</si>
  <si>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</si>
  <si>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</si>
  <si>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</si>
  <si>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</si>
  <si>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</si>
  <si>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</si>
  <si>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</si>
  <si>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</si>
  <si>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</si>
  <si>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</si>
  <si>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</si>
  <si>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</si>
  <si>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</si>
  <si>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</si>
  <si>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</si>
  <si>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</si>
  <si>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</si>
  <si>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</si>
  <si>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</si>
  <si>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</si>
  <si>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</si>
  <si>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</si>
  <si>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</si>
  <si>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</si>
  <si>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</si>
  <si>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</si>
  <si>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</si>
  <si>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</si>
  <si>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</si>
  <si>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</si>
  <si>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</si>
  <si>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</si>
  <si>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</si>
  <si>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</si>
  <si>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</si>
  <si>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</si>
  <si>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</si>
  <si>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</si>
  <si>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</si>
  <si>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</si>
  <si>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</si>
  <si>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</si>
  <si>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</si>
  <si>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</si>
  <si>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</si>
  <si>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</si>
  <si>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</si>
  <si>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</si>
  <si>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</si>
  <si>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</si>
  <si>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</si>
  <si>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</si>
  <si>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</si>
  <si>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</si>
  <si>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</si>
  <si>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</si>
  <si>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</si>
  <si>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</si>
  <si>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</si>
  <si>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</si>
  <si>
    <t>windsor_2019</t>
  </si>
  <si>
    <t>University of Windsor</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</si>
  <si>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</si>
  <si>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</si>
  <si>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</si>
  <si>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</si>
  <si>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</si>
  <si>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</si>
  <si>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</si>
  <si>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</si>
  <si>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</si>
  <si>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</si>
  <si>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</si>
  <si>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</si>
  <si>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</si>
  <si>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</si>
  <si>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</si>
  <si>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</si>
  <si>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</si>
  <si>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</si>
  <si>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</si>
  <si>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</si>
  <si>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</si>
  <si>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</si>
  <si>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</si>
  <si>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</si>
  <si>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</si>
  <si>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</si>
  <si>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</si>
  <si>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 xml:space="preserve">High </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</si>
  <si>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</si>
  <si>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</si>
  <si>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</si>
  <si>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</si>
  <si>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</si>
  <si>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</si>
  <si>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</si>
  <si>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</si>
  <si>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</si>
  <si>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</si>
  <si>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</si>
  <si>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</si>
  <si>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carleton_2019_7</t>
  </si>
  <si>
    <t>Although Carleton is presently in good financial health, maintaining a balanced
operating budget within the new provincial funding model will become increasingly challenging.</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</si>
  <si>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</si>
  <si>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</si>
  <si>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</si>
  <si>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</si>
  <si>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</si>
  <si>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</si>
  <si>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</si>
  <si>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</si>
  <si>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carleton_2021_4</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</si>
  <si>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</si>
  <si>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</si>
  <si>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</si>
  <si>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</si>
  <si>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</si>
  <si>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windsor_2019_8</t>
  </si>
  <si>
    <t>windsor_2019_9</t>
  </si>
  <si>
    <t>The University used this funding (approximately $1.3M annually) to help service the debt related to capital expansion to 2026/27. The cancellation of the program requires the operating budget to absorb this unexpected expense beginning in 2019/20.</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</si>
  <si>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</si>
  <si>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windsor_2019_10</t>
  </si>
  <si>
    <t>The Ontario Government’s budget introduced on April 11, 2019 noted changes to the next Strategic Mandate Agreement with Ontario Universities. The budget document says:
Through the next round of SMAs, Ontario will become a national leader in outcomes-based funding by tying 60 per cent to performance by the 2024-25 academic year. The first year of these new agreements will tie 25 per cent of funding to performance outcomes, and this proportion will increase annually by increments of 10 per cent for three years and 5 per cent in the last year until it reaches a steady state of 60 per cent in 2024-25... The overall number of metrics will also be reduced from 38 for colleges and 28 for universities to 10 for each sector. These 10 metrics align with the government’s priorities in skills and job outcomes, and economic and community impact. Institutions will have the flexibility to weigh the metrics that best reflect their differentiated strategic goals and will be measured against their own targets based on historical performance. These changes will reduce the reporting burden for institutions while supporting sustainability through a focus on institutional strengths and differentiation. (p. 187)</t>
  </si>
  <si>
    <t>carleton_2022</t>
  </si>
  <si>
    <t>carleton_2022_1</t>
  </si>
  <si>
    <t>Carleton's 2022-2023 operating budget supports the uhinversity's plans for the coming year and recommends the resource allocations required to execute those plans. It also reflects the university's alignment of its strategic planning, risk assessments and annual planning activities. The primary goal of this budget, as determined by the Strategic Integrated Planning Committee, is to advance the three directions of our Stategic Integrated Plan: Share Knowledge, Shape the Future, Serve Ottawa, Serve the World; and Strive for Wellness, Strive for Sustainability. As the university works toward achieving these goals, we continue to emphasize and support initiatives that promise to increase and diversity external revenue sources and those that work to identify cost containment opportunities in the long term.</t>
  </si>
  <si>
    <t>carleton_2022_2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</si>
  <si>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2022-23 are based on flat first-year undergraduate student and domestic graduate student intake for the coming year, a fixed annual operating grant for the forseeable future and compulsory cost increases that exceed annual revenue growth projections caused primarily by increases in compensation-related expensesand inflation.</t>
  </si>
  <si>
    <t>Carleton's operating budget projects total revenue and expenses of $521 million for fiscal year 2022-23. This represents an increase of $6million from the $515 million 2021-22 budget. The change is mainly attributable to internatinoal tuition fee increases and flow-through of undergraduate students. Domestic 2022-23 tuition fees for Ontario residents will remain fixed at the 2019-20 level. These fees were reduced by 10% from those in 2018-19. the provincial government has permitted domestic tuition fees for out-of-province students to increase by 3% in 2021-22 and 5% in 2022-23.</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</si>
  <si>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(RPCs) have been encouraged to use existing carry forward funds to support initiatives aimed at addressing our budget priorities. The aim to draw on unit-level reserves was reinforced through conservative budget allocations in 2022-23. This has resulted in a total of $1.5 million in base funding invested into RPcs through new faculty positions ($0.4 million), new professional staff positions ($0.5 million), faculty allocations via the Enrolment-Linked Budget Allocation (ELBA) model ($0.5 million), and straegic and operational initiatives ($0.1 million)</t>
  </si>
  <si>
    <t>carleton_2022_5</t>
  </si>
  <si>
    <t>carleton_2022_7</t>
  </si>
  <si>
    <t>carleton_2023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</si>
  <si>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</si>
  <si>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</si>
  <si>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</si>
  <si>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</si>
  <si>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carleton_2023_3</t>
  </si>
  <si>
    <t>carleton_2023_4</t>
  </si>
  <si>
    <t>carleton_2023_5</t>
  </si>
  <si>
    <t>carleton_2023_10</t>
  </si>
  <si>
    <t>carleton_2024</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</si>
  <si>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</si>
  <si>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</si>
  <si>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</si>
  <si>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</si>
  <si>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</si>
  <si>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</si>
  <si>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</si>
  <si>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</si>
  <si>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</si>
  <si>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carleton_2024_2</t>
  </si>
  <si>
    <t>carleton_2024_3</t>
  </si>
  <si>
    <t>carleton_2024_4</t>
  </si>
  <si>
    <t>carleton_2024_5</t>
  </si>
  <si>
    <t>carleton_2024_6</t>
  </si>
  <si>
    <t>carleton_2024_7</t>
  </si>
  <si>
    <t>carleton_2024_9</t>
  </si>
  <si>
    <t>carleton_2024_10</t>
  </si>
  <si>
    <t>carleton_2024_11</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</si>
  <si>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</si>
  <si>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</si>
  <si>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</si>
  <si>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</si>
  <si>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</si>
  <si>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</si>
  <si>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</si>
  <si>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institutions based on their updated financial health risk ratings. Carleton has received a medium risk rating, which will result in a one-time 3.5% increase to our operating funding, or $5.9 million.</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</si>
  <si>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</si>
  <si>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</si>
  <si>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carleton_2025_3</t>
  </si>
  <si>
    <t>carleton_2025_4</t>
  </si>
  <si>
    <t>carleton_2025_5</t>
  </si>
  <si>
    <t>carleton_2025_6</t>
  </si>
  <si>
    <t>carleton_2025_9</t>
  </si>
  <si>
    <t>Low versus High Resource Dependence</t>
  </si>
  <si>
    <t>lakehead_2021</t>
  </si>
  <si>
    <t>lakehead_2021_1</t>
  </si>
  <si>
    <t>Lakehead University’s ongoing commitment to an environment of integrated planning and budgeting ensures that the decisions we make and the actions we take across the University all stem from a central vision and collective goals. At Lakehead, the vision and goals have informed our Strategic Plan, Academic Plan and Strategic Enrolment Management Plan. An integrated budget plan and process supports this vision and aligns resources to pursue strategic goals and objectives.</t>
  </si>
  <si>
    <t>lakehead_2021_2</t>
  </si>
  <si>
    <t>The global context in which we operate remains complex. The impact of COVID-19 continues to evolve. We also continue to operate in a provincial environment focused on fiscal austerity. Universities across Ontario, including Lakehead University, are facing a number of challenges that threaten achievement of long-term enrolment targets. These challenges include changes to how universities are funded within the province of Ontario with an increasing proportion of funding tied to ten performance metrics, evolving demographics in the regions we serve, in some cases a declining post-secondary age population, while the need for reskilling in the current workforce is increasing, and provincial competition continues to grow. These pressures are expected to continue into the future, while Lakehead University continues to strive towards the goal of achieving optimal enrolment over the coming years.</t>
  </si>
  <si>
    <t>lakehead_2021_3</t>
  </si>
  <si>
    <t>Lakehead University’s commitment to continued financial sustainability is evidenced by strong financial performance metrics, sound governance and strong financial management. As required by the Board of Governors, Lakehead University continues to present a balanced operating budget. The budget planning process for 2021-22 fully reflects the integrated budget development model that was launched in 2015-16 following significant consultation to inform a transparent, consultative and accountable integrated budgeting process. Despite significant financial changes and enrolment pressures, Lakehead has continued to respond to mitigate funding shortfalls.</t>
  </si>
  <si>
    <t>lakehead_2021_4</t>
  </si>
  <si>
    <t>In addition to the significant funding challenges that Lakehead has managed, the 2021-22 budget also responds to the extraordinary circumstances of the global pandemic. The 2021-22 budget continues to demonstrate budget caution to ensure that Lakehead remains financially sustainable and viable moving through and beyond the next fiscal year. The strongest strategies to offset funding challenges remain strong program delivery and recruitment efforts combined with ongoing increases in domestic and international student enrolment with further growth projected in subsequent years.</t>
  </si>
  <si>
    <t>Lakehead University</t>
  </si>
  <si>
    <t>lakehead_2022</t>
  </si>
  <si>
    <t>Lakehead University's ongoing commitment to an environment of integrated planning and budgeting ensures that the decisions we make and the actions we take across the University all stem from a central vision and collective goals. At Lakehead the vision and goals have informed our Strategic Plan, Academic Plan and Strategic Enrolment Management Plan. An integrated budget plan and process supports this vision and aligns resources to pursue strategic goals and objectives.</t>
  </si>
  <si>
    <t>The global context in which we operate remains complex and the impact of COVID-
19 continues to evolve. We have seen our University community come together in incredible ways as we have faced the realities of the rapidly-evolving COVID-19 pandemic and the implementation of the Mandatory Vaccination Policy. The work required to transform our University has been exceptional to ensure the delivery of vital services and continued delivery of high-quality programming to our students.</t>
  </si>
  <si>
    <t>As we plan for the upcoming 2022-23 fiscal year, the context in which we operate remains complex. The local and global impact of COVID-19 includes an uncertain recovery period. We continue to operate in a provincial environment focused on fiscal austerity. With the finalization of SMA 3 in 2020-21, universities in Ontario now have an increasing proportion of funding tied to ten performance metrics. The current demographic projections show limited growth of traditional age university students in Northwestern Ontario. There are opportunities in Simcoe County to address a growing university-aged population and ongoing unmet need in the region. Across Ontario and Canada, there are additional opportunities to develop and deliver programming that addresses upskilling and reskilling through new approaches including micro credentials, certificates and modular programming.</t>
  </si>
  <si>
    <t>Lakehead University's commitment to financial sustainability continues to be evidenced by strong financial performance metrics, sound governance and strong financial management.</t>
  </si>
  <si>
    <t>As required by the Board of Governors, Lakehead University presents a balanced operating budget. The budget planning process for 2022-23 fully reflects our integrated budget development model and exhibits a transparent, consultative and accountable integrated budgeting process. Despite significant financial changes and enrolment pressures, Lakehead has been able to mitigate funding shortfalls.</t>
  </si>
  <si>
    <t>The pandemic has necessitated rigorous budget measures and, for the immediate
future as we address the lasting impact of COVID-19, this approach has been maintained. The additional budget controls that we collectively undertook during the last two years have assisted addressing the realities faced by the global pandemic, and have assisted mitigating shortfalls while ensuring that Lakehead remains financially sustainable and viable moving through and beyond the current year. Some of these additional budget controls will continue during 2022-23 as necessary.</t>
  </si>
  <si>
    <t>Maintaining a strong budget position in 2022-23 relies on proactive recruitment and retention of domestic and international students, continued delivery of high-quality programming, and ongoing efforts to build Lakehead's local and global reputation.</t>
  </si>
  <si>
    <t>lakehead_2022_1</t>
  </si>
  <si>
    <t>lakehead_2022_2</t>
  </si>
  <si>
    <t>lakehead_2022_3</t>
  </si>
  <si>
    <t>lakehead_2022_4</t>
  </si>
  <si>
    <t>lakehead_2022_5</t>
  </si>
  <si>
    <t>lakehead_2022_6</t>
  </si>
  <si>
    <t>lakehead_2023_1</t>
  </si>
  <si>
    <t>lakehead_2023</t>
  </si>
  <si>
    <t>lakehead_2022_7</t>
  </si>
  <si>
    <t>Over the past few years, the University has faced and managed the impact of domestic
and international enrolment challenges despite the volatile planning environment. We
have come together as a community and have worked hard to position the University for
strength despite increasing financial challenges. We believe we must continue this path,
acknowledging we are stronger when we work together.</t>
  </si>
  <si>
    <t>The global context in which we operate continues to remain complex. As we recover from
the impacts of COVID-19 on our operations, most notably through some recovery in
enrolment, we continue to manage financial pressures including a continued freeze on
domestic tuition rates, significant inflationary pressures, and an increasingly competitive
post-secondary environment.</t>
  </si>
  <si>
    <t>On October 12, 2023, the Board of Governors approved a provisional $5.284M operating
budget deficit for 2023-24 while work continues concurrently with the development of an
action plan that mitigates the University's structural deficit and ongoing advocacy with
government.</t>
  </si>
  <si>
    <t>To ensure that Lakehead remains financially sustainable and viable moving through and
beyond the next fiscal year, the 2023-24 budget continues to demonstrate budget caution.
The 2023-24 budget offers a blueprint to manage the fiscal year so that each
faculty/department has a budget foundation to work within. Budget adjustments may
continue into the winter months, depending on enrolment and other financial pressures.
The strongest strategies to offset immediate and longer-term funding challenges remain
strong program delivery combined with proactive recruitment and retention efforts of both
domestic and international student enrolment.</t>
  </si>
  <si>
    <t>Lakehead University's commitment to financial sustainability continues to be
evidenced by strong financial performance metrics, sound governance, strong
financial management, and government advocacy.</t>
  </si>
  <si>
    <t>lakehead_2023_2</t>
  </si>
  <si>
    <t>lakehead_2023_3</t>
  </si>
  <si>
    <t>lakehead_2023_4</t>
  </si>
  <si>
    <t>lakehead_2023_5</t>
  </si>
  <si>
    <t>lakehead_2024_1</t>
  </si>
  <si>
    <t>lakehead_2024</t>
  </si>
  <si>
    <t>As we plan for the upcoming 2024-25 fiscal year, the global context in which we operate continues to remain complex. Most notable is the significant disruption to international enrolment resulting from changes to federal immigration policy, capping of international undergraduate student visa approvals, and changes to the post-graduate work permit requirements. Lakehead also remains impacted by financial pressures including a continued freeze on domestic tuition rates, and a competitive post-secondary environment.</t>
  </si>
  <si>
    <t>lakehead_2024_2</t>
  </si>
  <si>
    <t>In 2023, in response to the sector-wide financial sustainability challenges, the province struck a Blue Ribbon Panel. While the panel acknowledged the structural challenges facing the sector and made recommendations for significant increases to tuition and grant funding, the government’s response has focused more on operational efficiencies.</t>
  </si>
  <si>
    <t>In February 2024, the government announced $1.3 billion in new funding over the next 3 years. This announcement was welcome news; however, analysts have indicated it represents about 20% of what was needed to stabilize the sector, well short of the Panel’s recommendations.</t>
  </si>
  <si>
    <t>Lakehead University's commitment to financial sustainability continues to be evidenced by strong financial performance metrics, sound governance, and strong financial management. Advocacy efforts with the provincial government have and will continue as we stress the unique position of Lakehead as the only comprehensive university in the north.</t>
  </si>
  <si>
    <t>The budget planning process for 2024-25 fully reflects our integrated budget development model and exhibits a transparent, consultative, and accountable integrated budgeting process. While a structural deficit still exists, the addition of one-time targeted sustainability funding, resulting from the $1.3 billion funding announcement, has contributed to a balanced budget.</t>
  </si>
  <si>
    <t>lakehead_2024_3</t>
  </si>
  <si>
    <t>lakehead_2024_4</t>
  </si>
  <si>
    <t>lakehead_2024_5</t>
  </si>
  <si>
    <t>lakehead_2025_1</t>
  </si>
  <si>
    <t>lakehead_2025</t>
  </si>
  <si>
    <t>Similar to the prior fiscal year, the external environment for the post-secondary education sector remains complex. Last year’s disruption to international enrolment resulting from changes to federal immigration policy continues to be a factor.</t>
  </si>
  <si>
    <t>lakehead_2025_2</t>
  </si>
  <si>
    <t>Development of the 2025/26 budget has been impacted significantly by these changes, most notably the capping of international student visa approvals, which have expanded to include graduate students. Lakehead is experiencing declines in applications due to the reputational damage these policy changes have caused combined with the perceived hostility of the Canadian government towards international students. Lakehead also remains impacted by a continued freeze on domestic tuition rates, and a highly competitive post-secondary environment. As a northern university, Lakehead is disproportionately affected by these external forces.</t>
  </si>
  <si>
    <t>In February 2024, the government announced $1.3 billion in new funding for a 3-year period. This announcement was welcome news; however, analysts have indicated it represents about 20% of what was needed to stabilize the sector, well short of the Blue Ribbon Panel’s recommendations. The Blue Ribbon Panel was struck in 2023 by the province in response to the sector-wide financial sustainability challenges.</t>
  </si>
  <si>
    <t>The addition of one-time targeted sustainability funding, resulting from the $1.3 billion funding announcement in 2024, contributed to a balanced budget for Lakehead in 202425; however, for 2025/26, Lakehead’s portion of the Post Secondary Education Sustainability Fund (PSESF) Top-up funding, which is a component of the $1.3 billion, was reduced to nearly half for 2025/26.</t>
  </si>
  <si>
    <t>The reduction to the PSESF Top-up funding in combination with the decline in international student enrolment has been unexpected and has placed exceptional pressure on budget development.</t>
  </si>
  <si>
    <t>Lakehead University's commitment to financial sustainability continues to be evidenced by strong financial performance metrics, sound governance and strong financial management. Advocacy efforts with the provincial government have continued and will continue as we stress the unique position of Lakehead as the only comprehensive university in the north.</t>
  </si>
  <si>
    <t>The President’s Advisory Committee on Financial Sustainability has been reviewing recommendations from the 2023 3rd party review, input from the University community, and now the latest 3rd party review to develop recommendations to support the short and long-term financial sustainability of the University. The 2025/26 Budget includes targeted savings anticipated from the first round of recommendations made by the Advisory Committee to the President, and which the President has accepted.</t>
  </si>
  <si>
    <t>As required by the Board of Governors, Lakehead University presents a balanced operating budget. The budget planning process for 2025-26 fully reflects our integrated budget development model and exhibits a transparent, consultative, and accountable integrated budgeting process.</t>
  </si>
  <si>
    <t>lakehead_2025_3</t>
  </si>
  <si>
    <t>lakehead_2025_4</t>
  </si>
  <si>
    <t>lakehead_2025_5</t>
  </si>
  <si>
    <t>lakehead_2025_6</t>
  </si>
  <si>
    <t>lakehead_2025_7</t>
  </si>
  <si>
    <t>lakehead_2025_8</t>
  </si>
  <si>
    <t>laurier_2025</t>
  </si>
  <si>
    <t>laurier_2025_1</t>
  </si>
  <si>
    <r>
      <t>The assumptions and estimates included in the 2025/26 Operating, Ancillary and Capital budgets are based on the information available to management at the time of preparation</t>
    </r>
    <r>
      <rPr>
        <sz val="11"/>
        <color rgb="FFFF0000"/>
        <rFont val="Calibri"/>
        <family val="2"/>
      </rPr>
      <t xml:space="preserve">. </t>
    </r>
    <r>
      <rPr>
        <sz val="11"/>
        <color theme="1"/>
        <rFont val="Calibri"/>
        <family val="2"/>
      </rPr>
      <t>Post-secondary institutions in Canada are facing sector-wide challenges, with continued revenue constraints and significant inflationary pressures contributing to growing financial risks. Universities across Ontario are facing increased scrutiny on fiscal performance through the Ministry of Colleges, Universities, Research Excellence and Security (MCURES) Financial Accountability Framework. </t>
    </r>
  </si>
  <si>
    <t>laurier_2025_2</t>
  </si>
  <si>
    <t>Successfully navigating this difficult environment will require highly disciplined and effective financial management as the university considers both the short-term horizon as articulated in the fiscal year budget and long-term sustainability as depicted in the multi-year budget projections.</t>
  </si>
  <si>
    <t>laurier_2025_3</t>
  </si>
  <si>
    <t>On April 22, 2025 MCURES announced a $750 million investment to support 20,500 STEM learners annually at universities and colleges. Due to Laurier’s significant enrolment growth in serving Ontario students, particularly in STEM programs, Laurier’s share of that funding is $16.1 million annually, representing funding for over 2,000 existing unfunded STEM learners at the current system funding rates. Laurier’s share of the funding is committed for three years, with funding for 2028/29 and 2029/30 to be confirmed by MCURES through future multi-year planning exercises informed by the upcoming funding model review.</t>
  </si>
  <si>
    <t>laurier_2025_4</t>
  </si>
  <si>
    <t>Notwithstanding this recent infusion of government grant funding, Laurier remain in a structural deficit position, with a modest deficit slated to increase rapidly over the next five years even if tuition is permitted to increase in 2027/28 and beyond. Significant constraints on revenue continue in the short term, including an ongoing general freeze in domestic tuition rates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required to succeed in a highly competitive sector.</t>
  </si>
  <si>
    <t>laurier_2025_5</t>
  </si>
  <si>
    <t>Alongside a challenging revenue outlook, increased scrutiny of universities’ financial performance continues through the MCURES University Financial Accountability Framework. The Framework consists of the five financial health indicators previously reported by Ontario Universities and incorporates debt ratios and the institution’s credit rating into an overall risk assessment. While Laurier’s 2023/24 financial performance resulted in a “low” risk assessment, a significant contributing factor to this assessment was the occurrence of one-time financial impacts such as real estate transactions (reinvested in capital) and the 23/24 one-time-only STEM funding. Without these transactions, Laurier’s performance would have yielded a less favourable risk assessment rating. 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</si>
  <si>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laurier_2025_6</t>
  </si>
  <si>
    <t>Throughout our history, the strength of the Wilfrid Laurier University community has allowed us to capitalize on opportunities and overcome challenges to become a comprehensive, multi-campus institution focused on excellence in academics, a sector-leading student experience, and a growing research enterprise. Since 2019, Laurier has pursued these efforts in addition to implementing significant budget savings targets; with the 2025/26 proposed budget, the magnitude of efficiencies achieved will be in excess of $43 million, a 12% reduction resulting in 2025/26 budgeted expenses of $371 million.</t>
  </si>
  <si>
    <t>laurier_2025_7</t>
  </si>
  <si>
    <t>The Operating Budget comprises the major annual revenues and expenditures of the university’s financial operations. Revenues from student tuition fees and government operating grants account for 85% of the total operating revenues. Faculty and staff salaries and benefits account for 75% of the total operating expenditures. Table 1 below is a summary of the 2025/26 Operating Budget.</t>
  </si>
  <si>
    <t>laurier_2025_8</t>
  </si>
  <si>
    <t>The 2025/26 Budget shows forecasted total revenues of $369.1 million, an increase of $32.6 million, or 9.7%, over last year’s Budget. Tuition revenue has increased by $5.6 million, primarily due to an anticipated 1.6% increase in enrolment and limited, allowable tuition increases. An overall $18.9 million increase in grant funding over the prior year is the result of the recently announced support for the continued delivery and enhancement of STEM programming for the sector, with Laurier receiving $16.1 million. Other grant increases relate to the increase in one-time funding from the Postsecondary Education Sustainability Fund (PSESF) and continued domestic growth at the Milton campus, which is fully funded. An updated Student Affairs Administrative Agreement (SAAA), now called the Comprehensive Student Services Administrative Agreement (CSSAA), resulting in additional student contributions driving the remaining revenue increase.</t>
  </si>
  <si>
    <t>laurier_2025_9</t>
  </si>
  <si>
    <t>Total expenditures are forecasted at $371.4 million, an increase of $27.6 million, or 8.0%, over last year. Salaries and benefits increased by $22.1 million over the previous year, largely due to current collective agreements in place, (~$15 million), benefit increases and transitioning to UPP on January 1, 2026 (~$2.5 million). Non-salary expenses increased by $5.4 million. Section 3.2.6 provides further detail.</t>
  </si>
  <si>
    <t>laurier_2025_10</t>
  </si>
  <si>
    <t>The 2025/26 Budget is being presented as a balanced budget through the continuation of limited austerity measures, appropriation of the Milton operating deficit, and the anticipated additional BEd funding that remains unconfirmed at the time of writing. Further, an institutional 1.0% budget reduction across vice-president portfolios along with limited investments in 2025/26 also contributed to the balanced budget being put forward for approval.</t>
  </si>
  <si>
    <t>Wilfrid Laurier University</t>
  </si>
  <si>
    <t>laurier_2024_1</t>
  </si>
  <si>
    <t>laurier_2024</t>
  </si>
  <si>
    <t>The assumptions and estimates included in the 2024/25 Operating, Ancillary and Capital budgets are based on the information available to management at the time of preparation. Post-secondary institutions in Canada are facing sector-wide challenges, with continued revenue constraints and significant inflationary pressures contributing to growing financial risks. Universities across Ontario are facing increased scrutiny on fiscal performance through a recently announced MCU Financial Accountability Framework and a series of value-for-money audits by the Auditor General.</t>
  </si>
  <si>
    <t>Laurier is now in a structural deficit position, as the university faces significant constraints on revenue including an ongoing general freeze in domestic tuition rates, modest temporary increases to government grant,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to succeed in a highly competitive sector.</t>
  </si>
  <si>
    <t>Alongside a challenging revenue outlook, increased scrutiny of Universities’ financial performance was confirmed as the Ministry of Colleges and Universities introduced the University Financial Accountability Framework. The Framework consists of the five financial health indicators previously reported by Ontario Universities and incorporates debt ratios and the institution’s credit rating into an overall risk assessment. Laurier’s 2022/23 financial performance resulted in a “low” risk assessment, however, a significant contributing factor to this assessment was the occurrence of one-time real estate transactions – without these transactions, Laurier’s performance would have yielded a less favourable risk assessment rating.</t>
  </si>
  <si>
    <t>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</si>
  <si>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In February 2024, Laurier received $11.6 million of funding for the 2023/24 fiscal year as part of the province’s funding approach to stabilize colleges and universities while maintaining a tuition freeze for Ontario students. This funding was provided specifically for STEM program costs for enrolments above currently funded levels. This one-time funding enables Laurier to offset $11.6 million in budgeted expenditures incurred during the 2023/24 year and contribute to a stabilization fund to mitigate future deficits. While this provides some limited, short-term deficit mitigation, without sustained and predictable funding Laurier will continue to be challenged with a growing structural deficit.</t>
  </si>
  <si>
    <t>Throughout our history, the strength of the Wilfrid Laurier University community has allowed us to capitalize on opportunities and prevail over challenges to become a comprehensive, multi-campus institution focused on excellence in academics, a sector-leading student experience, and a growing research enterprise. Since 2019, Laurier has pursued these efforts in addition to implementing significant budget savings targets; with the 2024/25 proposed budget, the magnitude of efficiencies achieved will be in excess of $39 million, a 12% reduction resulting in 2024/25 budgeted expenses of $344 million.</t>
  </si>
  <si>
    <t>The Operating Budget comprises the major annual revenues and expenditures of the university’s financial operations. Revenues from student tuition fees and government operating grants account for 86% of the total operating revenues. Faculty and staff salaries and benefits account for 75% of the total operating expenditures. Table 1 below is a summary of the 2024/25 Operating Budget.</t>
  </si>
  <si>
    <t>The 2024/25 Budget shows forecasted total revenues of $336.5 million, an increase of $9.1 million, or 2.8%, over last year’s Budget. Tuition revenue has remained substantially unchanged with a slight increase of $0.2 million. An overall $3.9 million increase in grant funding over the prior year is mainly due to the increase in one-time funding from the Postsecondary Education Sustainability Fund. Government operating grant base funding remains steady, with a slight increase reflecting the inaugural student cohort at the new Milton campus. An updated Student Affairs Advisory Committee (SAAC) agreement, resulting in additional student contributions of $3.6 million in 2023/24, drove the remaining revenue increase.</t>
  </si>
  <si>
    <t>Total expenditures are forecasted at $343.9 million, an increase of $9.7 million, or 2.9%, over last year. Salaries and benefits increased by $14.9 million over the previous year, largely due to current collective agreements in place, and non-salary expenses decreased by $5.2 million.</t>
  </si>
  <si>
    <t>The 2024/25 Budget is being presented as a balanced budget primarily through limited austerity measures, appropriation of the Milton operating deficit, and drawdown of the Operating Budget Stabilization Reserve. Further, an institutional 4.5% budget reduction across vice-president portfolios along with limited investments in 2024/25 also contributed to the balanced budget being put forward for approval.</t>
  </si>
  <si>
    <t>laurier_2024_2</t>
  </si>
  <si>
    <t>laurier_2024_3</t>
  </si>
  <si>
    <t>laurier_2024_4</t>
  </si>
  <si>
    <t>laurier_2024_5</t>
  </si>
  <si>
    <t>laurier_2024_6</t>
  </si>
  <si>
    <t>laurier_2024_7</t>
  </si>
  <si>
    <t>laurier_2024_8</t>
  </si>
  <si>
    <t>laurier_2024_9</t>
  </si>
  <si>
    <t>laurier_2024_10</t>
  </si>
  <si>
    <t>laurier_2024_11</t>
  </si>
  <si>
    <t>laurier_2023_1</t>
  </si>
  <si>
    <t>laurier_2023</t>
  </si>
  <si>
    <t>The 2023/24 budget anticipates a full return to on-campus operations following multiple years of pandemic-driven budget assumptions. In recent years, the organization has been successful in mitigating the cumulative fiscal impacts of tuition cuts, grant and tuition freezes, pandemic-related public health restrictions, and challenges affecting sector efforts in internationalization. The provincial government has recently announced a blue-ribbon panel, composed of business and academic leaders, that will provide advice and recommendations related to sector financial stability beyond 2023/24. For 2023/24, funding constraints are continuing, with a continued tuition freeze for most Ontario students and fixed operating grant funding.</t>
  </si>
  <si>
    <t>With financial challenges escalating, the sector is also subject to increased scrutiny resulting from recent auditor general value-for-money audits. While annual operating budget plans are critical to financial sustainability, the assessment of comprehensive fiscal health inclusive of capital planning, reserve considerations, and debt capacity, will be needed to support Laurier’s significant upcoming growth initiatives. Laurier is poised to embark upon a number of exciting initiatives which will contribute to its strategic mandate and success in a highly competitive sector. The prioritization and focus on key investments with consideration for revenue generation, cost containment and spending to increase priority services and programs, will be critical in optimizing limited resources and safeguarding Laurier’s financial health – key principles in the development of the 2023/24 Budget.</t>
  </si>
  <si>
    <t>laurier_2023_2</t>
  </si>
  <si>
    <t>This draft report includes the Operating and Ancillary Funds which are Laurier’s largest funds and components of the overall Consolidated Financial Statement Funds. The Capital Budget will be presented to the Board for approval at the June meeting. At this time, the Milton operating plan and capital project budget are not included. Program and campus development are currently underway with a projected Milton campus opening in Fall 2024. Based on a risk analysis of pursuing campus expansion in the current environment, programming will commence in pre-existing leased space with construction of Milton One timed in accordance with enrolment trajectory and debt-servicing capacity. A revised business plan is in development for presentation in the May/June governance cycle. </t>
  </si>
  <si>
    <t>Every budget report contains forward-looking information and is based on information available to management at the time of preparation; actual results may vary from these assumptions.</t>
  </si>
  <si>
    <t>laurier_2023_3</t>
  </si>
  <si>
    <t>laurier_2023_4</t>
  </si>
  <si>
    <t>The assumptions and estimates included in the 2023/24 Operating and Ancillary budgets are based on the information available to management at the time of preparation. Post-secondary institutions in Canada are facing sector-wide challenges; the cumulative impact of tuition cuts, grant and tuition freezes, COVID-19 pandemic impacts and significant inflationary pressures have contributed to growing financial risks. Universities across Ontario are facing increased scrutiny on fiscal performance and a greater focus on financial health indicators is expected as part of the province’s overall performance management framework. This will require demonstration of effective financial planning which considers the short-term needs articulated in a fiscal year budget, as well as longer term strategies that tie into strategic priorities and capital planning. Throughout our history, the strength of the Wilfrid Laurier University community has allowed us to capitalize on opportunities and prevail over challenges to become a comprehensive, multi-campus institution focused on excellence in academics, a student experience second to none, and growing research enterprise. The 2023/24 budget builds upon those strengths as the university embarks on a number of efforts which will contribute to its continued success.</t>
  </si>
  <si>
    <t>Beyond pandemic recovery, Laurier is faced with frozen Ontario tuition and grant values, increasing building renewal needs, continued investment in information technology systems, compounding inflationary pressures and funding requirements for investment in strategic initiatives and programs to succeed in a highly competitive sector.</t>
  </si>
  <si>
    <t>While Laurier currently meets the minimum benchmark in four out of five financial health indicators and enjoys a DBRS Long Term Debt Rating of “A”, consideration of financial decisions must be made in the context of the organization’s strategic mandate, as well as the full financial picture inclusive of capital, reserves, debt, and operating and ancillary services budgets.</t>
  </si>
  <si>
    <t>Prioritization and a focus on key investments, with consideration for growth strategies, revenue generation, cost containment and spending to increase priority services and programs will be critical to optimize limited resources and safeguard Laurier’s fiscal health.</t>
  </si>
  <si>
    <t>Financial sustainability is a critical enabler that will equip Laurier with the financial strength and capacity to achieve its strategic objectives. Financial sustainability refers to the balance between the revenues available to institutions to support their academic activities and the expenses they incur in delivering their mission.</t>
  </si>
  <si>
    <t>Laurier continues work to strengthen financial sustainability to support the strategic objectives of the organization. In 2023/24, Laurier will continue 2022/23 efforts to deliver enhanced, consolidated quarterly financial reports, develop preliminary debt and reserve strategies, and improve capital budgeting practices. The recent reports by the Auditor General have also provided additional considerations for Laurier in the pursuit of financial sustainability and effective financial management.</t>
  </si>
  <si>
    <t>The 2023/24 Budget shows forecasted total revenues of $327.4 million, a decrease of $5.1 million, or 1.5%, over last year’s Budget. Tuition revenue has decreased significantly by $13.7 million or 6.9%, reflecting the flow-through of the tuition shortfall experienced in 2022/23. Government operating grants remain steady with a slight increase of $0.2 million.</t>
  </si>
  <si>
    <t>Total expenditures are forecasted at $334.1 million, an increase of $3.7 million, or 1.1%, over last year. Salaries and benefits remained relatively constant over the previous year, with multiple factors contributing both favourably and unfavourably and non-salary expenses increasing by $3.8 million.</t>
  </si>
  <si>
    <t>The 2023/24 Budget being presented is a deficit budget of $1.9 million. Laurier will be pursuing a multi-year approach to addressing financial sustainability, with in-year strategies to minimize the draw on reserves coupled with a return to realizing a surplus budget strategy.</t>
  </si>
  <si>
    <t>laurier_2023_5</t>
  </si>
  <si>
    <t>laurier_2023_6</t>
  </si>
  <si>
    <t>laurier_2023_7</t>
  </si>
  <si>
    <t>laurier_2023_8</t>
  </si>
  <si>
    <t>laurier_2023_9</t>
  </si>
  <si>
    <t>laurier_2023_10</t>
  </si>
  <si>
    <t>laurier_2023_11</t>
  </si>
  <si>
    <t>laurier_2023_12</t>
  </si>
  <si>
    <t>laurier_2023_13</t>
  </si>
  <si>
    <t>laurier_2022_1</t>
  </si>
  <si>
    <t>laurier_2022</t>
  </si>
  <si>
    <t>Every budget report contains forward-looking information and is based on information available to management at the time of preparation; actual results may vary from these assumptions. In 2022/23, Laurier will enter its third year with a budget set in the context of a global pandemic. While the organization has been successful in mitigating some of the fiscal impacts of the pandemic, this work continues for 2022/23 as we continue progress towards a full return to an on-campus presence.</t>
  </si>
  <si>
    <t>Laurier is poised to embark upon a number of exciting initiatives which will contribute to its success in a highly competitive sector. Consideration of financial decisions must be made in the context of the organization’s strategic mandate, as well as the full financial picture inclusive of capital, reserves, debt, and operating and ancillary services budgets. The Financial Sustainability Project, initiated in fall 2021, will strengthen capabilities in maintaining an up-to-date understanding of this full financial picture. The prioritization and focus on key investments with consideration for revenue generation, cost containment and spending to increase priority services or programs will be critical in optimizing limited resources and safeguarding Laurier’s financial health and has served as key principles in the development of the 2022/23 Budget.</t>
  </si>
  <si>
    <t>This draft report includes the Operating, Ancillary and Capital Funds which are Laurier’s largest funds and components of the overall Consolidated Financial Statement Funds. Figure 1 depicts the different funds which are presented annually in the audited financial statements</t>
  </si>
  <si>
    <t>The Operating Budget comprises the major annual revenues and expenditures of the University’s financial operations. Revenues from student tuition fees and government operating grants account for 90% of the total operating revenues. Faculty and staff salaries and benefits account for 74% of the total operating expenditures.</t>
  </si>
  <si>
    <t>The 2022/23 Budget (as presented in Table 7) shows forecasted total revenues of $332.5 million, an increase of $22.8 million, or 7.4%, over last year’s Budget. Tuition revenue has increased significantly by $21.5 million or 12.2% based on significant growth in projected undergraduate enrolment. Government operating grants remaining steady with a slight decrease of $0.2 million.</t>
  </si>
  <si>
    <t>Total expenditures are forecasted at $330.4 million, an increase of $18.9 million, or 6.1%, over last year. This includes an increase of $12.1 million in total salaries and benefits and an increase of $6.8 million in non-salary expenses.</t>
  </si>
  <si>
    <t>The 2022/23 Budget being presented is a surplus budget which represents an increase of $3.9 million compared to the 2021/22 budgeted deficit of $1.9 million, and will provide contributions towards strengthening reserves to support future capital and strategic projects.</t>
  </si>
  <si>
    <t>laurier_2022_2</t>
  </si>
  <si>
    <t>laurier_2022_3</t>
  </si>
  <si>
    <t>laurier_2022_4</t>
  </si>
  <si>
    <t>laurier_2022_5</t>
  </si>
  <si>
    <t>laurier_2022_6</t>
  </si>
  <si>
    <t>laurier_2022_7</t>
  </si>
  <si>
    <t>laurier_2021_1</t>
  </si>
  <si>
    <t>Every budget report contains forward-looking information and is based on information available to management at the time of preparation; actual results may vary from these assumptions. In 2021/22, Laurier will enter a second year with a budget set in the context of a global pandemic. While the organization has been successful in mitigating some of the fiscal impacts of the pandemic in 2020/21, this work continues for 2021/22 as we anticipate a return to on-campus presence beginning in the fall and accelerating to normal levels in winter 2022.</t>
  </si>
  <si>
    <t>In addition to the challenges presented by the pandemic, Laurier is also faced with a structural deficit and growing capital infrastructure needs. Most importantly, however, the University is poised to embark upon a number of exciting initiatives which will contribute to its success in a highly competitive sector. The ability to optimize investments in future-looking strategic endeavours while safeguarding the organization’s financial health has been a key principle in the development of the 2021/22 Budget. Prior to the Board of Governors receiving this final Budget, the draft Budget was presented to the Finance and Investments Committee on May 20. The summary version was also presented to the Senate Executive and Finance Committee on May 11 and to Senate on May 19. Fee information, which is part of the assumptions included in this 2021/22 Budget report, has been included in a separate 2021/22 Fee Report and was presented and approved at the April Board of Governors meeting.</t>
  </si>
  <si>
    <t>The assumptions and estimates included in the 2021/22 Operating and Ancillary budgets are based on the information available to management at the time of preparation. The prolonged event of the global Coronavirus pandemic continues to present challenges for Laurier and the university sector overall. As the University continues to monitor and align with public health requirements and guidelines, it maintains strong alignment with the organizational mandate and vision as set out on the Laurier Strategy, and the Strategic Mandate Agreement. The 2021/22 Operating Budget pursues the balance between mitigating the impact of current challenges, such as a significantly reduced on-campus presence, with the need to invest in longer-term strategic objectives. As Laurier embarks on a second year of pandemic budgeting for the 2021/22 year, there is consideration for the longer-term multi-year approach as we look forward to pandemic recovery.</t>
  </si>
  <si>
    <t>In this multi-year approach, continued efforts to address a structural deficit are needed to lay the groundwork for Laurier to succeed in a post-pandemic world. Beyond pandemic recovery, Laurier is faced with frozen tuition and grant values, increasing capital infrastructure needs, continued investment in information technology systems, compounding inflationary pressures and funding requirements for investment in strategic initiatives and programs to succeed in a highly competitive sector.</t>
  </si>
  <si>
    <t>While Laurier currently meets the minimum benchmark in four out of five financial health indicators and enjoys a DBRS Long Term Debt Rating of “A”, the ongoing structural deficit, decreasing reserve balances, and the impacts of the pandemic present challenges to meeting these targets in the future.</t>
  </si>
  <si>
    <t>Prioritization and a focus on key investments, with consideration for growth strategies, revenue generation, cost containment and spending to increase key services and programs will be critical to optimize limited resources and safeguard the organization’s fiscal health. </t>
  </si>
  <si>
    <t>The 2021/22 Budget (as presented in Table 6) shows forecasted total revenues of $309.7 million, an increase of $2.2 million, or 0.7%, over last year’s Budget. Tuition revenue has remained fairly flat at $1.2 million increase or 0.7% based on the recently confirmed extension of the domestic tuition rate freeze and continued challenges to international student recruitment (based on visa processing delays and travel restrictions. Government operating grants remaining steady with an increase of $0.4 million.</t>
  </si>
  <si>
    <t>Total expenditures are forecasted at $312.5 million, an increase of $0.5 million, or 0.2%, over last year. This includes a decrease of $1.9 million in total salaries and benefits and an increase of $2.5 million in non-salary expenses.</t>
  </si>
  <si>
    <t>The 2021/22 excess of expenditures over revenues has produced a deficit of $2.9 million, which represents a decrease of $1.7 million compared to the 2020/21 budgeted deficit of $4.6 million. The 2021/22 deficit will be bridged through anticipated 2020/21 year-end surplus results.</t>
  </si>
  <si>
    <t>laurier_2021_2</t>
  </si>
  <si>
    <t>laurier_2021_3</t>
  </si>
  <si>
    <t>laurier_2021_4</t>
  </si>
  <si>
    <t>laurier_2021_5</t>
  </si>
  <si>
    <t>laurier_2021_6</t>
  </si>
  <si>
    <t>laurier_2021_7</t>
  </si>
  <si>
    <t>laurier_2021_8</t>
  </si>
  <si>
    <t>laurier_2021_9</t>
  </si>
  <si>
    <t>laurier_2021_10</t>
  </si>
  <si>
    <t>laurier_2021</t>
  </si>
  <si>
    <t>laurier_2019_1</t>
  </si>
  <si>
    <t>laurier_2019</t>
  </si>
  <si>
    <t>laurier_2019_2</t>
  </si>
  <si>
    <t>This report contains forward-looking information. In preparing the 2019/20 Budget report, certain assumptions and estimates were necessary. The assumptions and estimates are based on information available to management at the time of preparing the 2019/20 Budget. Readers and users of this financial information are cautioned that actual results may vary from the assumptions used in preparation of the Budget.</t>
  </si>
  <si>
    <t>Budget forecasts and information regarding the 2019/20 Budget have been presented to the Finance and Investments (F&amp;I) Committee throughout the past fiscal year. As changes in revenue and expenditure drivers occur during the year, updated projections will be presented to the Board of Governors. Prior to the Board of Governors receiving this final Budget, the draft Budget was presented to the Finance and Investments Committee at their May 16, 2019 meeting, which provided the opportunity to review and comment prior to the information being presented in this report. In addition, the draft Budget was presented to the Senate Finance Committee on May 6, 2019 and to Senate on May 22, 2019. At the Senate meeting, the motion was put forward from the Senate Finance Committee that Senate recommends the 2019/20 Budget for approval by the Board of Governors. Fee information, which is part of the assumptions included in this 2019/20 Budget report, has been included in a separate 2019/20 Fee Report and is being presented to the Board of Governors for approval at the June meeting. This 2019/20 Budget report is prepared annually and in a format consistent with previous years in order to enhance comparability. Included is detailed financial information along with various commentary and analysis.</t>
  </si>
  <si>
    <t>The Operating Budget comprises the major annual revenues and expenditures of the University’s financial operations. Revenues from student tuition fees and government operating grants account for 91% of the total operating revenues. Faculty and staff salaries and benefits account for 75% of the total operating expenditures.</t>
  </si>
  <si>
    <t>The 2019/20 Budget shows forecasted total revenues of $291.8 million, a decrease of $8.4 million, or 2.8%, over last year’s Budget. The Provincial Government released a new Tuition Fee Framework, which mandates a 10% tuition fee reduction for all publicly funded programs for funding-eligible students as of the beginning of the upcoming academic year. This reflects a total tuition revenue decrease of $11.5 million, or 6.6%.</t>
  </si>
  <si>
    <t>Total expenditures are forecasted at $310.2 million, an increase of $9.6 million, or 3.2%, over last year. This includes an increase of $11.4 million in total salaries and benefits and a decrease of $1.8 million in non-salary expenses.</t>
  </si>
  <si>
    <t>The 2019/20 excess of expenditures over revenues has produced a deficit of $18.4 million which is being bridged through one-time only reserves from prior years.</t>
  </si>
  <si>
    <t>In 2017/18, the university began implementation of a new Responsibility Centre Management (RCM) budget model. A five-year Transition Plan was developed to guide the budget process toward an incremental implementation of the RCM budget model.</t>
  </si>
  <si>
    <t>The Operating Budget is developed with a focus on ensuring resources are devoted to high impact strategic priorities and are aligned with the institutional mission. In light of policy changes governing tuition fees, it is increasingly important to ensure that resource allocation reflects the strategic direction of the institution, while exercising spending constraint.</t>
  </si>
  <si>
    <t>A number of external factors directly influence Laurier’s Budget. These include:
The Strategic Mandate Agreement (SMA) outlines the role the University performs in Ontario’s postsecondary education system and how it will build on its current strengths. The government has signalled changes in direction for the next SMA, including a decrease to enrolment-based funding and an increase to performance-based funding.</t>
  </si>
  <si>
    <t>On January 17, 2019, the Provincial government introduced a new tuition fee framework. Tuition fee levels were reduced by 10% relative to 2018/19 levels for domestic students in all funding-eligible programs. Tuition fees will also be frozen in 2020/21.</t>
  </si>
  <si>
    <t>At Laurier, undergraduate domestic tuition represents approximately 42% of total operating revenue and graduate eligible tuition represents approximately 4%. Therefore, the tuition reduction impacts approximately 46% of total operating revenue.</t>
  </si>
  <si>
    <t>Ontario universities moved to a corridor funding model where institutions are funded to a midpoint level of enrolment. This midpoint is based on prior funding levels and is reviewed annually.</t>
  </si>
  <si>
    <t>Discussions regarding future Strategic Mandate Agreements are ongoing and may affect funding levels.</t>
  </si>
  <si>
    <t>The Provincial Government announced the withdrawal of capital funding for the Milton campus. Laurier’s capital allocation had been slated at $90 million. Despite this, Laurier remains committed to expanding into Milton and enhancing its multi-campus presence.</t>
  </si>
  <si>
    <t>Laurier has committed to a phased development approach in Milton, including offering programs and expanding to a full education village.</t>
  </si>
  <si>
    <t>The university began developing a new Strategic Plan (2019–2024), which will outline priorities for the next five years and guide future budgets.
The 2019/20 budget is the third developed under the Responsibility Centre Management (RCM) model.</t>
  </si>
  <si>
    <t>laurier_2019_3</t>
  </si>
  <si>
    <t>laurier_2019_4</t>
  </si>
  <si>
    <t>laurier_2019_5</t>
  </si>
  <si>
    <t>laurier_2019_6</t>
  </si>
  <si>
    <t>laurier_2019_7</t>
  </si>
  <si>
    <t>laurier_2019_8</t>
  </si>
  <si>
    <t>laurier_2019_9</t>
  </si>
  <si>
    <t>laurier_2019_10</t>
  </si>
  <si>
    <t>laurier_2019_11</t>
  </si>
  <si>
    <t>laurier_2019_12</t>
  </si>
  <si>
    <t>laurier_2019_13</t>
  </si>
  <si>
    <t>laurier_2019_14</t>
  </si>
  <si>
    <t>laurier_2019_15</t>
  </si>
  <si>
    <t>laurier_2019_16</t>
  </si>
  <si>
    <t>laurier_2019_17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</si>
</sst>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
      <sz val="11"/>
      <color rgb="FFFF0000"/>
      <name val="Calibri"/>
      <family val="2"/>
    </font>
    <font>
      <sz val="14"/>
      <color rgb="FF000000"/>
      <name val="-webkit-standard"/>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xf numFmtId="0" fontId="0" fillId="8" borderId="0" xfId="0" applyFill="1" applyAlignment="1">
      <alignment horizontal="left"/>
    </xf>
    <xf numFmtId="0" fontId="1" fillId="2" borderId="0" xfId="0" applyFont="1" applyFill="1" applyAlignment="1">
      <alignment horizontal="right"/>
    </xf>
    <xf numFmtId="0" fontId="0" fillId="8" borderId="0" xfId="0" applyFill="1" applyAlignment="1">
      <alignment horizontal="right"/>
    </xf>
    <xf numFmtId="0" fontId="0" fillId="2" borderId="0" xfId="0" applyFill="1" applyAlignment="1">
      <alignment horizontal="right"/>
    </xf>
    <xf numFmtId="0" fontId="0" fillId="0" borderId="0" xfId="0" applyAlignment="1"/>
    <xf numFmtId="0" fontId="4" fillId="0" borderId="0" xfId="0" applyFont="1"/>
    <xf numFmtId="0" fontId="14" fillId="0" borderId="0" xfId="0" applyFont="1"/>
    <xf numFmtId="0" fontId="14" fillId="0" borderId="0" xfId="0" applyFont="1" applyAlignment="1">
      <alignment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334"/>
  <sheetViews>
    <sheetView tabSelected="1" topLeftCell="A312" zoomScaleNormal="100" workbookViewId="0">
      <selection activeCell="N339" sqref="N339"/>
    </sheetView>
  </sheetViews>
  <sheetFormatPr baseColWidth="10" defaultRowHeight="16"/>
  <cols>
    <col min="1" max="1" width="12.33203125" customWidth="1"/>
    <col min="2" max="2" width="16.33203125" customWidth="1"/>
    <col min="3" max="3" width="14.6640625" customWidth="1"/>
    <col min="4" max="5" width="15" style="13" hidden="1" customWidth="1"/>
    <col min="6" max="6" width="15" style="13" customWidth="1"/>
    <col min="7" max="7" width="15" style="23" customWidth="1"/>
    <col min="8" max="8" width="15" style="13"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c r="A1" s="2" t="s">
        <v>0</v>
      </c>
      <c r="B1" s="2" t="s">
        <v>1</v>
      </c>
      <c r="C1" s="5" t="s">
        <v>2</v>
      </c>
      <c r="D1" s="12" t="s">
        <v>412</v>
      </c>
      <c r="E1" s="12" t="s">
        <v>413</v>
      </c>
      <c r="F1" s="12" t="s">
        <v>393</v>
      </c>
      <c r="G1" s="21"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22">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22">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22">
        <v>0</v>
      </c>
      <c r="H4" s="20">
        <v>2</v>
      </c>
      <c r="I4" s="4">
        <v>3</v>
      </c>
      <c r="J4" s="4">
        <v>9</v>
      </c>
      <c r="K4" s="4" t="s">
        <v>11</v>
      </c>
      <c r="L4" s="4" t="s">
        <v>13</v>
      </c>
      <c r="M4" s="4">
        <v>2017</v>
      </c>
      <c r="N4" s="4">
        <v>1</v>
      </c>
      <c r="O4" s="4">
        <v>0</v>
      </c>
    </row>
    <row r="5" spans="1:21">
      <c r="A5" s="4" t="s">
        <v>9</v>
      </c>
      <c r="B5" s="4" t="s">
        <v>24</v>
      </c>
      <c r="C5" s="6" t="s">
        <v>19</v>
      </c>
      <c r="D5" s="13">
        <v>1</v>
      </c>
      <c r="E5" s="13" t="s">
        <v>399</v>
      </c>
      <c r="F5" s="13">
        <v>1</v>
      </c>
      <c r="G5" s="22">
        <v>0</v>
      </c>
      <c r="H5" s="13">
        <v>1</v>
      </c>
      <c r="I5" s="4">
        <v>6</v>
      </c>
      <c r="J5" s="4">
        <v>9</v>
      </c>
      <c r="K5" s="4" t="s">
        <v>11</v>
      </c>
      <c r="L5" s="4" t="s">
        <v>13</v>
      </c>
      <c r="M5" s="4">
        <v>2017</v>
      </c>
      <c r="N5" s="4">
        <v>1</v>
      </c>
      <c r="O5" s="4">
        <v>0</v>
      </c>
    </row>
    <row r="6" spans="1:21">
      <c r="A6" s="4" t="s">
        <v>9</v>
      </c>
      <c r="B6" s="4" t="s">
        <v>25</v>
      </c>
      <c r="C6" s="6" t="s">
        <v>20</v>
      </c>
      <c r="D6" s="13">
        <v>1</v>
      </c>
      <c r="E6" s="13" t="s">
        <v>399</v>
      </c>
      <c r="F6" s="13">
        <v>1</v>
      </c>
      <c r="G6" s="22">
        <v>1</v>
      </c>
      <c r="H6" s="13">
        <v>2</v>
      </c>
      <c r="I6" s="4">
        <v>8</v>
      </c>
      <c r="J6" s="4">
        <v>9</v>
      </c>
      <c r="K6" s="4" t="s">
        <v>11</v>
      </c>
      <c r="L6" s="4" t="s">
        <v>13</v>
      </c>
      <c r="M6" s="4">
        <v>2017</v>
      </c>
      <c r="N6" s="4">
        <v>1</v>
      </c>
      <c r="O6" s="4">
        <v>0</v>
      </c>
    </row>
    <row r="7" spans="1:21">
      <c r="A7" s="4" t="s">
        <v>9</v>
      </c>
      <c r="B7" s="4" t="s">
        <v>26</v>
      </c>
      <c r="C7" s="6" t="s">
        <v>21</v>
      </c>
      <c r="D7" s="13">
        <v>0</v>
      </c>
      <c r="F7" s="13">
        <v>1</v>
      </c>
      <c r="G7" s="22">
        <v>0</v>
      </c>
      <c r="H7" s="13">
        <v>1</v>
      </c>
      <c r="I7" s="4">
        <v>9</v>
      </c>
      <c r="J7" s="4">
        <v>9</v>
      </c>
      <c r="K7" s="4" t="s">
        <v>11</v>
      </c>
      <c r="L7" s="4" t="s">
        <v>13</v>
      </c>
      <c r="M7" s="4">
        <v>2017</v>
      </c>
      <c r="N7" s="4">
        <v>1</v>
      </c>
      <c r="O7" s="4">
        <v>0</v>
      </c>
    </row>
    <row r="8" spans="1:21">
      <c r="A8" s="4" t="s">
        <v>8</v>
      </c>
      <c r="B8" s="4" t="s">
        <v>27</v>
      </c>
      <c r="C8" s="6" t="s">
        <v>28</v>
      </c>
      <c r="D8" s="13">
        <v>1</v>
      </c>
      <c r="E8" s="13" t="s">
        <v>395</v>
      </c>
      <c r="F8" s="13">
        <v>1</v>
      </c>
      <c r="G8" s="22">
        <v>1</v>
      </c>
      <c r="H8" s="13">
        <v>2</v>
      </c>
      <c r="I8" s="4">
        <v>1</v>
      </c>
      <c r="J8" s="4">
        <v>9</v>
      </c>
      <c r="K8" s="4" t="s">
        <v>11</v>
      </c>
      <c r="L8" s="4" t="s">
        <v>13</v>
      </c>
      <c r="M8" s="4">
        <v>2018</v>
      </c>
      <c r="N8" s="4">
        <v>1</v>
      </c>
      <c r="O8" s="4">
        <v>0</v>
      </c>
    </row>
    <row r="9" spans="1:21">
      <c r="A9" s="4" t="s">
        <v>8</v>
      </c>
      <c r="B9" s="4" t="s">
        <v>33</v>
      </c>
      <c r="C9" s="6" t="s">
        <v>29</v>
      </c>
      <c r="D9" s="13">
        <v>1</v>
      </c>
      <c r="E9" s="13" t="s">
        <v>399</v>
      </c>
      <c r="F9" s="13">
        <v>1</v>
      </c>
      <c r="G9" s="22">
        <v>1</v>
      </c>
      <c r="H9" s="13">
        <v>2</v>
      </c>
      <c r="I9" s="4">
        <v>2</v>
      </c>
      <c r="J9" s="4">
        <v>9</v>
      </c>
      <c r="K9" s="4" t="s">
        <v>11</v>
      </c>
      <c r="L9" s="4" t="s">
        <v>13</v>
      </c>
      <c r="M9" s="4">
        <v>2018</v>
      </c>
      <c r="N9" s="4">
        <v>1</v>
      </c>
      <c r="O9" s="4">
        <v>0</v>
      </c>
    </row>
    <row r="10" spans="1:21">
      <c r="A10" s="4" t="s">
        <v>8</v>
      </c>
      <c r="B10" s="4" t="s">
        <v>34</v>
      </c>
      <c r="C10" s="6" t="s">
        <v>30</v>
      </c>
      <c r="D10" s="13">
        <v>1</v>
      </c>
      <c r="E10" s="13" t="s">
        <v>399</v>
      </c>
      <c r="F10" s="13">
        <v>1</v>
      </c>
      <c r="G10" s="22">
        <v>0</v>
      </c>
      <c r="H10" s="13">
        <v>1</v>
      </c>
      <c r="I10" s="4">
        <v>6</v>
      </c>
      <c r="J10" s="4">
        <v>9</v>
      </c>
      <c r="K10" s="4" t="s">
        <v>11</v>
      </c>
      <c r="L10" s="4" t="s">
        <v>13</v>
      </c>
      <c r="M10" s="4">
        <v>2018</v>
      </c>
      <c r="N10" s="4">
        <v>1</v>
      </c>
      <c r="O10" s="4">
        <v>0</v>
      </c>
    </row>
    <row r="11" spans="1:21">
      <c r="A11" s="4" t="s">
        <v>8</v>
      </c>
      <c r="B11" s="4" t="s">
        <v>35</v>
      </c>
      <c r="C11" s="6" t="s">
        <v>31</v>
      </c>
      <c r="D11" s="13">
        <v>1</v>
      </c>
      <c r="E11" s="13" t="s">
        <v>399</v>
      </c>
      <c r="F11" s="13">
        <v>1</v>
      </c>
      <c r="G11" s="22">
        <v>1</v>
      </c>
      <c r="H11" s="13">
        <v>2</v>
      </c>
      <c r="I11" s="4">
        <v>7</v>
      </c>
      <c r="J11" s="4">
        <v>9</v>
      </c>
      <c r="K11" s="4" t="s">
        <v>11</v>
      </c>
      <c r="L11" s="4" t="s">
        <v>13</v>
      </c>
      <c r="M11" s="4">
        <v>2018</v>
      </c>
      <c r="N11" s="4">
        <v>1</v>
      </c>
      <c r="O11" s="4">
        <v>0</v>
      </c>
    </row>
    <row r="12" spans="1:21">
      <c r="A12" s="4" t="s">
        <v>8</v>
      </c>
      <c r="B12" s="4" t="s">
        <v>36</v>
      </c>
      <c r="C12" s="6" t="s">
        <v>32</v>
      </c>
      <c r="D12" s="13">
        <v>0</v>
      </c>
      <c r="F12" s="13">
        <v>1</v>
      </c>
      <c r="G12" s="22">
        <v>0</v>
      </c>
      <c r="H12" s="13">
        <v>1</v>
      </c>
      <c r="I12" s="4">
        <v>9</v>
      </c>
      <c r="J12" s="4">
        <v>9</v>
      </c>
      <c r="K12" s="4" t="s">
        <v>11</v>
      </c>
      <c r="L12" s="4" t="s">
        <v>13</v>
      </c>
      <c r="M12" s="4">
        <v>2018</v>
      </c>
      <c r="N12" s="4">
        <v>1</v>
      </c>
      <c r="O12" s="4">
        <v>0</v>
      </c>
    </row>
    <row r="13" spans="1:21">
      <c r="A13" s="4" t="s">
        <v>7</v>
      </c>
      <c r="B13" s="4" t="s">
        <v>37</v>
      </c>
      <c r="C13" s="7" t="s">
        <v>39</v>
      </c>
      <c r="D13" s="13">
        <v>1</v>
      </c>
      <c r="E13" s="13" t="s">
        <v>395</v>
      </c>
      <c r="F13" s="13">
        <v>1</v>
      </c>
      <c r="G13" s="22">
        <v>1</v>
      </c>
      <c r="H13" s="13">
        <v>2</v>
      </c>
      <c r="I13" s="4">
        <v>1</v>
      </c>
      <c r="J13" s="4">
        <v>7</v>
      </c>
      <c r="K13" s="4" t="s">
        <v>11</v>
      </c>
      <c r="L13" s="4" t="s">
        <v>13</v>
      </c>
      <c r="M13" s="4">
        <v>2019</v>
      </c>
      <c r="N13" s="4">
        <v>1</v>
      </c>
      <c r="O13" s="4">
        <v>1</v>
      </c>
    </row>
    <row r="14" spans="1:21">
      <c r="A14" s="4" t="s">
        <v>7</v>
      </c>
      <c r="B14" s="4" t="s">
        <v>44</v>
      </c>
      <c r="C14" s="7" t="s">
        <v>40</v>
      </c>
      <c r="D14" s="13">
        <v>1</v>
      </c>
      <c r="E14" s="13" t="s">
        <v>399</v>
      </c>
      <c r="F14" s="13">
        <v>1</v>
      </c>
      <c r="G14" s="22">
        <v>1</v>
      </c>
      <c r="H14" s="13">
        <v>2</v>
      </c>
      <c r="I14" s="4">
        <v>2</v>
      </c>
      <c r="J14" s="4">
        <v>7</v>
      </c>
      <c r="K14" s="4" t="s">
        <v>11</v>
      </c>
      <c r="L14" s="4" t="s">
        <v>13</v>
      </c>
      <c r="M14" s="4">
        <v>2019</v>
      </c>
      <c r="N14" s="4">
        <v>1</v>
      </c>
      <c r="O14" s="4">
        <v>1</v>
      </c>
    </row>
    <row r="15" spans="1:21">
      <c r="A15" s="4" t="s">
        <v>7</v>
      </c>
      <c r="B15" s="4" t="s">
        <v>45</v>
      </c>
      <c r="C15" s="8" t="s">
        <v>41</v>
      </c>
      <c r="D15" s="13">
        <v>1</v>
      </c>
      <c r="E15" s="13" t="s">
        <v>399</v>
      </c>
      <c r="F15" s="13">
        <v>1</v>
      </c>
      <c r="G15" s="22">
        <v>0</v>
      </c>
      <c r="H15" s="13">
        <v>1</v>
      </c>
      <c r="I15" s="4">
        <v>5</v>
      </c>
      <c r="J15" s="4">
        <v>7</v>
      </c>
      <c r="K15" s="4" t="s">
        <v>11</v>
      </c>
      <c r="L15" s="4" t="s">
        <v>13</v>
      </c>
      <c r="M15" s="4">
        <v>2019</v>
      </c>
      <c r="N15" s="4">
        <v>1</v>
      </c>
      <c r="O15" s="4">
        <v>1</v>
      </c>
    </row>
    <row r="16" spans="1:21">
      <c r="A16" s="4" t="s">
        <v>7</v>
      </c>
      <c r="B16" s="4" t="s">
        <v>46</v>
      </c>
      <c r="C16" s="8" t="s">
        <v>42</v>
      </c>
      <c r="D16" s="13">
        <v>1</v>
      </c>
      <c r="E16" s="13" t="s">
        <v>399</v>
      </c>
      <c r="F16" s="13">
        <v>1</v>
      </c>
      <c r="G16" s="22">
        <v>0</v>
      </c>
      <c r="H16" s="20">
        <v>2</v>
      </c>
      <c r="I16" s="4">
        <v>6</v>
      </c>
      <c r="J16" s="4">
        <v>7</v>
      </c>
      <c r="K16" s="4" t="s">
        <v>11</v>
      </c>
      <c r="L16" s="4" t="s">
        <v>13</v>
      </c>
      <c r="M16" s="4">
        <v>2019</v>
      </c>
      <c r="N16" s="4">
        <v>1</v>
      </c>
      <c r="O16" s="4">
        <v>1</v>
      </c>
    </row>
    <row r="17" spans="1:15">
      <c r="A17" s="4" t="s">
        <v>7</v>
      </c>
      <c r="B17" s="4" t="s">
        <v>47</v>
      </c>
      <c r="C17" s="8" t="s">
        <v>43</v>
      </c>
      <c r="D17" s="13">
        <v>0</v>
      </c>
      <c r="F17" s="13">
        <v>1</v>
      </c>
      <c r="G17" s="22">
        <v>0</v>
      </c>
      <c r="H17" s="13">
        <v>1</v>
      </c>
      <c r="I17" s="4">
        <v>7</v>
      </c>
      <c r="J17" s="4">
        <v>7</v>
      </c>
      <c r="K17" s="4" t="s">
        <v>11</v>
      </c>
      <c r="L17" s="4" t="s">
        <v>13</v>
      </c>
      <c r="M17" s="4">
        <v>2019</v>
      </c>
      <c r="N17" s="4">
        <v>1</v>
      </c>
      <c r="O17" s="4">
        <v>1</v>
      </c>
    </row>
    <row r="18" spans="1:15">
      <c r="A18" s="4" t="s">
        <v>38</v>
      </c>
      <c r="B18" s="4" t="s">
        <v>52</v>
      </c>
      <c r="C18" s="8" t="s">
        <v>48</v>
      </c>
      <c r="D18" s="13">
        <v>1</v>
      </c>
      <c r="E18" s="13" t="s">
        <v>395</v>
      </c>
      <c r="F18" s="13">
        <v>1</v>
      </c>
      <c r="G18" s="22">
        <v>1</v>
      </c>
      <c r="H18" s="13">
        <v>2</v>
      </c>
      <c r="I18" s="4">
        <v>5</v>
      </c>
      <c r="J18" s="4">
        <v>10</v>
      </c>
      <c r="K18" s="4" t="s">
        <v>11</v>
      </c>
      <c r="L18" s="4" t="s">
        <v>13</v>
      </c>
      <c r="M18" s="4">
        <v>2020</v>
      </c>
      <c r="N18" s="4">
        <v>1</v>
      </c>
      <c r="O18" s="4">
        <v>1</v>
      </c>
    </row>
    <row r="19" spans="1:15">
      <c r="A19" s="4" t="s">
        <v>38</v>
      </c>
      <c r="B19" s="4" t="s">
        <v>53</v>
      </c>
      <c r="C19" s="8" t="s">
        <v>49</v>
      </c>
      <c r="D19" s="13">
        <v>1</v>
      </c>
      <c r="E19" s="13" t="s">
        <v>399</v>
      </c>
      <c r="F19" s="13">
        <v>1</v>
      </c>
      <c r="G19" s="22">
        <v>1</v>
      </c>
      <c r="H19" s="13">
        <v>2</v>
      </c>
      <c r="I19" s="4">
        <v>6</v>
      </c>
      <c r="J19" s="4">
        <v>10</v>
      </c>
      <c r="K19" s="4" t="s">
        <v>11</v>
      </c>
      <c r="L19" s="4" t="s">
        <v>13</v>
      </c>
      <c r="M19" s="4">
        <v>2020</v>
      </c>
      <c r="N19" s="4">
        <v>1</v>
      </c>
      <c r="O19" s="4">
        <v>1</v>
      </c>
    </row>
    <row r="20" spans="1:15">
      <c r="A20" s="4" t="s">
        <v>38</v>
      </c>
      <c r="B20" s="4" t="s">
        <v>54</v>
      </c>
      <c r="C20" s="8" t="s">
        <v>269</v>
      </c>
      <c r="D20" s="13">
        <v>1</v>
      </c>
      <c r="E20" s="13" t="s">
        <v>395</v>
      </c>
      <c r="F20" s="13">
        <v>1</v>
      </c>
      <c r="G20" s="22">
        <v>0</v>
      </c>
      <c r="H20" s="20">
        <v>2</v>
      </c>
      <c r="I20" s="4">
        <v>8</v>
      </c>
      <c r="J20" s="4">
        <v>10</v>
      </c>
      <c r="K20" s="4" t="s">
        <v>11</v>
      </c>
      <c r="L20" s="4" t="s">
        <v>13</v>
      </c>
      <c r="M20" s="4">
        <v>2020</v>
      </c>
      <c r="N20" s="4">
        <v>1</v>
      </c>
      <c r="O20" s="4">
        <v>1</v>
      </c>
    </row>
    <row r="21" spans="1:15">
      <c r="A21" s="4" t="s">
        <v>38</v>
      </c>
      <c r="B21" s="4" t="s">
        <v>55</v>
      </c>
      <c r="C21" s="8" t="s">
        <v>50</v>
      </c>
      <c r="D21" s="13">
        <v>1</v>
      </c>
      <c r="E21" s="13" t="s">
        <v>399</v>
      </c>
      <c r="F21" s="13">
        <v>1</v>
      </c>
      <c r="G21" s="22">
        <v>0</v>
      </c>
      <c r="H21" s="13">
        <v>1</v>
      </c>
      <c r="I21" s="4">
        <v>9</v>
      </c>
      <c r="J21" s="4">
        <v>10</v>
      </c>
      <c r="K21" s="4" t="s">
        <v>11</v>
      </c>
      <c r="L21" s="4" t="s">
        <v>13</v>
      </c>
      <c r="M21" s="4">
        <v>2020</v>
      </c>
      <c r="N21" s="4">
        <v>1</v>
      </c>
      <c r="O21" s="4">
        <v>1</v>
      </c>
    </row>
    <row r="22" spans="1:15">
      <c r="A22" s="4" t="s">
        <v>38</v>
      </c>
      <c r="B22" s="4" t="s">
        <v>268</v>
      </c>
      <c r="C22" s="8" t="s">
        <v>51</v>
      </c>
      <c r="D22" s="13">
        <v>1</v>
      </c>
      <c r="E22" s="13" t="s">
        <v>399</v>
      </c>
      <c r="F22" s="13">
        <v>1</v>
      </c>
      <c r="G22" s="22">
        <v>0</v>
      </c>
      <c r="H22" s="20">
        <v>2</v>
      </c>
      <c r="I22" s="4">
        <v>10</v>
      </c>
      <c r="J22" s="4">
        <v>10</v>
      </c>
      <c r="K22" s="4" t="s">
        <v>11</v>
      </c>
      <c r="L22" s="4" t="s">
        <v>13</v>
      </c>
      <c r="M22" s="4">
        <v>2020</v>
      </c>
      <c r="N22" s="4">
        <v>1</v>
      </c>
      <c r="O22" s="4">
        <v>1</v>
      </c>
    </row>
    <row r="23" spans="1:15">
      <c r="A23" s="4" t="s">
        <v>56</v>
      </c>
      <c r="B23" s="4" t="s">
        <v>57</v>
      </c>
      <c r="C23" s="8" t="s">
        <v>58</v>
      </c>
      <c r="D23" s="13">
        <v>1</v>
      </c>
      <c r="E23" s="13" t="s">
        <v>395</v>
      </c>
      <c r="F23" s="13">
        <v>1</v>
      </c>
      <c r="G23" s="22">
        <v>1</v>
      </c>
      <c r="H23" s="13">
        <v>2</v>
      </c>
      <c r="I23" s="4">
        <v>1</v>
      </c>
      <c r="J23" s="4">
        <v>6</v>
      </c>
      <c r="K23" s="4" t="s">
        <v>11</v>
      </c>
      <c r="L23" s="4" t="s">
        <v>13</v>
      </c>
      <c r="M23" s="4">
        <v>2021</v>
      </c>
      <c r="N23" s="4">
        <v>1</v>
      </c>
      <c r="O23" s="4">
        <v>1</v>
      </c>
    </row>
    <row r="24" spans="1:15">
      <c r="A24" s="4" t="s">
        <v>56</v>
      </c>
      <c r="B24" s="4" t="s">
        <v>61</v>
      </c>
      <c r="C24" s="8" t="s">
        <v>49</v>
      </c>
      <c r="D24" s="13">
        <v>1</v>
      </c>
      <c r="E24" s="13" t="s">
        <v>399</v>
      </c>
      <c r="F24" s="13">
        <v>1</v>
      </c>
      <c r="G24" s="22">
        <v>1</v>
      </c>
      <c r="H24" s="13">
        <v>2</v>
      </c>
      <c r="I24" s="4">
        <v>2</v>
      </c>
      <c r="J24" s="4">
        <v>6</v>
      </c>
      <c r="K24" s="4" t="s">
        <v>11</v>
      </c>
      <c r="L24" s="4" t="s">
        <v>13</v>
      </c>
      <c r="M24" s="4">
        <v>2021</v>
      </c>
      <c r="N24" s="4">
        <v>1</v>
      </c>
      <c r="O24" s="4">
        <v>1</v>
      </c>
    </row>
    <row r="25" spans="1:15">
      <c r="A25" s="4" t="s">
        <v>56</v>
      </c>
      <c r="B25" s="4" t="s">
        <v>62</v>
      </c>
      <c r="C25" s="9" t="s">
        <v>59</v>
      </c>
      <c r="D25" s="13">
        <v>1</v>
      </c>
      <c r="E25" s="13" t="s">
        <v>395</v>
      </c>
      <c r="F25" s="13">
        <v>1</v>
      </c>
      <c r="G25" s="22">
        <v>1</v>
      </c>
      <c r="H25" s="13">
        <v>2</v>
      </c>
      <c r="I25" s="4">
        <v>4</v>
      </c>
      <c r="J25" s="4">
        <v>6</v>
      </c>
      <c r="K25" s="4" t="s">
        <v>11</v>
      </c>
      <c r="L25" s="4" t="s">
        <v>13</v>
      </c>
      <c r="M25" s="4">
        <v>2021</v>
      </c>
      <c r="N25" s="4">
        <v>1</v>
      </c>
      <c r="O25" s="4">
        <v>1</v>
      </c>
    </row>
    <row r="26" spans="1:15">
      <c r="A26" s="4" t="s">
        <v>56</v>
      </c>
      <c r="B26" s="4" t="s">
        <v>63</v>
      </c>
      <c r="C26" s="9" t="s">
        <v>60</v>
      </c>
      <c r="D26" s="13">
        <v>1</v>
      </c>
      <c r="E26" s="13" t="s">
        <v>399</v>
      </c>
      <c r="F26" s="13">
        <v>1</v>
      </c>
      <c r="G26" s="22">
        <v>0</v>
      </c>
      <c r="H26" s="13">
        <v>1</v>
      </c>
      <c r="I26" s="4">
        <v>5</v>
      </c>
      <c r="J26" s="4">
        <v>6</v>
      </c>
      <c r="K26" s="4" t="s">
        <v>11</v>
      </c>
      <c r="L26" s="4" t="s">
        <v>13</v>
      </c>
      <c r="M26" s="4">
        <v>2021</v>
      </c>
      <c r="N26" s="4">
        <v>1</v>
      </c>
      <c r="O26" s="4">
        <v>1</v>
      </c>
    </row>
    <row r="27" spans="1:15">
      <c r="A27" s="4" t="s">
        <v>64</v>
      </c>
      <c r="B27" s="4" t="s">
        <v>65</v>
      </c>
      <c r="C27" s="9" t="s">
        <v>58</v>
      </c>
      <c r="D27" s="13">
        <v>1</v>
      </c>
      <c r="E27" s="13" t="s">
        <v>395</v>
      </c>
      <c r="F27" s="13">
        <v>1</v>
      </c>
      <c r="G27" s="22">
        <v>1</v>
      </c>
      <c r="H27" s="13">
        <v>2</v>
      </c>
      <c r="I27" s="4">
        <v>1</v>
      </c>
      <c r="J27" s="4">
        <v>7</v>
      </c>
      <c r="K27" s="4" t="s">
        <v>11</v>
      </c>
      <c r="L27" s="4" t="s">
        <v>13</v>
      </c>
      <c r="M27" s="4">
        <v>2022</v>
      </c>
      <c r="N27" s="4">
        <v>1</v>
      </c>
      <c r="O27" s="4">
        <v>1</v>
      </c>
    </row>
    <row r="28" spans="1:15">
      <c r="A28" s="4" t="s">
        <v>64</v>
      </c>
      <c r="B28" s="4" t="s">
        <v>71</v>
      </c>
      <c r="C28" s="9" t="s">
        <v>49</v>
      </c>
      <c r="D28" s="13">
        <v>1</v>
      </c>
      <c r="E28" s="13" t="s">
        <v>399</v>
      </c>
      <c r="F28" s="13">
        <v>1</v>
      </c>
      <c r="G28" s="22">
        <v>1</v>
      </c>
      <c r="H28" s="13">
        <v>2</v>
      </c>
      <c r="I28" s="4">
        <v>2</v>
      </c>
      <c r="J28" s="4">
        <v>7</v>
      </c>
      <c r="K28" s="4" t="s">
        <v>11</v>
      </c>
      <c r="L28" s="4" t="s">
        <v>13</v>
      </c>
      <c r="M28" s="4">
        <v>2022</v>
      </c>
      <c r="N28" s="4">
        <v>1</v>
      </c>
      <c r="O28" s="4">
        <v>1</v>
      </c>
    </row>
    <row r="29" spans="1:15">
      <c r="A29" s="4" t="s">
        <v>64</v>
      </c>
      <c r="B29" s="4" t="s">
        <v>72</v>
      </c>
      <c r="C29" s="9" t="s">
        <v>66</v>
      </c>
      <c r="D29" s="13">
        <v>1</v>
      </c>
      <c r="E29" s="13" t="s">
        <v>399</v>
      </c>
      <c r="F29" s="13">
        <v>1</v>
      </c>
      <c r="G29" s="22">
        <v>1</v>
      </c>
      <c r="H29" s="13">
        <v>2</v>
      </c>
      <c r="I29" s="4">
        <v>3</v>
      </c>
      <c r="J29" s="4">
        <v>7</v>
      </c>
      <c r="K29" s="4" t="s">
        <v>11</v>
      </c>
      <c r="L29" s="4" t="s">
        <v>13</v>
      </c>
      <c r="M29" s="4">
        <v>2022</v>
      </c>
      <c r="N29" s="4">
        <v>1</v>
      </c>
      <c r="O29" s="4">
        <v>1</v>
      </c>
    </row>
    <row r="30" spans="1:15">
      <c r="A30" s="4" t="s">
        <v>64</v>
      </c>
      <c r="B30" s="4" t="s">
        <v>73</v>
      </c>
      <c r="C30" s="9" t="s">
        <v>67</v>
      </c>
      <c r="D30" s="13">
        <v>1</v>
      </c>
      <c r="E30" s="13" t="s">
        <v>399</v>
      </c>
      <c r="F30" s="13">
        <v>1</v>
      </c>
      <c r="G30" s="22">
        <v>0</v>
      </c>
      <c r="H30" s="20">
        <v>2</v>
      </c>
      <c r="I30" s="4">
        <v>4</v>
      </c>
      <c r="J30" s="4">
        <v>7</v>
      </c>
      <c r="K30" s="4" t="s">
        <v>11</v>
      </c>
      <c r="L30" s="4" t="s">
        <v>13</v>
      </c>
      <c r="M30" s="4">
        <v>2022</v>
      </c>
      <c r="N30" s="4">
        <v>1</v>
      </c>
      <c r="O30" s="4">
        <v>1</v>
      </c>
    </row>
    <row r="31" spans="1:15">
      <c r="A31" s="4" t="s">
        <v>64</v>
      </c>
      <c r="B31" s="4" t="s">
        <v>74</v>
      </c>
      <c r="C31" s="9" t="s">
        <v>68</v>
      </c>
      <c r="D31" s="13">
        <v>1</v>
      </c>
      <c r="E31" s="13" t="s">
        <v>397</v>
      </c>
      <c r="F31" s="13">
        <v>1</v>
      </c>
      <c r="G31" s="22">
        <v>0</v>
      </c>
      <c r="H31" s="20">
        <v>2</v>
      </c>
      <c r="I31" s="4">
        <v>5</v>
      </c>
      <c r="J31" s="4">
        <v>7</v>
      </c>
      <c r="K31" s="4" t="s">
        <v>11</v>
      </c>
      <c r="L31" s="4" t="s">
        <v>13</v>
      </c>
      <c r="M31" s="4">
        <v>2022</v>
      </c>
      <c r="N31" s="4">
        <v>1</v>
      </c>
      <c r="O31" s="4">
        <v>1</v>
      </c>
    </row>
    <row r="32" spans="1:15">
      <c r="A32" s="4" t="s">
        <v>64</v>
      </c>
      <c r="B32" s="4" t="s">
        <v>75</v>
      </c>
      <c r="C32" s="9" t="s">
        <v>69</v>
      </c>
      <c r="D32" s="13">
        <v>1</v>
      </c>
      <c r="E32" s="13" t="s">
        <v>399</v>
      </c>
      <c r="F32" s="13">
        <v>1</v>
      </c>
      <c r="G32" s="22">
        <v>0</v>
      </c>
      <c r="H32" s="13">
        <v>1</v>
      </c>
      <c r="I32" s="4">
        <v>6</v>
      </c>
      <c r="J32" s="4">
        <v>7</v>
      </c>
      <c r="K32" s="4" t="s">
        <v>11</v>
      </c>
      <c r="L32" s="4" t="s">
        <v>13</v>
      </c>
      <c r="M32" s="4">
        <v>2022</v>
      </c>
      <c r="N32" s="4">
        <v>1</v>
      </c>
      <c r="O32" s="4">
        <v>1</v>
      </c>
    </row>
    <row r="33" spans="1:15">
      <c r="A33" s="4" t="s">
        <v>64</v>
      </c>
      <c r="B33" s="4" t="s">
        <v>76</v>
      </c>
      <c r="C33" s="9" t="s">
        <v>70</v>
      </c>
      <c r="D33" s="13">
        <v>1</v>
      </c>
      <c r="E33" s="13" t="s">
        <v>399</v>
      </c>
      <c r="F33" s="13">
        <v>1</v>
      </c>
      <c r="G33" s="22">
        <v>1</v>
      </c>
      <c r="H33" s="13">
        <v>2</v>
      </c>
      <c r="I33" s="4">
        <v>7</v>
      </c>
      <c r="J33" s="4">
        <v>7</v>
      </c>
      <c r="K33" s="4" t="s">
        <v>11</v>
      </c>
      <c r="L33" s="4" t="s">
        <v>13</v>
      </c>
      <c r="M33" s="4">
        <v>2022</v>
      </c>
      <c r="N33" s="4">
        <v>1</v>
      </c>
      <c r="O33" s="4">
        <v>1</v>
      </c>
    </row>
    <row r="34" spans="1:15">
      <c r="A34" s="4" t="s">
        <v>77</v>
      </c>
      <c r="B34" s="4" t="s">
        <v>78</v>
      </c>
      <c r="C34" s="9" t="s">
        <v>79</v>
      </c>
      <c r="D34" s="13">
        <v>1</v>
      </c>
      <c r="E34" s="13" t="s">
        <v>395</v>
      </c>
      <c r="F34" s="13">
        <v>1</v>
      </c>
      <c r="G34" s="22">
        <v>1</v>
      </c>
      <c r="H34" s="13">
        <v>2</v>
      </c>
      <c r="I34" s="4">
        <v>1</v>
      </c>
      <c r="J34" s="4">
        <v>8</v>
      </c>
      <c r="K34" s="4" t="s">
        <v>11</v>
      </c>
      <c r="L34" s="4" t="s">
        <v>13</v>
      </c>
      <c r="M34" s="4">
        <v>2023</v>
      </c>
      <c r="N34" s="4">
        <v>1</v>
      </c>
      <c r="O34" s="4">
        <v>1</v>
      </c>
    </row>
    <row r="35" spans="1:15">
      <c r="A35" s="4" t="s">
        <v>77</v>
      </c>
      <c r="B35" s="4" t="s">
        <v>86</v>
      </c>
      <c r="C35" s="9" t="s">
        <v>80</v>
      </c>
      <c r="D35" s="13">
        <v>1</v>
      </c>
      <c r="E35" s="13" t="s">
        <v>399</v>
      </c>
      <c r="F35" s="13">
        <v>1</v>
      </c>
      <c r="G35" s="22">
        <v>1</v>
      </c>
      <c r="H35" s="13">
        <v>2</v>
      </c>
      <c r="I35" s="4">
        <v>2</v>
      </c>
      <c r="J35" s="4">
        <v>8</v>
      </c>
      <c r="K35" s="4" t="s">
        <v>11</v>
      </c>
      <c r="L35" s="4" t="s">
        <v>13</v>
      </c>
      <c r="M35" s="4">
        <v>2023</v>
      </c>
      <c r="N35" s="4">
        <v>1</v>
      </c>
      <c r="O35" s="4">
        <v>1</v>
      </c>
    </row>
    <row r="36" spans="1:15">
      <c r="A36" s="4" t="s">
        <v>77</v>
      </c>
      <c r="B36" s="4" t="s">
        <v>87</v>
      </c>
      <c r="C36" s="9" t="s">
        <v>81</v>
      </c>
      <c r="D36" s="13">
        <v>1</v>
      </c>
      <c r="E36" s="13" t="s">
        <v>399</v>
      </c>
      <c r="F36" s="13">
        <v>1</v>
      </c>
      <c r="G36" s="22">
        <v>0</v>
      </c>
      <c r="H36" s="20">
        <v>2</v>
      </c>
      <c r="I36" s="4">
        <v>3</v>
      </c>
      <c r="J36" s="4">
        <v>8</v>
      </c>
      <c r="K36" s="4" t="s">
        <v>11</v>
      </c>
      <c r="L36" s="4" t="s">
        <v>13</v>
      </c>
      <c r="M36" s="4">
        <v>2023</v>
      </c>
      <c r="N36" s="4">
        <v>1</v>
      </c>
      <c r="O36" s="4">
        <v>1</v>
      </c>
    </row>
    <row r="37" spans="1:15">
      <c r="A37" s="4" t="s">
        <v>77</v>
      </c>
      <c r="B37" s="4" t="s">
        <v>88</v>
      </c>
      <c r="C37" s="9" t="s">
        <v>82</v>
      </c>
      <c r="D37" s="13">
        <v>1</v>
      </c>
      <c r="E37" s="13" t="s">
        <v>399</v>
      </c>
      <c r="F37" s="13">
        <v>1</v>
      </c>
      <c r="G37" s="22">
        <v>1</v>
      </c>
      <c r="H37" s="13">
        <v>2</v>
      </c>
      <c r="I37" s="4">
        <v>4</v>
      </c>
      <c r="J37" s="4">
        <v>8</v>
      </c>
      <c r="K37" s="4" t="s">
        <v>11</v>
      </c>
      <c r="L37" s="4" t="s">
        <v>13</v>
      </c>
      <c r="M37" s="4">
        <v>2023</v>
      </c>
      <c r="N37" s="4">
        <v>1</v>
      </c>
      <c r="O37" s="4">
        <v>1</v>
      </c>
    </row>
    <row r="38" spans="1:15">
      <c r="A38" s="4" t="s">
        <v>77</v>
      </c>
      <c r="B38" s="4" t="s">
        <v>89</v>
      </c>
      <c r="C38" s="9" t="s">
        <v>83</v>
      </c>
      <c r="D38" s="13">
        <v>1</v>
      </c>
      <c r="E38" s="13" t="s">
        <v>399</v>
      </c>
      <c r="F38" s="13">
        <v>1</v>
      </c>
      <c r="G38" s="22">
        <v>0</v>
      </c>
      <c r="H38" s="20">
        <v>2</v>
      </c>
      <c r="I38" s="4">
        <v>5</v>
      </c>
      <c r="J38" s="4">
        <v>8</v>
      </c>
      <c r="K38" s="4" t="s">
        <v>11</v>
      </c>
      <c r="L38" s="4" t="s">
        <v>13</v>
      </c>
      <c r="M38" s="4">
        <v>2023</v>
      </c>
      <c r="N38" s="4">
        <v>1</v>
      </c>
      <c r="O38" s="4">
        <v>1</v>
      </c>
    </row>
    <row r="39" spans="1:15">
      <c r="A39" s="4" t="s">
        <v>77</v>
      </c>
      <c r="B39" s="4" t="s">
        <v>90</v>
      </c>
      <c r="C39" s="9" t="s">
        <v>84</v>
      </c>
      <c r="D39" s="13">
        <v>1</v>
      </c>
      <c r="E39" s="13" t="s">
        <v>399</v>
      </c>
      <c r="F39" s="13">
        <v>1</v>
      </c>
      <c r="G39" s="22">
        <v>0</v>
      </c>
      <c r="H39" s="13">
        <v>1</v>
      </c>
      <c r="I39" s="4">
        <v>7</v>
      </c>
      <c r="J39" s="4">
        <v>8</v>
      </c>
      <c r="K39" s="4" t="s">
        <v>11</v>
      </c>
      <c r="L39" s="4" t="s">
        <v>13</v>
      </c>
      <c r="M39" s="4">
        <v>2023</v>
      </c>
      <c r="N39" s="4">
        <v>1</v>
      </c>
      <c r="O39" s="4">
        <v>1</v>
      </c>
    </row>
    <row r="40" spans="1:15">
      <c r="A40" s="4" t="s">
        <v>77</v>
      </c>
      <c r="B40" s="4" t="s">
        <v>91</v>
      </c>
      <c r="C40" s="9" t="s">
        <v>85</v>
      </c>
      <c r="D40" s="13">
        <v>1</v>
      </c>
      <c r="E40" s="13" t="s">
        <v>399</v>
      </c>
      <c r="F40" s="13">
        <v>1</v>
      </c>
      <c r="G40" s="22">
        <v>1</v>
      </c>
      <c r="H40" s="13">
        <v>2</v>
      </c>
      <c r="I40" s="4">
        <v>8</v>
      </c>
      <c r="J40" s="4">
        <v>8</v>
      </c>
      <c r="K40" s="4" t="s">
        <v>11</v>
      </c>
      <c r="L40" s="4" t="s">
        <v>13</v>
      </c>
      <c r="M40" s="4">
        <v>2023</v>
      </c>
      <c r="N40" s="4">
        <v>1</v>
      </c>
      <c r="O40" s="4">
        <v>1</v>
      </c>
    </row>
    <row r="41" spans="1:15">
      <c r="A41" s="4" t="s">
        <v>92</v>
      </c>
      <c r="B41" s="4" t="s">
        <v>93</v>
      </c>
      <c r="C41" s="9" t="s">
        <v>94</v>
      </c>
      <c r="D41" s="13">
        <v>1</v>
      </c>
      <c r="E41" s="13" t="s">
        <v>395</v>
      </c>
      <c r="F41" s="13">
        <v>1</v>
      </c>
      <c r="G41" s="22">
        <v>1</v>
      </c>
      <c r="H41" s="13">
        <v>2</v>
      </c>
      <c r="I41" s="4">
        <v>1</v>
      </c>
      <c r="J41" s="4">
        <v>8</v>
      </c>
      <c r="K41" s="4" t="s">
        <v>11</v>
      </c>
      <c r="L41" s="4" t="s">
        <v>13</v>
      </c>
      <c r="M41" s="4">
        <v>2024</v>
      </c>
      <c r="N41" s="4">
        <v>1</v>
      </c>
      <c r="O41" s="4">
        <v>1</v>
      </c>
    </row>
    <row r="42" spans="1:15">
      <c r="A42" s="4" t="s">
        <v>92</v>
      </c>
      <c r="B42" s="4" t="s">
        <v>101</v>
      </c>
      <c r="C42" s="9" t="s">
        <v>95</v>
      </c>
      <c r="D42" s="13">
        <v>1</v>
      </c>
      <c r="E42" s="13" t="s">
        <v>399</v>
      </c>
      <c r="F42" s="13">
        <v>1</v>
      </c>
      <c r="G42" s="22">
        <v>1</v>
      </c>
      <c r="H42" s="13">
        <v>2</v>
      </c>
      <c r="I42" s="4">
        <v>2</v>
      </c>
      <c r="J42" s="4">
        <v>8</v>
      </c>
      <c r="K42" s="4" t="s">
        <v>11</v>
      </c>
      <c r="L42" s="4" t="s">
        <v>13</v>
      </c>
      <c r="M42" s="4">
        <v>2024</v>
      </c>
      <c r="N42" s="4">
        <v>1</v>
      </c>
      <c r="O42" s="4">
        <v>1</v>
      </c>
    </row>
    <row r="43" spans="1:15">
      <c r="A43" s="4" t="s">
        <v>92</v>
      </c>
      <c r="B43" s="4" t="s">
        <v>102</v>
      </c>
      <c r="C43" s="9" t="s">
        <v>96</v>
      </c>
      <c r="D43" s="13">
        <v>1</v>
      </c>
      <c r="E43" s="13" t="s">
        <v>399</v>
      </c>
      <c r="F43" s="13">
        <v>1</v>
      </c>
      <c r="G43" s="22">
        <v>1</v>
      </c>
      <c r="H43" s="13">
        <v>2</v>
      </c>
      <c r="I43" s="4">
        <v>3</v>
      </c>
      <c r="J43" s="4">
        <v>8</v>
      </c>
      <c r="K43" s="4" t="s">
        <v>11</v>
      </c>
      <c r="L43" s="4" t="s">
        <v>13</v>
      </c>
      <c r="M43" s="4">
        <v>2024</v>
      </c>
      <c r="N43" s="4">
        <v>1</v>
      </c>
      <c r="O43" s="4">
        <v>1</v>
      </c>
    </row>
    <row r="44" spans="1:15">
      <c r="A44" s="4" t="s">
        <v>92</v>
      </c>
      <c r="B44" s="4" t="s">
        <v>103</v>
      </c>
      <c r="C44" s="9" t="s">
        <v>83</v>
      </c>
      <c r="D44" s="13">
        <v>1</v>
      </c>
      <c r="E44" s="13" t="s">
        <v>399</v>
      </c>
      <c r="F44" s="13">
        <v>1</v>
      </c>
      <c r="G44" s="22">
        <v>0</v>
      </c>
      <c r="H44" s="20">
        <v>2</v>
      </c>
      <c r="I44" s="4">
        <v>4</v>
      </c>
      <c r="J44" s="4">
        <v>8</v>
      </c>
      <c r="K44" s="4" t="s">
        <v>11</v>
      </c>
      <c r="L44" s="4" t="s">
        <v>13</v>
      </c>
      <c r="M44" s="4">
        <v>2024</v>
      </c>
      <c r="N44" s="4">
        <v>1</v>
      </c>
      <c r="O44" s="4">
        <v>1</v>
      </c>
    </row>
    <row r="45" spans="1:15">
      <c r="A45" s="4" t="s">
        <v>92</v>
      </c>
      <c r="B45" s="4" t="s">
        <v>104</v>
      </c>
      <c r="C45" s="9" t="s">
        <v>97</v>
      </c>
      <c r="D45" s="13">
        <v>1</v>
      </c>
      <c r="E45" s="13" t="s">
        <v>397</v>
      </c>
      <c r="F45" s="13">
        <v>1</v>
      </c>
      <c r="G45" s="22">
        <v>0</v>
      </c>
      <c r="H45" s="20">
        <v>2</v>
      </c>
      <c r="I45" s="4">
        <v>5</v>
      </c>
      <c r="J45" s="4">
        <v>8</v>
      </c>
      <c r="K45" s="4" t="s">
        <v>11</v>
      </c>
      <c r="L45" s="4" t="s">
        <v>13</v>
      </c>
      <c r="M45" s="4">
        <v>2024</v>
      </c>
      <c r="N45" s="4">
        <v>1</v>
      </c>
      <c r="O45" s="4">
        <v>1</v>
      </c>
    </row>
    <row r="46" spans="1:15">
      <c r="A46" s="4" t="s">
        <v>92</v>
      </c>
      <c r="B46" s="4" t="s">
        <v>105</v>
      </c>
      <c r="C46" s="9" t="s">
        <v>98</v>
      </c>
      <c r="D46" s="13">
        <v>1</v>
      </c>
      <c r="E46" s="13" t="s">
        <v>399</v>
      </c>
      <c r="F46" s="13">
        <v>1</v>
      </c>
      <c r="G46" s="22">
        <v>0</v>
      </c>
      <c r="H46" s="13">
        <v>1</v>
      </c>
      <c r="I46" s="4">
        <v>6</v>
      </c>
      <c r="J46" s="4">
        <v>8</v>
      </c>
      <c r="K46" s="4" t="s">
        <v>11</v>
      </c>
      <c r="L46" s="4" t="s">
        <v>13</v>
      </c>
      <c r="M46" s="4">
        <v>2024</v>
      </c>
      <c r="N46" s="4">
        <v>1</v>
      </c>
      <c r="O46" s="4">
        <v>1</v>
      </c>
    </row>
    <row r="47" spans="1:15">
      <c r="A47" s="4" t="s">
        <v>92</v>
      </c>
      <c r="B47" s="4" t="s">
        <v>106</v>
      </c>
      <c r="C47" s="9" t="s">
        <v>99</v>
      </c>
      <c r="D47" s="13">
        <v>1</v>
      </c>
      <c r="E47" s="13" t="s">
        <v>399</v>
      </c>
      <c r="F47" s="13">
        <v>1</v>
      </c>
      <c r="G47" s="22">
        <v>1</v>
      </c>
      <c r="H47" s="13">
        <v>2</v>
      </c>
      <c r="I47" s="4">
        <v>7</v>
      </c>
      <c r="J47" s="4">
        <v>8</v>
      </c>
      <c r="K47" s="4" t="s">
        <v>11</v>
      </c>
      <c r="L47" s="4" t="s">
        <v>13</v>
      </c>
      <c r="M47" s="4">
        <v>2024</v>
      </c>
      <c r="N47" s="4">
        <v>1</v>
      </c>
      <c r="O47" s="4">
        <v>1</v>
      </c>
    </row>
    <row r="48" spans="1:15">
      <c r="A48" s="4" t="s">
        <v>92</v>
      </c>
      <c r="B48" s="4" t="s">
        <v>107</v>
      </c>
      <c r="C48" s="9" t="s">
        <v>100</v>
      </c>
      <c r="D48" s="13">
        <v>1</v>
      </c>
      <c r="E48" s="13" t="s">
        <v>399</v>
      </c>
      <c r="F48" s="13">
        <v>1</v>
      </c>
      <c r="G48" s="22">
        <v>1</v>
      </c>
      <c r="H48" s="13">
        <v>2</v>
      </c>
      <c r="I48" s="4">
        <v>8</v>
      </c>
      <c r="J48" s="4">
        <v>8</v>
      </c>
      <c r="K48" s="4" t="s">
        <v>11</v>
      </c>
      <c r="L48" s="4" t="s">
        <v>13</v>
      </c>
      <c r="M48" s="4">
        <v>2024</v>
      </c>
      <c r="N48" s="4">
        <v>1</v>
      </c>
      <c r="O48" s="4">
        <v>1</v>
      </c>
    </row>
    <row r="49" spans="1:15">
      <c r="A49" s="4" t="s">
        <v>108</v>
      </c>
      <c r="B49" s="4" t="s">
        <v>109</v>
      </c>
      <c r="C49" s="9" t="s">
        <v>110</v>
      </c>
      <c r="D49" s="13">
        <v>1</v>
      </c>
      <c r="E49" s="13" t="s">
        <v>395</v>
      </c>
      <c r="F49" s="13">
        <v>1</v>
      </c>
      <c r="G49" s="22">
        <v>1</v>
      </c>
      <c r="H49" s="13">
        <v>2</v>
      </c>
      <c r="I49" s="4">
        <v>1</v>
      </c>
      <c r="J49" s="4">
        <v>8</v>
      </c>
      <c r="K49" s="4" t="s">
        <v>11</v>
      </c>
      <c r="L49" s="4" t="s">
        <v>13</v>
      </c>
      <c r="M49" s="4">
        <v>2025</v>
      </c>
      <c r="N49" s="4">
        <v>1</v>
      </c>
      <c r="O49" s="4">
        <v>1</v>
      </c>
    </row>
    <row r="50" spans="1:15">
      <c r="A50" s="4" t="s">
        <v>108</v>
      </c>
      <c r="B50" s="4" t="s">
        <v>117</v>
      </c>
      <c r="C50" s="9" t="s">
        <v>111</v>
      </c>
      <c r="D50" s="13">
        <v>1</v>
      </c>
      <c r="E50" s="13" t="s">
        <v>399</v>
      </c>
      <c r="F50" s="13">
        <v>1</v>
      </c>
      <c r="G50" s="22">
        <v>1</v>
      </c>
      <c r="H50" s="13">
        <v>2</v>
      </c>
      <c r="I50" s="4">
        <v>2</v>
      </c>
      <c r="J50" s="4">
        <v>8</v>
      </c>
      <c r="K50" s="4" t="s">
        <v>11</v>
      </c>
      <c r="L50" s="4" t="s">
        <v>13</v>
      </c>
      <c r="M50" s="4">
        <v>2025</v>
      </c>
      <c r="N50" s="4">
        <v>1</v>
      </c>
      <c r="O50" s="4">
        <v>1</v>
      </c>
    </row>
    <row r="51" spans="1:15">
      <c r="A51" s="4" t="s">
        <v>108</v>
      </c>
      <c r="B51" s="4" t="s">
        <v>118</v>
      </c>
      <c r="C51" s="9" t="s">
        <v>112</v>
      </c>
      <c r="D51" s="13">
        <v>1</v>
      </c>
      <c r="E51" s="13" t="s">
        <v>399</v>
      </c>
      <c r="F51" s="13">
        <v>1</v>
      </c>
      <c r="G51" s="22">
        <v>0</v>
      </c>
      <c r="H51" s="20">
        <v>2</v>
      </c>
      <c r="I51" s="4">
        <v>3</v>
      </c>
      <c r="J51" s="4">
        <v>8</v>
      </c>
      <c r="K51" s="4" t="s">
        <v>11</v>
      </c>
      <c r="L51" s="4" t="s">
        <v>13</v>
      </c>
      <c r="M51" s="4">
        <v>2025</v>
      </c>
      <c r="N51" s="4">
        <v>1</v>
      </c>
      <c r="O51" s="4">
        <v>1</v>
      </c>
    </row>
    <row r="52" spans="1:15">
      <c r="A52" s="4" t="s">
        <v>108</v>
      </c>
      <c r="B52" s="4" t="s">
        <v>119</v>
      </c>
      <c r="C52" s="9" t="s">
        <v>113</v>
      </c>
      <c r="D52" s="13">
        <v>1</v>
      </c>
      <c r="E52" s="13" t="s">
        <v>397</v>
      </c>
      <c r="F52" s="13">
        <v>1</v>
      </c>
      <c r="G52" s="22">
        <v>0</v>
      </c>
      <c r="H52" s="20">
        <v>2</v>
      </c>
      <c r="I52" s="4">
        <v>4</v>
      </c>
      <c r="J52" s="4">
        <v>8</v>
      </c>
      <c r="K52" s="4" t="s">
        <v>11</v>
      </c>
      <c r="L52" s="4" t="s">
        <v>13</v>
      </c>
      <c r="M52" s="4">
        <v>2025</v>
      </c>
      <c r="N52" s="4">
        <v>1</v>
      </c>
      <c r="O52" s="4">
        <v>1</v>
      </c>
    </row>
    <row r="53" spans="1:15">
      <c r="A53" s="4" t="s">
        <v>108</v>
      </c>
      <c r="B53" s="4" t="s">
        <v>120</v>
      </c>
      <c r="C53" s="9" t="s">
        <v>114</v>
      </c>
      <c r="D53" s="13">
        <v>1</v>
      </c>
      <c r="E53" s="13" t="s">
        <v>399</v>
      </c>
      <c r="F53" s="13">
        <v>1</v>
      </c>
      <c r="G53" s="22">
        <v>0</v>
      </c>
      <c r="H53" s="13">
        <v>1</v>
      </c>
      <c r="I53" s="4">
        <v>6</v>
      </c>
      <c r="J53" s="4">
        <v>8</v>
      </c>
      <c r="K53" s="4" t="s">
        <v>11</v>
      </c>
      <c r="L53" s="4" t="s">
        <v>13</v>
      </c>
      <c r="M53" s="4">
        <v>2025</v>
      </c>
      <c r="N53" s="4">
        <v>1</v>
      </c>
      <c r="O53" s="4">
        <v>1</v>
      </c>
    </row>
    <row r="54" spans="1:15">
      <c r="A54" s="4" t="s">
        <v>108</v>
      </c>
      <c r="B54" s="4" t="s">
        <v>121</v>
      </c>
      <c r="C54" s="9" t="s">
        <v>115</v>
      </c>
      <c r="D54" s="13">
        <v>1</v>
      </c>
      <c r="E54" s="13" t="s">
        <v>399</v>
      </c>
      <c r="F54" s="13">
        <v>1</v>
      </c>
      <c r="G54" s="22">
        <v>1</v>
      </c>
      <c r="H54" s="13">
        <v>2</v>
      </c>
      <c r="I54" s="4">
        <v>7</v>
      </c>
      <c r="J54" s="4">
        <v>8</v>
      </c>
      <c r="K54" s="4" t="s">
        <v>11</v>
      </c>
      <c r="L54" s="4" t="s">
        <v>13</v>
      </c>
      <c r="M54" s="4">
        <v>2025</v>
      </c>
      <c r="N54" s="4">
        <v>1</v>
      </c>
      <c r="O54" s="4">
        <v>1</v>
      </c>
    </row>
    <row r="55" spans="1:15">
      <c r="A55" s="4" t="s">
        <v>108</v>
      </c>
      <c r="B55" s="4" t="s">
        <v>122</v>
      </c>
      <c r="C55" s="9" t="s">
        <v>116</v>
      </c>
      <c r="D55" s="13">
        <v>1</v>
      </c>
      <c r="E55" s="13" t="s">
        <v>399</v>
      </c>
      <c r="F55" s="13">
        <v>1</v>
      </c>
      <c r="G55" s="22">
        <v>1</v>
      </c>
      <c r="H55" s="13">
        <v>2</v>
      </c>
      <c r="I55" s="4">
        <v>8</v>
      </c>
      <c r="J55" s="4">
        <v>8</v>
      </c>
      <c r="K55" s="4" t="s">
        <v>11</v>
      </c>
      <c r="L55" s="4" t="s">
        <v>13</v>
      </c>
      <c r="M55" s="4">
        <v>2025</v>
      </c>
      <c r="N55" s="4">
        <v>1</v>
      </c>
      <c r="O55" s="4">
        <v>1</v>
      </c>
    </row>
    <row r="56" spans="1:15">
      <c r="A56" s="4" t="s">
        <v>123</v>
      </c>
      <c r="B56" s="4" t="s">
        <v>136</v>
      </c>
      <c r="C56" s="9" t="s">
        <v>125</v>
      </c>
      <c r="D56" s="13">
        <v>1</v>
      </c>
      <c r="E56" s="13" t="s">
        <v>399</v>
      </c>
      <c r="F56" s="13">
        <v>1</v>
      </c>
      <c r="G56" s="22">
        <v>1</v>
      </c>
      <c r="H56" s="13">
        <v>2</v>
      </c>
      <c r="I56" s="4">
        <v>2</v>
      </c>
      <c r="J56" s="4">
        <v>21</v>
      </c>
      <c r="K56" s="4" t="s">
        <v>124</v>
      </c>
      <c r="L56" s="4" t="s">
        <v>13</v>
      </c>
      <c r="M56" s="4">
        <v>2017</v>
      </c>
      <c r="N56" s="4">
        <v>1</v>
      </c>
      <c r="O56" s="4">
        <v>0</v>
      </c>
    </row>
    <row r="57" spans="1:15">
      <c r="A57" s="4" t="s">
        <v>123</v>
      </c>
      <c r="B57" s="4" t="s">
        <v>137</v>
      </c>
      <c r="C57" s="9" t="s">
        <v>126</v>
      </c>
      <c r="D57" s="13">
        <v>1</v>
      </c>
      <c r="E57" s="13" t="s">
        <v>397</v>
      </c>
      <c r="F57" s="13">
        <v>1</v>
      </c>
      <c r="G57" s="22">
        <v>0</v>
      </c>
      <c r="H57" s="13">
        <v>1</v>
      </c>
      <c r="I57" s="4">
        <v>6</v>
      </c>
      <c r="J57" s="4">
        <v>21</v>
      </c>
      <c r="K57" s="4" t="s">
        <v>124</v>
      </c>
      <c r="L57" s="4" t="s">
        <v>13</v>
      </c>
      <c r="M57" s="4">
        <v>2017</v>
      </c>
      <c r="N57" s="4">
        <v>1</v>
      </c>
      <c r="O57" s="4">
        <v>0</v>
      </c>
    </row>
    <row r="58" spans="1:15">
      <c r="A58" s="4" t="s">
        <v>123</v>
      </c>
      <c r="B58" s="4" t="s">
        <v>138</v>
      </c>
      <c r="C58" s="9" t="s">
        <v>127</v>
      </c>
      <c r="D58" s="13">
        <v>1</v>
      </c>
      <c r="E58" s="13" t="s">
        <v>397</v>
      </c>
      <c r="F58" s="13">
        <v>1</v>
      </c>
      <c r="G58" s="22">
        <v>0</v>
      </c>
      <c r="H58" s="13">
        <v>1</v>
      </c>
      <c r="I58" s="4">
        <v>8</v>
      </c>
      <c r="J58" s="4">
        <v>21</v>
      </c>
      <c r="K58" s="4" t="s">
        <v>124</v>
      </c>
      <c r="L58" s="4" t="s">
        <v>13</v>
      </c>
      <c r="M58" s="4">
        <v>2017</v>
      </c>
      <c r="N58" s="4">
        <v>1</v>
      </c>
      <c r="O58" s="4">
        <v>0</v>
      </c>
    </row>
    <row r="59" spans="1:15">
      <c r="A59" s="4" t="s">
        <v>123</v>
      </c>
      <c r="B59" s="4" t="s">
        <v>139</v>
      </c>
      <c r="C59" s="9" t="s">
        <v>128</v>
      </c>
      <c r="D59" s="13">
        <v>0</v>
      </c>
      <c r="F59" s="13">
        <v>1</v>
      </c>
      <c r="G59" s="22">
        <v>0</v>
      </c>
      <c r="H59" s="13">
        <v>1</v>
      </c>
      <c r="I59" s="4">
        <v>10</v>
      </c>
      <c r="J59" s="4">
        <v>21</v>
      </c>
      <c r="K59" s="4" t="s">
        <v>124</v>
      </c>
      <c r="L59" s="4" t="s">
        <v>13</v>
      </c>
      <c r="M59" s="4">
        <v>2017</v>
      </c>
      <c r="N59" s="4">
        <v>1</v>
      </c>
      <c r="O59" s="4">
        <v>0</v>
      </c>
    </row>
    <row r="60" spans="1:15">
      <c r="A60" s="4" t="s">
        <v>123</v>
      </c>
      <c r="B60" s="4" t="s">
        <v>140</v>
      </c>
      <c r="C60" s="9" t="s">
        <v>129</v>
      </c>
      <c r="D60" s="13">
        <v>1</v>
      </c>
      <c r="E60" s="13" t="s">
        <v>397</v>
      </c>
      <c r="F60" s="13">
        <v>1</v>
      </c>
      <c r="G60" s="22">
        <v>0</v>
      </c>
      <c r="H60" s="13">
        <v>1</v>
      </c>
      <c r="I60" s="4">
        <v>11</v>
      </c>
      <c r="J60" s="4">
        <v>21</v>
      </c>
      <c r="K60" s="4" t="s">
        <v>124</v>
      </c>
      <c r="L60" s="4" t="s">
        <v>13</v>
      </c>
      <c r="M60" s="4">
        <v>2017</v>
      </c>
      <c r="N60" s="4">
        <v>1</v>
      </c>
      <c r="O60" s="4">
        <v>0</v>
      </c>
    </row>
    <row r="61" spans="1:15">
      <c r="A61" s="4" t="s">
        <v>123</v>
      </c>
      <c r="B61" s="4" t="s">
        <v>141</v>
      </c>
      <c r="C61" s="9" t="s">
        <v>130</v>
      </c>
      <c r="D61" s="13">
        <v>0</v>
      </c>
      <c r="F61" s="13">
        <v>1</v>
      </c>
      <c r="G61" s="22">
        <v>0</v>
      </c>
      <c r="H61" s="20">
        <v>1</v>
      </c>
      <c r="I61" s="4">
        <v>14</v>
      </c>
      <c r="J61" s="4">
        <v>21</v>
      </c>
      <c r="K61" s="4" t="s">
        <v>124</v>
      </c>
      <c r="L61" s="4" t="s">
        <v>13</v>
      </c>
      <c r="M61" s="4">
        <v>2017</v>
      </c>
      <c r="N61" s="4">
        <v>1</v>
      </c>
      <c r="O61" s="4">
        <v>0</v>
      </c>
    </row>
    <row r="62" spans="1:15">
      <c r="A62" s="4" t="s">
        <v>123</v>
      </c>
      <c r="B62" s="4" t="s">
        <v>142</v>
      </c>
      <c r="C62" s="9" t="s">
        <v>131</v>
      </c>
      <c r="D62" s="13">
        <v>0</v>
      </c>
      <c r="F62" s="13">
        <v>1</v>
      </c>
      <c r="G62" s="22">
        <v>0</v>
      </c>
      <c r="H62" s="13">
        <v>1</v>
      </c>
      <c r="I62" s="4">
        <v>15</v>
      </c>
      <c r="J62" s="4">
        <v>21</v>
      </c>
      <c r="K62" s="4" t="s">
        <v>124</v>
      </c>
      <c r="L62" s="4" t="s">
        <v>13</v>
      </c>
      <c r="M62" s="4">
        <v>2017</v>
      </c>
      <c r="N62" s="4">
        <v>1</v>
      </c>
      <c r="O62" s="4">
        <v>0</v>
      </c>
    </row>
    <row r="63" spans="1:15">
      <c r="A63" s="4" t="s">
        <v>123</v>
      </c>
      <c r="B63" s="4" t="s">
        <v>143</v>
      </c>
      <c r="C63" s="9" t="s">
        <v>132</v>
      </c>
      <c r="D63" s="13">
        <v>1</v>
      </c>
      <c r="E63" s="13" t="s">
        <v>397</v>
      </c>
      <c r="F63" s="13">
        <v>1</v>
      </c>
      <c r="G63" s="22">
        <v>0</v>
      </c>
      <c r="H63" s="13">
        <v>1</v>
      </c>
      <c r="I63" s="4">
        <v>17</v>
      </c>
      <c r="J63" s="4">
        <v>21</v>
      </c>
      <c r="K63" s="4" t="s">
        <v>124</v>
      </c>
      <c r="L63" s="4" t="s">
        <v>13</v>
      </c>
      <c r="M63" s="4">
        <v>2017</v>
      </c>
      <c r="N63" s="4">
        <v>1</v>
      </c>
      <c r="O63" s="4">
        <v>0</v>
      </c>
    </row>
    <row r="64" spans="1:15">
      <c r="A64" s="4" t="s">
        <v>123</v>
      </c>
      <c r="B64" s="4" t="s">
        <v>144</v>
      </c>
      <c r="C64" s="9" t="s">
        <v>133</v>
      </c>
      <c r="D64" s="13">
        <v>1</v>
      </c>
      <c r="E64" s="13" t="s">
        <v>399</v>
      </c>
      <c r="F64" s="13">
        <v>1</v>
      </c>
      <c r="G64" s="22">
        <v>0</v>
      </c>
      <c r="H64" s="20">
        <v>2</v>
      </c>
      <c r="I64" s="4">
        <v>19</v>
      </c>
      <c r="J64" s="4">
        <v>21</v>
      </c>
      <c r="K64" s="4" t="s">
        <v>124</v>
      </c>
      <c r="L64" s="4" t="s">
        <v>13</v>
      </c>
      <c r="M64" s="4">
        <v>2017</v>
      </c>
      <c r="N64" s="4">
        <v>1</v>
      </c>
      <c r="O64" s="4">
        <v>0</v>
      </c>
    </row>
    <row r="65" spans="1:15">
      <c r="A65" s="4" t="s">
        <v>123</v>
      </c>
      <c r="B65" s="4" t="s">
        <v>145</v>
      </c>
      <c r="C65" s="9" t="s">
        <v>134</v>
      </c>
      <c r="D65" s="13">
        <v>1</v>
      </c>
      <c r="E65" s="13" t="s">
        <v>399</v>
      </c>
      <c r="F65" s="13">
        <v>1</v>
      </c>
      <c r="G65" s="22">
        <v>0</v>
      </c>
      <c r="H65" s="13">
        <v>1</v>
      </c>
      <c r="I65" s="4">
        <v>20</v>
      </c>
      <c r="J65" s="4">
        <v>21</v>
      </c>
      <c r="K65" s="4" t="s">
        <v>124</v>
      </c>
      <c r="L65" s="4" t="s">
        <v>13</v>
      </c>
      <c r="M65" s="4">
        <v>2017</v>
      </c>
      <c r="N65" s="4">
        <v>1</v>
      </c>
      <c r="O65" s="4">
        <v>0</v>
      </c>
    </row>
    <row r="66" spans="1:15">
      <c r="A66" s="4" t="s">
        <v>123</v>
      </c>
      <c r="B66" s="4" t="s">
        <v>146</v>
      </c>
      <c r="C66" s="6" t="s">
        <v>135</v>
      </c>
      <c r="D66" s="13">
        <v>1</v>
      </c>
      <c r="E66" s="13" t="s">
        <v>399</v>
      </c>
      <c r="F66" s="13">
        <v>1</v>
      </c>
      <c r="G66" s="22">
        <v>0</v>
      </c>
      <c r="H66" s="20">
        <v>2</v>
      </c>
      <c r="I66" s="4">
        <v>21</v>
      </c>
      <c r="J66" s="4">
        <v>21</v>
      </c>
      <c r="K66" s="4" t="s">
        <v>124</v>
      </c>
      <c r="L66" s="4" t="s">
        <v>13</v>
      </c>
      <c r="M66" s="4">
        <v>2017</v>
      </c>
      <c r="N66" s="4">
        <v>1</v>
      </c>
      <c r="O66" s="4">
        <v>0</v>
      </c>
    </row>
    <row r="67" spans="1:15">
      <c r="A67" s="4" t="s">
        <v>147</v>
      </c>
      <c r="B67" s="4" t="s">
        <v>159</v>
      </c>
      <c r="C67" s="9" t="s">
        <v>148</v>
      </c>
      <c r="D67" s="13">
        <v>1</v>
      </c>
      <c r="E67" s="13" t="s">
        <v>399</v>
      </c>
      <c r="F67" s="13">
        <v>1</v>
      </c>
      <c r="G67" s="22">
        <v>1</v>
      </c>
      <c r="H67" s="13">
        <v>2</v>
      </c>
      <c r="I67" s="4">
        <v>3</v>
      </c>
      <c r="J67" s="4">
        <v>25</v>
      </c>
      <c r="K67" s="4" t="s">
        <v>124</v>
      </c>
      <c r="L67" s="4" t="s">
        <v>13</v>
      </c>
      <c r="M67" s="4">
        <v>2018</v>
      </c>
      <c r="N67" s="4">
        <v>1</v>
      </c>
      <c r="O67" s="4">
        <v>0</v>
      </c>
    </row>
    <row r="68" spans="1:15">
      <c r="A68" s="4" t="s">
        <v>147</v>
      </c>
      <c r="B68" s="4" t="s">
        <v>160</v>
      </c>
      <c r="C68" s="9" t="s">
        <v>149</v>
      </c>
      <c r="D68" s="13">
        <v>1</v>
      </c>
      <c r="E68" s="13" t="s">
        <v>397</v>
      </c>
      <c r="F68" s="13">
        <v>1</v>
      </c>
      <c r="G68" s="22">
        <v>0</v>
      </c>
      <c r="H68" s="13">
        <v>1</v>
      </c>
      <c r="I68" s="4">
        <v>5</v>
      </c>
      <c r="J68" s="4">
        <v>25</v>
      </c>
      <c r="K68" s="4" t="s">
        <v>124</v>
      </c>
      <c r="L68" s="4" t="s">
        <v>13</v>
      </c>
      <c r="M68" s="4">
        <v>2018</v>
      </c>
      <c r="N68" s="4">
        <v>1</v>
      </c>
      <c r="O68" s="4">
        <v>0</v>
      </c>
    </row>
    <row r="69" spans="1:15">
      <c r="A69" s="4" t="s">
        <v>147</v>
      </c>
      <c r="B69" s="4" t="s">
        <v>161</v>
      </c>
      <c r="C69" s="9" t="s">
        <v>150</v>
      </c>
      <c r="D69" s="13">
        <v>1</v>
      </c>
      <c r="E69" s="13" t="s">
        <v>397</v>
      </c>
      <c r="F69" s="13">
        <v>1</v>
      </c>
      <c r="G69" s="22">
        <v>0</v>
      </c>
      <c r="H69" s="13">
        <v>1</v>
      </c>
      <c r="I69" s="4">
        <v>6</v>
      </c>
      <c r="J69" s="4">
        <v>25</v>
      </c>
      <c r="K69" s="4" t="s">
        <v>124</v>
      </c>
      <c r="L69" s="4" t="s">
        <v>13</v>
      </c>
      <c r="M69" s="4">
        <v>2018</v>
      </c>
      <c r="N69" s="4">
        <v>1</v>
      </c>
      <c r="O69" s="4">
        <v>0</v>
      </c>
    </row>
    <row r="70" spans="1:15">
      <c r="A70" s="4" t="s">
        <v>147</v>
      </c>
      <c r="B70" s="4" t="s">
        <v>162</v>
      </c>
      <c r="C70" s="9" t="s">
        <v>151</v>
      </c>
      <c r="D70" s="13">
        <v>1</v>
      </c>
      <c r="E70" s="13" t="s">
        <v>397</v>
      </c>
      <c r="F70" s="13">
        <v>1</v>
      </c>
      <c r="G70" s="22">
        <v>0</v>
      </c>
      <c r="H70" s="13">
        <v>1</v>
      </c>
      <c r="I70" s="4">
        <v>7</v>
      </c>
      <c r="J70" s="4">
        <v>25</v>
      </c>
      <c r="K70" s="4" t="s">
        <v>124</v>
      </c>
      <c r="L70" s="4" t="s">
        <v>13</v>
      </c>
      <c r="M70" s="4">
        <v>2018</v>
      </c>
      <c r="N70" s="4">
        <v>1</v>
      </c>
      <c r="O70" s="4">
        <v>0</v>
      </c>
    </row>
    <row r="71" spans="1:15">
      <c r="A71" s="4" t="s">
        <v>147</v>
      </c>
      <c r="B71" s="4" t="s">
        <v>163</v>
      </c>
      <c r="C71" s="9" t="s">
        <v>152</v>
      </c>
      <c r="D71" s="13">
        <v>1</v>
      </c>
      <c r="E71" s="13" t="s">
        <v>397</v>
      </c>
      <c r="F71" s="13">
        <v>1</v>
      </c>
      <c r="G71" s="22">
        <v>0</v>
      </c>
      <c r="H71" s="13">
        <v>1</v>
      </c>
      <c r="I71" s="4">
        <v>8</v>
      </c>
      <c r="J71" s="4">
        <v>25</v>
      </c>
      <c r="K71" s="4" t="s">
        <v>124</v>
      </c>
      <c r="L71" s="4" t="s">
        <v>13</v>
      </c>
      <c r="M71" s="4">
        <v>2018</v>
      </c>
      <c r="N71" s="4">
        <v>1</v>
      </c>
      <c r="O71" s="4">
        <v>0</v>
      </c>
    </row>
    <row r="72" spans="1:15">
      <c r="A72" s="4" t="s">
        <v>147</v>
      </c>
      <c r="B72" s="4" t="s">
        <v>164</v>
      </c>
      <c r="C72" s="9" t="s">
        <v>153</v>
      </c>
      <c r="D72" s="13">
        <v>0</v>
      </c>
      <c r="F72" s="13">
        <v>1</v>
      </c>
      <c r="G72" s="22">
        <v>0</v>
      </c>
      <c r="H72" s="13">
        <v>1</v>
      </c>
      <c r="I72" s="4">
        <v>14</v>
      </c>
      <c r="J72" s="4">
        <v>25</v>
      </c>
      <c r="K72" s="4" t="s">
        <v>124</v>
      </c>
      <c r="L72" s="4" t="s">
        <v>13</v>
      </c>
      <c r="M72" s="4">
        <v>2018</v>
      </c>
      <c r="N72" s="4">
        <v>1</v>
      </c>
      <c r="O72" s="4">
        <v>0</v>
      </c>
    </row>
    <row r="73" spans="1:15">
      <c r="A73" s="4" t="s">
        <v>147</v>
      </c>
      <c r="B73" s="4" t="s">
        <v>165</v>
      </c>
      <c r="C73" s="9" t="s">
        <v>154</v>
      </c>
      <c r="D73" s="13">
        <v>0</v>
      </c>
      <c r="F73" s="13">
        <v>1</v>
      </c>
      <c r="G73" s="22">
        <v>0</v>
      </c>
      <c r="H73" s="20">
        <v>1</v>
      </c>
      <c r="I73" s="4">
        <v>17</v>
      </c>
      <c r="J73" s="4">
        <v>25</v>
      </c>
      <c r="K73" s="4" t="s">
        <v>124</v>
      </c>
      <c r="L73" s="4" t="s">
        <v>13</v>
      </c>
      <c r="M73" s="4">
        <v>2018</v>
      </c>
      <c r="N73" s="4">
        <v>1</v>
      </c>
      <c r="O73" s="4">
        <v>0</v>
      </c>
    </row>
    <row r="74" spans="1:15">
      <c r="A74" s="4" t="s">
        <v>147</v>
      </c>
      <c r="B74" s="4" t="s">
        <v>166</v>
      </c>
      <c r="C74" s="9" t="s">
        <v>155</v>
      </c>
      <c r="D74" s="13">
        <v>0</v>
      </c>
      <c r="F74" s="13">
        <v>1</v>
      </c>
      <c r="G74" s="22">
        <v>0</v>
      </c>
      <c r="H74" s="13">
        <v>1</v>
      </c>
      <c r="I74" s="4">
        <v>19</v>
      </c>
      <c r="J74" s="4">
        <v>25</v>
      </c>
      <c r="K74" s="4" t="s">
        <v>124</v>
      </c>
      <c r="L74" s="4" t="s">
        <v>13</v>
      </c>
      <c r="M74" s="4">
        <v>2018</v>
      </c>
      <c r="N74" s="4">
        <v>1</v>
      </c>
      <c r="O74" s="4">
        <v>0</v>
      </c>
    </row>
    <row r="75" spans="1:15">
      <c r="A75" s="4" t="s">
        <v>147</v>
      </c>
      <c r="B75" s="4" t="s">
        <v>167</v>
      </c>
      <c r="C75" s="9" t="s">
        <v>156</v>
      </c>
      <c r="D75" s="13">
        <v>1</v>
      </c>
      <c r="E75" s="13" t="s">
        <v>397</v>
      </c>
      <c r="F75" s="13">
        <v>1</v>
      </c>
      <c r="G75" s="22">
        <v>0</v>
      </c>
      <c r="H75" s="13">
        <v>1</v>
      </c>
      <c r="I75" s="4">
        <v>21</v>
      </c>
      <c r="J75" s="4">
        <v>25</v>
      </c>
      <c r="K75" s="4" t="s">
        <v>124</v>
      </c>
      <c r="L75" s="4" t="s">
        <v>13</v>
      </c>
      <c r="M75" s="4">
        <v>2018</v>
      </c>
      <c r="N75" s="4">
        <v>1</v>
      </c>
      <c r="O75" s="4">
        <v>0</v>
      </c>
    </row>
    <row r="76" spans="1:15">
      <c r="A76" s="4" t="s">
        <v>147</v>
      </c>
      <c r="B76" s="4" t="s">
        <v>168</v>
      </c>
      <c r="C76" s="10" t="s">
        <v>391</v>
      </c>
      <c r="D76" s="13">
        <v>1</v>
      </c>
      <c r="E76" s="13" t="s">
        <v>399</v>
      </c>
      <c r="F76" s="13">
        <v>1</v>
      </c>
      <c r="G76" s="22">
        <v>0</v>
      </c>
      <c r="H76" s="13">
        <v>1</v>
      </c>
      <c r="I76" s="4">
        <v>22</v>
      </c>
      <c r="J76" s="4">
        <v>25</v>
      </c>
      <c r="K76" s="4" t="s">
        <v>124</v>
      </c>
      <c r="L76" s="4" t="s">
        <v>13</v>
      </c>
      <c r="M76" s="4">
        <v>2018</v>
      </c>
      <c r="N76" s="4">
        <v>1</v>
      </c>
      <c r="O76" s="4">
        <v>0</v>
      </c>
    </row>
    <row r="77" spans="1:15">
      <c r="A77" s="4" t="s">
        <v>147</v>
      </c>
      <c r="B77" s="4" t="s">
        <v>169</v>
      </c>
      <c r="C77" s="10" t="s">
        <v>157</v>
      </c>
      <c r="D77" s="13">
        <v>1</v>
      </c>
      <c r="E77" s="13" t="s">
        <v>399</v>
      </c>
      <c r="F77" s="13">
        <v>1</v>
      </c>
      <c r="G77" s="22">
        <v>0</v>
      </c>
      <c r="H77" s="13">
        <v>1</v>
      </c>
      <c r="I77" s="4">
        <v>24</v>
      </c>
      <c r="J77" s="4">
        <v>25</v>
      </c>
      <c r="K77" s="4" t="s">
        <v>124</v>
      </c>
      <c r="L77" s="4" t="s">
        <v>13</v>
      </c>
      <c r="M77" s="4">
        <v>2018</v>
      </c>
      <c r="N77" s="4">
        <v>1</v>
      </c>
      <c r="O77" s="4">
        <v>0</v>
      </c>
    </row>
    <row r="78" spans="1:15">
      <c r="A78" s="4" t="s">
        <v>147</v>
      </c>
      <c r="B78" s="4" t="s">
        <v>170</v>
      </c>
      <c r="C78" s="9" t="s">
        <v>158</v>
      </c>
      <c r="D78" s="13">
        <v>1</v>
      </c>
      <c r="E78" s="13" t="s">
        <v>399</v>
      </c>
      <c r="F78" s="13">
        <v>1</v>
      </c>
      <c r="G78" s="22">
        <v>0</v>
      </c>
      <c r="H78" s="20">
        <v>2</v>
      </c>
      <c r="I78" s="4">
        <v>25</v>
      </c>
      <c r="J78" s="4">
        <v>25</v>
      </c>
      <c r="K78" s="4" t="s">
        <v>124</v>
      </c>
      <c r="L78" s="4" t="s">
        <v>13</v>
      </c>
      <c r="M78" s="4">
        <v>2018</v>
      </c>
      <c r="N78" s="4">
        <v>1</v>
      </c>
      <c r="O78" s="4">
        <v>0</v>
      </c>
    </row>
    <row r="79" spans="1:15">
      <c r="A79" s="4" t="s">
        <v>171</v>
      </c>
      <c r="B79" s="4" t="s">
        <v>181</v>
      </c>
      <c r="C79" s="9" t="s">
        <v>172</v>
      </c>
      <c r="D79" s="13">
        <v>1</v>
      </c>
      <c r="E79" s="13" t="s">
        <v>399</v>
      </c>
      <c r="F79" s="13">
        <v>1</v>
      </c>
      <c r="G79" s="22">
        <v>1</v>
      </c>
      <c r="H79" s="13">
        <v>2</v>
      </c>
      <c r="I79" s="4">
        <v>4</v>
      </c>
      <c r="J79" s="4">
        <v>16</v>
      </c>
      <c r="K79" s="4" t="s">
        <v>124</v>
      </c>
      <c r="L79" s="4" t="s">
        <v>13</v>
      </c>
      <c r="M79" s="4">
        <v>2019</v>
      </c>
      <c r="N79" s="4">
        <v>1</v>
      </c>
      <c r="O79" s="4">
        <v>1</v>
      </c>
    </row>
    <row r="80" spans="1:15">
      <c r="A80" s="4" t="s">
        <v>171</v>
      </c>
      <c r="B80" s="4" t="s">
        <v>182</v>
      </c>
      <c r="C80" s="9" t="s">
        <v>400</v>
      </c>
      <c r="D80" s="13">
        <v>1</v>
      </c>
      <c r="E80" s="13" t="s">
        <v>397</v>
      </c>
      <c r="F80" s="13">
        <v>1</v>
      </c>
      <c r="G80" s="22">
        <v>0</v>
      </c>
      <c r="H80" s="13">
        <v>1</v>
      </c>
      <c r="I80" s="4">
        <v>7</v>
      </c>
      <c r="J80" s="4">
        <v>16</v>
      </c>
      <c r="K80" s="4" t="s">
        <v>124</v>
      </c>
      <c r="L80" s="4" t="s">
        <v>13</v>
      </c>
      <c r="M80" s="4">
        <v>2019</v>
      </c>
      <c r="N80" s="4">
        <v>1</v>
      </c>
      <c r="O80" s="4">
        <v>1</v>
      </c>
    </row>
    <row r="81" spans="1:15">
      <c r="A81" s="4" t="s">
        <v>171</v>
      </c>
      <c r="B81" s="4" t="s">
        <v>183</v>
      </c>
      <c r="C81" s="9" t="s">
        <v>173</v>
      </c>
      <c r="D81" s="13">
        <v>1</v>
      </c>
      <c r="E81" s="13" t="s">
        <v>397</v>
      </c>
      <c r="F81" s="13">
        <v>1</v>
      </c>
      <c r="G81" s="22">
        <v>0</v>
      </c>
      <c r="H81" s="13">
        <v>1</v>
      </c>
      <c r="I81" s="4">
        <v>9</v>
      </c>
      <c r="J81" s="4">
        <v>16</v>
      </c>
      <c r="K81" s="4" t="s">
        <v>124</v>
      </c>
      <c r="L81" s="4" t="s">
        <v>13</v>
      </c>
      <c r="M81" s="4">
        <v>2019</v>
      </c>
      <c r="N81" s="4">
        <v>1</v>
      </c>
      <c r="O81" s="4">
        <v>1</v>
      </c>
    </row>
    <row r="82" spans="1:15">
      <c r="A82" s="4" t="s">
        <v>171</v>
      </c>
      <c r="B82" s="4" t="s">
        <v>184</v>
      </c>
      <c r="C82" s="9" t="s">
        <v>174</v>
      </c>
      <c r="D82" s="13">
        <v>1</v>
      </c>
      <c r="E82" s="13" t="s">
        <v>397</v>
      </c>
      <c r="F82" s="13">
        <v>1</v>
      </c>
      <c r="G82" s="22">
        <v>0</v>
      </c>
      <c r="H82" s="13">
        <v>1</v>
      </c>
      <c r="I82" s="4">
        <v>10</v>
      </c>
      <c r="J82" s="4">
        <v>16</v>
      </c>
      <c r="K82" s="4" t="s">
        <v>124</v>
      </c>
      <c r="L82" s="4" t="s">
        <v>13</v>
      </c>
      <c r="M82" s="4">
        <v>2019</v>
      </c>
      <c r="N82" s="4">
        <v>1</v>
      </c>
      <c r="O82" s="4">
        <v>1</v>
      </c>
    </row>
    <row r="83" spans="1:15">
      <c r="A83" s="4" t="s">
        <v>171</v>
      </c>
      <c r="B83" s="4" t="s">
        <v>185</v>
      </c>
      <c r="C83" s="9" t="s">
        <v>175</v>
      </c>
      <c r="D83" s="13">
        <v>1</v>
      </c>
      <c r="E83" s="13" t="s">
        <v>399</v>
      </c>
      <c r="F83" s="13">
        <v>1</v>
      </c>
      <c r="G83" s="22">
        <v>1</v>
      </c>
      <c r="H83" s="13">
        <v>1</v>
      </c>
      <c r="I83" s="4">
        <v>11</v>
      </c>
      <c r="J83" s="4">
        <v>16</v>
      </c>
      <c r="K83" s="4" t="s">
        <v>124</v>
      </c>
      <c r="L83" s="4" t="s">
        <v>13</v>
      </c>
      <c r="M83" s="4">
        <v>2019</v>
      </c>
      <c r="N83" s="4">
        <v>1</v>
      </c>
      <c r="O83" s="4">
        <v>1</v>
      </c>
    </row>
    <row r="84" spans="1:15">
      <c r="A84" s="4" t="s">
        <v>171</v>
      </c>
      <c r="B84" s="4" t="s">
        <v>186</v>
      </c>
      <c r="C84" s="9" t="s">
        <v>176</v>
      </c>
      <c r="D84" s="13">
        <v>1</v>
      </c>
      <c r="E84" s="13" t="s">
        <v>397</v>
      </c>
      <c r="F84" s="13">
        <v>1</v>
      </c>
      <c r="G84" s="22">
        <v>0</v>
      </c>
      <c r="H84" s="13">
        <v>1</v>
      </c>
      <c r="I84" s="4">
        <v>12</v>
      </c>
      <c r="J84" s="4">
        <v>16</v>
      </c>
      <c r="K84" s="4" t="s">
        <v>124</v>
      </c>
      <c r="L84" s="4" t="s">
        <v>13</v>
      </c>
      <c r="M84" s="4">
        <v>2019</v>
      </c>
      <c r="N84" s="4">
        <v>1</v>
      </c>
      <c r="O84" s="4">
        <v>1</v>
      </c>
    </row>
    <row r="85" spans="1:15">
      <c r="A85" s="4" t="s">
        <v>171</v>
      </c>
      <c r="B85" s="4" t="s">
        <v>187</v>
      </c>
      <c r="C85" s="9" t="s">
        <v>177</v>
      </c>
      <c r="D85" s="13">
        <v>1</v>
      </c>
      <c r="E85" s="13" t="s">
        <v>399</v>
      </c>
      <c r="F85" s="13">
        <v>1</v>
      </c>
      <c r="G85" s="22">
        <v>0</v>
      </c>
      <c r="H85" s="20">
        <v>2</v>
      </c>
      <c r="I85" s="4">
        <v>13</v>
      </c>
      <c r="J85" s="4">
        <v>16</v>
      </c>
      <c r="K85" s="4" t="s">
        <v>124</v>
      </c>
      <c r="L85" s="4" t="s">
        <v>13</v>
      </c>
      <c r="M85" s="4">
        <v>2019</v>
      </c>
      <c r="N85" s="4">
        <v>1</v>
      </c>
      <c r="O85" s="4">
        <v>1</v>
      </c>
    </row>
    <row r="86" spans="1:15">
      <c r="A86" s="4" t="s">
        <v>171</v>
      </c>
      <c r="B86" s="4" t="s">
        <v>188</v>
      </c>
      <c r="C86" s="9" t="s">
        <v>178</v>
      </c>
      <c r="D86" s="13">
        <v>1</v>
      </c>
      <c r="E86" s="13" t="s">
        <v>397</v>
      </c>
      <c r="F86" s="13">
        <v>1</v>
      </c>
      <c r="G86" s="22">
        <v>1</v>
      </c>
      <c r="H86" s="13">
        <v>1</v>
      </c>
      <c r="I86" s="4">
        <v>14</v>
      </c>
      <c r="J86" s="4">
        <v>16</v>
      </c>
      <c r="K86" s="4" t="s">
        <v>124</v>
      </c>
      <c r="L86" s="4" t="s">
        <v>13</v>
      </c>
      <c r="M86" s="4">
        <v>2019</v>
      </c>
      <c r="N86" s="4">
        <v>1</v>
      </c>
      <c r="O86" s="4">
        <v>1</v>
      </c>
    </row>
    <row r="87" spans="1:15">
      <c r="A87" s="4" t="s">
        <v>171</v>
      </c>
      <c r="B87" s="4" t="s">
        <v>189</v>
      </c>
      <c r="C87" s="9" t="s">
        <v>179</v>
      </c>
      <c r="D87" s="13">
        <v>0</v>
      </c>
      <c r="F87" s="13">
        <v>1</v>
      </c>
      <c r="G87" s="22">
        <v>1</v>
      </c>
      <c r="H87" s="13">
        <v>1</v>
      </c>
      <c r="I87" s="4">
        <v>15</v>
      </c>
      <c r="J87" s="4">
        <v>16</v>
      </c>
      <c r="K87" s="4" t="s">
        <v>124</v>
      </c>
      <c r="L87" s="4" t="s">
        <v>13</v>
      </c>
      <c r="M87" s="4">
        <v>2019</v>
      </c>
      <c r="N87" s="4">
        <v>1</v>
      </c>
      <c r="O87" s="4">
        <v>1</v>
      </c>
    </row>
    <row r="88" spans="1:15">
      <c r="A88" s="4" t="s">
        <v>171</v>
      </c>
      <c r="B88" s="4" t="s">
        <v>190</v>
      </c>
      <c r="C88" s="9" t="s">
        <v>180</v>
      </c>
      <c r="D88" s="13">
        <v>0</v>
      </c>
      <c r="F88" s="13">
        <v>1</v>
      </c>
      <c r="G88" s="22">
        <v>0</v>
      </c>
      <c r="H88" s="13">
        <v>1</v>
      </c>
      <c r="I88" s="4">
        <v>16</v>
      </c>
      <c r="J88" s="4">
        <v>16</v>
      </c>
      <c r="K88" s="4" t="s">
        <v>124</v>
      </c>
      <c r="L88" s="4" t="s">
        <v>13</v>
      </c>
      <c r="M88" s="4">
        <v>2019</v>
      </c>
      <c r="N88" s="4">
        <v>1</v>
      </c>
      <c r="O88" s="4">
        <v>1</v>
      </c>
    </row>
    <row r="89" spans="1:15">
      <c r="A89" s="4" t="s">
        <v>191</v>
      </c>
      <c r="B89" s="4" t="s">
        <v>204</v>
      </c>
      <c r="C89" s="11" t="s">
        <v>196</v>
      </c>
      <c r="D89" s="13">
        <v>1</v>
      </c>
      <c r="E89" s="13" t="s">
        <v>399</v>
      </c>
      <c r="F89" s="13">
        <v>1</v>
      </c>
      <c r="G89" s="22">
        <v>1</v>
      </c>
      <c r="H89" s="13">
        <v>1</v>
      </c>
      <c r="I89" s="4">
        <v>2</v>
      </c>
      <c r="J89" s="4">
        <v>17</v>
      </c>
      <c r="K89" s="4" t="s">
        <v>124</v>
      </c>
      <c r="L89" s="4" t="s">
        <v>13</v>
      </c>
      <c r="M89" s="4">
        <v>2020</v>
      </c>
      <c r="N89" s="4">
        <v>1</v>
      </c>
      <c r="O89" s="4">
        <v>1</v>
      </c>
    </row>
    <row r="90" spans="1:15">
      <c r="A90" s="4" t="s">
        <v>191</v>
      </c>
      <c r="B90" s="4" t="s">
        <v>205</v>
      </c>
      <c r="C90" s="11" t="s">
        <v>401</v>
      </c>
      <c r="D90" s="13">
        <v>1</v>
      </c>
      <c r="E90" s="13" t="s">
        <v>397</v>
      </c>
      <c r="F90" s="13">
        <v>1</v>
      </c>
      <c r="G90" s="22">
        <v>0</v>
      </c>
      <c r="H90" s="13">
        <v>1</v>
      </c>
      <c r="I90" s="4">
        <v>5</v>
      </c>
      <c r="J90" s="4">
        <v>17</v>
      </c>
      <c r="K90" s="4" t="s">
        <v>124</v>
      </c>
      <c r="L90" s="4" t="s">
        <v>13</v>
      </c>
      <c r="M90" s="4">
        <v>2020</v>
      </c>
      <c r="N90" s="4">
        <v>1</v>
      </c>
      <c r="O90" s="4">
        <v>1</v>
      </c>
    </row>
    <row r="91" spans="1:15">
      <c r="A91" s="4" t="s">
        <v>191</v>
      </c>
      <c r="B91" s="4" t="s">
        <v>206</v>
      </c>
      <c r="C91" s="11" t="s">
        <v>197</v>
      </c>
      <c r="D91" s="13">
        <v>1</v>
      </c>
      <c r="E91" s="13" t="s">
        <v>397</v>
      </c>
      <c r="F91" s="13">
        <v>1</v>
      </c>
      <c r="G91" s="22">
        <v>0</v>
      </c>
      <c r="H91" s="13">
        <v>1</v>
      </c>
      <c r="I91" s="4">
        <v>6</v>
      </c>
      <c r="J91" s="4">
        <v>17</v>
      </c>
      <c r="K91" s="4" t="s">
        <v>124</v>
      </c>
      <c r="L91" s="4" t="s">
        <v>13</v>
      </c>
      <c r="M91" s="4">
        <v>2020</v>
      </c>
      <c r="N91" s="4">
        <v>1</v>
      </c>
      <c r="O91" s="4">
        <v>1</v>
      </c>
    </row>
    <row r="92" spans="1:15">
      <c r="A92" s="4" t="s">
        <v>191</v>
      </c>
      <c r="B92" s="4" t="s">
        <v>207</v>
      </c>
      <c r="C92" s="11" t="s">
        <v>198</v>
      </c>
      <c r="D92" s="13">
        <v>1</v>
      </c>
      <c r="E92" s="13" t="s">
        <v>397</v>
      </c>
      <c r="F92" s="13">
        <v>1</v>
      </c>
      <c r="G92" s="22">
        <v>0</v>
      </c>
      <c r="H92" s="13">
        <v>1</v>
      </c>
      <c r="I92" s="4">
        <v>9</v>
      </c>
      <c r="J92" s="4">
        <v>17</v>
      </c>
      <c r="K92" s="4" t="s">
        <v>124</v>
      </c>
      <c r="L92" s="4" t="s">
        <v>13</v>
      </c>
      <c r="M92" s="4">
        <v>2020</v>
      </c>
      <c r="N92" s="4">
        <v>1</v>
      </c>
      <c r="O92" s="4">
        <v>1</v>
      </c>
    </row>
    <row r="93" spans="1:15">
      <c r="A93" s="4" t="s">
        <v>191</v>
      </c>
      <c r="B93" s="4" t="s">
        <v>208</v>
      </c>
      <c r="C93" s="11" t="s">
        <v>156</v>
      </c>
      <c r="D93" s="13">
        <v>1</v>
      </c>
      <c r="E93" s="13" t="s">
        <v>397</v>
      </c>
      <c r="F93" s="13">
        <v>1</v>
      </c>
      <c r="G93" s="22">
        <v>0</v>
      </c>
      <c r="H93" s="13">
        <v>1</v>
      </c>
      <c r="I93" s="4">
        <v>11</v>
      </c>
      <c r="J93" s="4">
        <v>17</v>
      </c>
      <c r="K93" s="4" t="s">
        <v>124</v>
      </c>
      <c r="L93" s="4" t="s">
        <v>13</v>
      </c>
      <c r="M93" s="4">
        <v>2020</v>
      </c>
      <c r="N93" s="4">
        <v>1</v>
      </c>
      <c r="O93" s="4">
        <v>1</v>
      </c>
    </row>
    <row r="94" spans="1:15">
      <c r="A94" s="4" t="s">
        <v>191</v>
      </c>
      <c r="B94" s="4" t="s">
        <v>209</v>
      </c>
      <c r="C94" s="11" t="s">
        <v>199</v>
      </c>
      <c r="D94" s="13">
        <v>1</v>
      </c>
      <c r="E94" s="13" t="s">
        <v>399</v>
      </c>
      <c r="F94" s="13">
        <v>1</v>
      </c>
      <c r="G94" s="22">
        <v>1</v>
      </c>
      <c r="H94" s="13">
        <v>1</v>
      </c>
      <c r="I94" s="4">
        <v>12</v>
      </c>
      <c r="J94" s="4">
        <v>17</v>
      </c>
      <c r="K94" s="4" t="s">
        <v>124</v>
      </c>
      <c r="L94" s="4" t="s">
        <v>13</v>
      </c>
      <c r="M94" s="4">
        <v>2020</v>
      </c>
      <c r="N94" s="4">
        <v>1</v>
      </c>
      <c r="O94" s="4">
        <v>1</v>
      </c>
    </row>
    <row r="95" spans="1:15">
      <c r="A95" s="4" t="s">
        <v>191</v>
      </c>
      <c r="B95" s="4" t="s">
        <v>210</v>
      </c>
      <c r="C95" s="11" t="s">
        <v>200</v>
      </c>
      <c r="D95" s="13">
        <v>1</v>
      </c>
      <c r="E95" s="13" t="s">
        <v>399</v>
      </c>
      <c r="F95" s="13">
        <v>1</v>
      </c>
      <c r="G95" s="22">
        <v>0</v>
      </c>
      <c r="H95" s="13">
        <v>1</v>
      </c>
      <c r="I95" s="4">
        <v>13</v>
      </c>
      <c r="J95" s="4">
        <v>17</v>
      </c>
      <c r="K95" s="4" t="s">
        <v>124</v>
      </c>
      <c r="L95" s="4" t="s">
        <v>13</v>
      </c>
      <c r="M95" s="4">
        <v>2020</v>
      </c>
      <c r="N95" s="4">
        <v>1</v>
      </c>
      <c r="O95" s="4">
        <v>1</v>
      </c>
    </row>
    <row r="96" spans="1:15">
      <c r="A96" s="4" t="s">
        <v>191</v>
      </c>
      <c r="B96" s="4" t="s">
        <v>211</v>
      </c>
      <c r="C96" s="11" t="s">
        <v>158</v>
      </c>
      <c r="D96" s="13">
        <v>1</v>
      </c>
      <c r="E96" s="13" t="s">
        <v>399</v>
      </c>
      <c r="F96" s="13">
        <v>1</v>
      </c>
      <c r="G96" s="22">
        <v>0</v>
      </c>
      <c r="H96" s="20">
        <v>2</v>
      </c>
      <c r="I96" s="4">
        <v>14</v>
      </c>
      <c r="J96" s="4">
        <v>17</v>
      </c>
      <c r="K96" s="4" t="s">
        <v>124</v>
      </c>
      <c r="L96" s="4" t="s">
        <v>13</v>
      </c>
      <c r="M96" s="4">
        <v>2020</v>
      </c>
      <c r="N96" s="4">
        <v>1</v>
      </c>
      <c r="O96" s="4">
        <v>1</v>
      </c>
    </row>
    <row r="97" spans="1:15">
      <c r="A97" s="4" t="s">
        <v>191</v>
      </c>
      <c r="B97" s="4" t="s">
        <v>212</v>
      </c>
      <c r="C97" s="11" t="s">
        <v>201</v>
      </c>
      <c r="D97" s="13">
        <v>1</v>
      </c>
      <c r="E97" s="13" t="s">
        <v>397</v>
      </c>
      <c r="F97" s="13">
        <v>1</v>
      </c>
      <c r="G97" s="22">
        <v>1</v>
      </c>
      <c r="H97" s="13">
        <v>1</v>
      </c>
      <c r="I97" s="4">
        <v>15</v>
      </c>
      <c r="J97" s="4">
        <v>17</v>
      </c>
      <c r="K97" s="4" t="s">
        <v>124</v>
      </c>
      <c r="L97" s="4" t="s">
        <v>13</v>
      </c>
      <c r="M97" s="4">
        <v>2020</v>
      </c>
      <c r="N97" s="4">
        <v>1</v>
      </c>
      <c r="O97" s="4">
        <v>1</v>
      </c>
    </row>
    <row r="98" spans="1:15">
      <c r="A98" s="4" t="s">
        <v>191</v>
      </c>
      <c r="B98" s="4" t="s">
        <v>213</v>
      </c>
      <c r="C98" s="11" t="s">
        <v>202</v>
      </c>
      <c r="D98" s="13">
        <v>0</v>
      </c>
      <c r="F98" s="13">
        <v>1</v>
      </c>
      <c r="G98" s="22">
        <v>0</v>
      </c>
      <c r="H98" s="13">
        <v>1</v>
      </c>
      <c r="I98" s="4">
        <v>16</v>
      </c>
      <c r="J98" s="4">
        <v>17</v>
      </c>
      <c r="K98" s="4" t="s">
        <v>124</v>
      </c>
      <c r="L98" s="4" t="s">
        <v>13</v>
      </c>
      <c r="M98" s="4">
        <v>2020</v>
      </c>
      <c r="N98" s="4">
        <v>1</v>
      </c>
      <c r="O98" s="4">
        <v>1</v>
      </c>
    </row>
    <row r="99" spans="1:15">
      <c r="A99" s="4" t="s">
        <v>191</v>
      </c>
      <c r="B99" s="4" t="s">
        <v>214</v>
      </c>
      <c r="C99" s="11" t="s">
        <v>203</v>
      </c>
      <c r="D99" s="13">
        <v>0</v>
      </c>
      <c r="F99" s="13">
        <v>1</v>
      </c>
      <c r="G99" s="22">
        <v>0</v>
      </c>
      <c r="H99" s="13">
        <v>1</v>
      </c>
      <c r="I99" s="4">
        <v>17</v>
      </c>
      <c r="J99" s="4">
        <v>17</v>
      </c>
      <c r="K99" s="4" t="s">
        <v>124</v>
      </c>
      <c r="L99" s="4" t="s">
        <v>13</v>
      </c>
      <c r="M99" s="4">
        <v>2020</v>
      </c>
      <c r="N99" s="4">
        <v>1</v>
      </c>
      <c r="O99" s="4">
        <v>1</v>
      </c>
    </row>
    <row r="100" spans="1:15">
      <c r="A100" s="4" t="s">
        <v>217</v>
      </c>
      <c r="B100" s="4" t="s">
        <v>229</v>
      </c>
      <c r="C100" s="11" t="s">
        <v>218</v>
      </c>
      <c r="D100" s="13">
        <v>1</v>
      </c>
      <c r="E100" s="13" t="s">
        <v>397</v>
      </c>
      <c r="F100" s="13">
        <v>1</v>
      </c>
      <c r="G100" s="22">
        <v>0</v>
      </c>
      <c r="H100" s="13">
        <v>1</v>
      </c>
      <c r="I100" s="4">
        <v>6</v>
      </c>
      <c r="J100" s="4">
        <v>22</v>
      </c>
      <c r="K100" s="4" t="s">
        <v>124</v>
      </c>
      <c r="L100" s="4" t="s">
        <v>13</v>
      </c>
      <c r="M100" s="4">
        <v>2021</v>
      </c>
      <c r="N100" s="4">
        <v>1</v>
      </c>
      <c r="O100" s="4">
        <v>1</v>
      </c>
    </row>
    <row r="101" spans="1:15">
      <c r="A101" s="4" t="s">
        <v>217</v>
      </c>
      <c r="B101" s="4" t="s">
        <v>230</v>
      </c>
      <c r="C101" s="11" t="s">
        <v>219</v>
      </c>
      <c r="D101" s="13">
        <v>1</v>
      </c>
      <c r="E101" s="13" t="s">
        <v>397</v>
      </c>
      <c r="F101" s="13">
        <v>1</v>
      </c>
      <c r="G101" s="22">
        <v>0</v>
      </c>
      <c r="H101" s="13">
        <v>1</v>
      </c>
      <c r="I101" s="4">
        <v>8</v>
      </c>
      <c r="J101" s="4">
        <v>22</v>
      </c>
      <c r="K101" s="4" t="s">
        <v>124</v>
      </c>
      <c r="L101" s="4" t="s">
        <v>13</v>
      </c>
      <c r="M101" s="4">
        <v>2021</v>
      </c>
      <c r="N101" s="4">
        <v>1</v>
      </c>
      <c r="O101" s="4">
        <v>1</v>
      </c>
    </row>
    <row r="102" spans="1:15">
      <c r="A102" s="4" t="s">
        <v>217</v>
      </c>
      <c r="B102" s="4" t="s">
        <v>231</v>
      </c>
      <c r="C102" s="11" t="s">
        <v>220</v>
      </c>
      <c r="D102" s="13">
        <v>1</v>
      </c>
      <c r="E102" s="13" t="s">
        <v>397</v>
      </c>
      <c r="F102" s="13">
        <v>1</v>
      </c>
      <c r="G102" s="22">
        <v>0</v>
      </c>
      <c r="H102" s="13">
        <v>1</v>
      </c>
      <c r="I102" s="4">
        <v>9</v>
      </c>
      <c r="J102" s="4">
        <v>22</v>
      </c>
      <c r="K102" s="4" t="s">
        <v>124</v>
      </c>
      <c r="L102" s="4" t="s">
        <v>13</v>
      </c>
      <c r="M102" s="4">
        <v>2021</v>
      </c>
      <c r="N102" s="4">
        <v>1</v>
      </c>
      <c r="O102" s="4">
        <v>1</v>
      </c>
    </row>
    <row r="103" spans="1:15">
      <c r="A103" s="4" t="s">
        <v>217</v>
      </c>
      <c r="B103" s="4" t="s">
        <v>232</v>
      </c>
      <c r="C103" s="11" t="s">
        <v>221</v>
      </c>
      <c r="D103" s="13">
        <v>1</v>
      </c>
      <c r="E103" s="13" t="s">
        <v>397</v>
      </c>
      <c r="F103" s="13">
        <v>1</v>
      </c>
      <c r="G103" s="22">
        <v>0</v>
      </c>
      <c r="H103" s="13">
        <v>1</v>
      </c>
      <c r="I103" s="4">
        <v>12</v>
      </c>
      <c r="J103" s="4">
        <v>22</v>
      </c>
      <c r="K103" s="4" t="s">
        <v>124</v>
      </c>
      <c r="L103" s="4" t="s">
        <v>13</v>
      </c>
      <c r="M103" s="4">
        <v>2021</v>
      </c>
      <c r="N103" s="4">
        <v>1</v>
      </c>
      <c r="O103" s="4">
        <v>1</v>
      </c>
    </row>
    <row r="104" spans="1:15">
      <c r="A104" s="4" t="s">
        <v>217</v>
      </c>
      <c r="B104" s="4" t="s">
        <v>233</v>
      </c>
      <c r="C104" s="11" t="s">
        <v>222</v>
      </c>
      <c r="D104" s="13">
        <v>1</v>
      </c>
      <c r="E104" s="13" t="s">
        <v>395</v>
      </c>
      <c r="F104" s="13">
        <v>1</v>
      </c>
      <c r="G104" s="22">
        <v>0</v>
      </c>
      <c r="H104" s="20">
        <v>2</v>
      </c>
      <c r="I104" s="4">
        <v>13</v>
      </c>
      <c r="J104" s="4">
        <v>22</v>
      </c>
      <c r="K104" s="4" t="s">
        <v>124</v>
      </c>
      <c r="L104" s="4" t="s">
        <v>13</v>
      </c>
      <c r="M104" s="4">
        <v>2021</v>
      </c>
      <c r="N104" s="4">
        <v>1</v>
      </c>
      <c r="O104" s="4">
        <v>1</v>
      </c>
    </row>
    <row r="105" spans="1:15">
      <c r="A105" s="4" t="s">
        <v>217</v>
      </c>
      <c r="B105" s="4" t="s">
        <v>234</v>
      </c>
      <c r="C105" s="9" t="s">
        <v>223</v>
      </c>
      <c r="D105" s="13">
        <v>1</v>
      </c>
      <c r="E105" s="13" t="s">
        <v>397</v>
      </c>
      <c r="F105" s="13">
        <v>1</v>
      </c>
      <c r="G105" s="22">
        <v>0</v>
      </c>
      <c r="H105" s="13">
        <v>1</v>
      </c>
      <c r="I105" s="4">
        <v>15</v>
      </c>
      <c r="J105" s="4">
        <v>22</v>
      </c>
      <c r="K105" s="4" t="s">
        <v>124</v>
      </c>
      <c r="L105" s="4" t="s">
        <v>13</v>
      </c>
      <c r="M105" s="4">
        <v>2021</v>
      </c>
      <c r="N105" s="4">
        <v>1</v>
      </c>
      <c r="O105" s="4">
        <v>1</v>
      </c>
    </row>
    <row r="106" spans="1:15">
      <c r="A106" s="4" t="s">
        <v>217</v>
      </c>
      <c r="B106" s="4" t="s">
        <v>235</v>
      </c>
      <c r="C106" s="9" t="s">
        <v>224</v>
      </c>
      <c r="D106" s="13">
        <v>1</v>
      </c>
      <c r="E106" s="13" t="s">
        <v>399</v>
      </c>
      <c r="F106" s="13">
        <v>1</v>
      </c>
      <c r="G106" s="22">
        <v>0</v>
      </c>
      <c r="H106" s="20">
        <v>2</v>
      </c>
      <c r="I106" s="4">
        <v>16</v>
      </c>
      <c r="J106" s="4">
        <v>22</v>
      </c>
      <c r="K106" s="4" t="s">
        <v>124</v>
      </c>
      <c r="L106" s="4" t="s">
        <v>13</v>
      </c>
      <c r="M106" s="4">
        <v>2021</v>
      </c>
      <c r="N106" s="4">
        <v>1</v>
      </c>
      <c r="O106" s="4">
        <v>1</v>
      </c>
    </row>
    <row r="107" spans="1:15">
      <c r="A107" s="4" t="s">
        <v>217</v>
      </c>
      <c r="B107" s="4" t="s">
        <v>236</v>
      </c>
      <c r="C107" s="9" t="s">
        <v>225</v>
      </c>
      <c r="D107" s="13">
        <v>1</v>
      </c>
      <c r="E107" s="13" t="s">
        <v>399</v>
      </c>
      <c r="F107" s="13">
        <v>1</v>
      </c>
      <c r="G107" s="22">
        <v>0</v>
      </c>
      <c r="H107" s="13">
        <v>1</v>
      </c>
      <c r="I107" s="4">
        <v>18</v>
      </c>
      <c r="J107" s="4">
        <v>22</v>
      </c>
      <c r="K107" s="4" t="s">
        <v>124</v>
      </c>
      <c r="L107" s="4" t="s">
        <v>13</v>
      </c>
      <c r="M107" s="4">
        <v>2021</v>
      </c>
      <c r="N107" s="4">
        <v>1</v>
      </c>
      <c r="O107" s="4">
        <v>1</v>
      </c>
    </row>
    <row r="108" spans="1:15">
      <c r="A108" s="4" t="s">
        <v>217</v>
      </c>
      <c r="B108" s="4" t="s">
        <v>237</v>
      </c>
      <c r="C108" s="9" t="s">
        <v>226</v>
      </c>
      <c r="D108" s="13">
        <v>1</v>
      </c>
      <c r="E108" s="13" t="s">
        <v>399</v>
      </c>
      <c r="F108" s="13">
        <v>1</v>
      </c>
      <c r="G108" s="22">
        <v>0</v>
      </c>
      <c r="H108" s="20">
        <v>2</v>
      </c>
      <c r="I108" s="4">
        <v>19</v>
      </c>
      <c r="J108" s="4">
        <v>22</v>
      </c>
      <c r="K108" s="4" t="s">
        <v>124</v>
      </c>
      <c r="L108" s="4" t="s">
        <v>13</v>
      </c>
      <c r="M108" s="4">
        <v>2021</v>
      </c>
      <c r="N108" s="4">
        <v>1</v>
      </c>
      <c r="O108" s="4">
        <v>1</v>
      </c>
    </row>
    <row r="109" spans="1:15">
      <c r="A109" s="4" t="s">
        <v>217</v>
      </c>
      <c r="B109" s="4" t="s">
        <v>238</v>
      </c>
      <c r="C109" s="9" t="s">
        <v>227</v>
      </c>
      <c r="D109" s="13">
        <v>1</v>
      </c>
      <c r="E109" s="13" t="s">
        <v>397</v>
      </c>
      <c r="F109" s="13">
        <v>1</v>
      </c>
      <c r="G109" s="22">
        <v>1</v>
      </c>
      <c r="H109" s="13">
        <v>1</v>
      </c>
      <c r="I109" s="4">
        <v>20</v>
      </c>
      <c r="J109" s="4">
        <v>22</v>
      </c>
      <c r="K109" s="4" t="s">
        <v>124</v>
      </c>
      <c r="L109" s="4" t="s">
        <v>13</v>
      </c>
      <c r="M109" s="4">
        <v>2021</v>
      </c>
      <c r="N109" s="4">
        <v>1</v>
      </c>
      <c r="O109" s="4">
        <v>1</v>
      </c>
    </row>
    <row r="110" spans="1:15">
      <c r="A110" s="4" t="s">
        <v>217</v>
      </c>
      <c r="B110" s="4" t="s">
        <v>239</v>
      </c>
      <c r="C110" s="9" t="s">
        <v>402</v>
      </c>
      <c r="D110" s="13">
        <v>0</v>
      </c>
      <c r="F110" s="13">
        <v>1</v>
      </c>
      <c r="G110" s="22">
        <v>0</v>
      </c>
      <c r="H110" s="13">
        <v>1</v>
      </c>
      <c r="I110" s="4">
        <v>21</v>
      </c>
      <c r="J110" s="4">
        <v>22</v>
      </c>
      <c r="K110" s="4" t="s">
        <v>124</v>
      </c>
      <c r="L110" s="4" t="s">
        <v>13</v>
      </c>
      <c r="M110" s="4">
        <v>2021</v>
      </c>
      <c r="N110" s="4">
        <v>1</v>
      </c>
      <c r="O110" s="4">
        <v>1</v>
      </c>
    </row>
    <row r="111" spans="1:15">
      <c r="A111" s="4" t="s">
        <v>217</v>
      </c>
      <c r="B111" s="4" t="s">
        <v>240</v>
      </c>
      <c r="C111" s="9" t="s">
        <v>228</v>
      </c>
      <c r="D111" s="13">
        <v>0</v>
      </c>
      <c r="F111" s="13">
        <v>1</v>
      </c>
      <c r="G111" s="22">
        <v>0</v>
      </c>
      <c r="H111" s="13">
        <v>1</v>
      </c>
      <c r="I111" s="4">
        <v>22</v>
      </c>
      <c r="J111" s="4">
        <v>22</v>
      </c>
      <c r="K111" s="4" t="s">
        <v>124</v>
      </c>
      <c r="L111" s="4" t="s">
        <v>13</v>
      </c>
      <c r="M111" s="4">
        <v>2021</v>
      </c>
      <c r="N111" s="4">
        <v>1</v>
      </c>
      <c r="O111" s="4">
        <v>1</v>
      </c>
    </row>
    <row r="112" spans="1:15">
      <c r="A112" s="4" t="s">
        <v>241</v>
      </c>
      <c r="B112" s="4" t="s">
        <v>253</v>
      </c>
      <c r="C112" s="9" t="s">
        <v>403</v>
      </c>
      <c r="D112" s="13">
        <v>1</v>
      </c>
      <c r="E112" s="13" t="s">
        <v>397</v>
      </c>
      <c r="F112" s="13">
        <v>1</v>
      </c>
      <c r="G112" s="22">
        <v>0</v>
      </c>
      <c r="H112" s="13">
        <v>1</v>
      </c>
      <c r="I112" s="4">
        <v>8</v>
      </c>
      <c r="J112" s="4">
        <v>29</v>
      </c>
      <c r="K112" s="4" t="s">
        <v>124</v>
      </c>
      <c r="L112" s="4" t="s">
        <v>13</v>
      </c>
      <c r="M112" s="4">
        <v>2022</v>
      </c>
      <c r="N112" s="4">
        <v>1</v>
      </c>
      <c r="O112" s="4">
        <v>1</v>
      </c>
    </row>
    <row r="113" spans="1:16">
      <c r="A113" s="4" t="s">
        <v>241</v>
      </c>
      <c r="B113" s="4" t="s">
        <v>254</v>
      </c>
      <c r="C113" s="9" t="s">
        <v>219</v>
      </c>
      <c r="D113" s="13">
        <v>1</v>
      </c>
      <c r="E113" s="13" t="s">
        <v>397</v>
      </c>
      <c r="F113" s="13">
        <v>1</v>
      </c>
      <c r="G113" s="22">
        <v>0</v>
      </c>
      <c r="H113" s="13">
        <v>1</v>
      </c>
      <c r="I113" s="4">
        <v>10</v>
      </c>
      <c r="J113" s="4">
        <v>29</v>
      </c>
      <c r="K113" s="4" t="s">
        <v>124</v>
      </c>
      <c r="L113" s="4" t="s">
        <v>13</v>
      </c>
      <c r="M113" s="4">
        <v>2022</v>
      </c>
      <c r="N113" s="4">
        <v>1</v>
      </c>
      <c r="O113" s="4">
        <v>1</v>
      </c>
    </row>
    <row r="114" spans="1:16">
      <c r="A114" s="4" t="s">
        <v>241</v>
      </c>
      <c r="B114" s="4" t="s">
        <v>255</v>
      </c>
      <c r="C114" s="9" t="s">
        <v>220</v>
      </c>
      <c r="D114" s="13">
        <v>1</v>
      </c>
      <c r="E114" s="13" t="s">
        <v>397</v>
      </c>
      <c r="F114" s="13">
        <v>1</v>
      </c>
      <c r="G114" s="22">
        <v>0</v>
      </c>
      <c r="H114" s="13">
        <v>1</v>
      </c>
      <c r="I114" s="4">
        <v>11</v>
      </c>
      <c r="J114" s="4">
        <v>29</v>
      </c>
      <c r="K114" s="4" t="s">
        <v>124</v>
      </c>
      <c r="L114" s="4" t="s">
        <v>13</v>
      </c>
      <c r="M114" s="4">
        <v>2022</v>
      </c>
      <c r="N114" s="4">
        <v>1</v>
      </c>
      <c r="O114" s="4">
        <v>1</v>
      </c>
    </row>
    <row r="115" spans="1:16">
      <c r="A115" s="4" t="s">
        <v>241</v>
      </c>
      <c r="B115" s="4" t="s">
        <v>256</v>
      </c>
      <c r="C115" s="9" t="s">
        <v>242</v>
      </c>
      <c r="D115" s="13">
        <v>1</v>
      </c>
      <c r="E115" s="13" t="s">
        <v>397</v>
      </c>
      <c r="F115" s="13">
        <v>1</v>
      </c>
      <c r="G115" s="22">
        <v>1</v>
      </c>
      <c r="H115" s="13">
        <v>2</v>
      </c>
      <c r="I115" s="4">
        <v>14</v>
      </c>
      <c r="J115" s="4">
        <v>29</v>
      </c>
      <c r="K115" s="4" t="s">
        <v>124</v>
      </c>
      <c r="L115" s="4" t="s">
        <v>13</v>
      </c>
      <c r="M115" s="4">
        <v>2022</v>
      </c>
      <c r="N115" s="4">
        <v>1</v>
      </c>
      <c r="O115" s="4">
        <v>1</v>
      </c>
    </row>
    <row r="116" spans="1:16">
      <c r="A116" s="4" t="s">
        <v>241</v>
      </c>
      <c r="B116" s="4" t="s">
        <v>257</v>
      </c>
      <c r="C116" s="9" t="s">
        <v>243</v>
      </c>
      <c r="D116" s="13">
        <v>1</v>
      </c>
      <c r="E116" s="13" t="s">
        <v>397</v>
      </c>
      <c r="F116" s="13">
        <v>1</v>
      </c>
      <c r="G116" s="22">
        <v>0</v>
      </c>
      <c r="H116" s="13">
        <v>1</v>
      </c>
      <c r="I116" s="4">
        <v>16</v>
      </c>
      <c r="J116" s="4">
        <v>29</v>
      </c>
      <c r="K116" s="4" t="s">
        <v>124</v>
      </c>
      <c r="L116" s="4" t="s">
        <v>13</v>
      </c>
      <c r="M116" s="4">
        <v>2022</v>
      </c>
      <c r="N116" s="4">
        <v>1</v>
      </c>
      <c r="O116" s="4">
        <v>1</v>
      </c>
    </row>
    <row r="117" spans="1:16">
      <c r="A117" s="4" t="s">
        <v>241</v>
      </c>
      <c r="B117" s="4" t="s">
        <v>258</v>
      </c>
      <c r="C117" s="9" t="s">
        <v>244</v>
      </c>
      <c r="D117" s="13">
        <v>1</v>
      </c>
      <c r="E117" s="13" t="s">
        <v>395</v>
      </c>
      <c r="F117" s="13">
        <v>1</v>
      </c>
      <c r="G117" s="22">
        <v>0</v>
      </c>
      <c r="H117" s="20">
        <v>2</v>
      </c>
      <c r="I117" s="4">
        <v>17</v>
      </c>
      <c r="J117" s="4">
        <v>29</v>
      </c>
      <c r="K117" s="4" t="s">
        <v>124</v>
      </c>
      <c r="L117" s="4" t="s">
        <v>13</v>
      </c>
      <c r="M117" s="4">
        <v>2022</v>
      </c>
      <c r="N117" s="4">
        <v>1</v>
      </c>
      <c r="O117" s="4">
        <v>1</v>
      </c>
    </row>
    <row r="118" spans="1:16">
      <c r="A118" s="4" t="s">
        <v>241</v>
      </c>
      <c r="B118" s="4" t="s">
        <v>259</v>
      </c>
      <c r="C118" s="9" t="s">
        <v>245</v>
      </c>
      <c r="D118" s="13">
        <v>1</v>
      </c>
      <c r="E118" s="13" t="s">
        <v>397</v>
      </c>
      <c r="F118" s="13">
        <v>1</v>
      </c>
      <c r="G118" s="22">
        <v>0</v>
      </c>
      <c r="H118" s="13">
        <v>1</v>
      </c>
      <c r="I118" s="4">
        <v>19</v>
      </c>
      <c r="J118" s="4">
        <v>29</v>
      </c>
      <c r="K118" s="4" t="s">
        <v>124</v>
      </c>
      <c r="L118" s="4" t="s">
        <v>13</v>
      </c>
      <c r="M118" s="4">
        <v>2022</v>
      </c>
      <c r="N118" s="4">
        <v>1</v>
      </c>
      <c r="O118" s="4">
        <v>1</v>
      </c>
    </row>
    <row r="119" spans="1:16">
      <c r="A119" s="4" t="s">
        <v>241</v>
      </c>
      <c r="B119" s="4" t="s">
        <v>260</v>
      </c>
      <c r="C119" s="9" t="s">
        <v>246</v>
      </c>
      <c r="D119" s="13">
        <v>1</v>
      </c>
      <c r="E119" s="13" t="s">
        <v>397</v>
      </c>
      <c r="F119" s="13">
        <v>1</v>
      </c>
      <c r="G119" s="22">
        <v>0</v>
      </c>
      <c r="H119" s="13">
        <v>1</v>
      </c>
      <c r="I119" s="4">
        <v>21</v>
      </c>
      <c r="J119" s="4">
        <v>29</v>
      </c>
      <c r="K119" s="4" t="s">
        <v>124</v>
      </c>
      <c r="L119" s="4" t="s">
        <v>13</v>
      </c>
      <c r="M119" s="4">
        <v>2022</v>
      </c>
      <c r="N119" s="4">
        <v>1</v>
      </c>
      <c r="O119" s="4">
        <v>1</v>
      </c>
    </row>
    <row r="120" spans="1:16">
      <c r="A120" s="4" t="s">
        <v>241</v>
      </c>
      <c r="B120" s="4" t="s">
        <v>261</v>
      </c>
      <c r="C120" s="9" t="s">
        <v>247</v>
      </c>
      <c r="D120" s="13">
        <v>1</v>
      </c>
      <c r="E120" s="13" t="s">
        <v>399</v>
      </c>
      <c r="F120" s="13">
        <v>1</v>
      </c>
      <c r="G120" s="22">
        <v>0</v>
      </c>
      <c r="H120" s="20">
        <v>2</v>
      </c>
      <c r="I120" s="4">
        <v>22</v>
      </c>
      <c r="J120" s="4">
        <v>29</v>
      </c>
      <c r="K120" s="4" t="s">
        <v>124</v>
      </c>
      <c r="L120" s="4" t="s">
        <v>13</v>
      </c>
      <c r="M120" s="4">
        <v>2022</v>
      </c>
      <c r="N120" s="4">
        <v>1</v>
      </c>
      <c r="O120" s="4">
        <v>1</v>
      </c>
    </row>
    <row r="121" spans="1:16">
      <c r="A121" s="4" t="s">
        <v>241</v>
      </c>
      <c r="B121" s="4" t="s">
        <v>262</v>
      </c>
      <c r="C121" s="9" t="s">
        <v>248</v>
      </c>
      <c r="D121" s="13">
        <v>1</v>
      </c>
      <c r="E121" s="13" t="s">
        <v>399</v>
      </c>
      <c r="F121" s="13">
        <v>1</v>
      </c>
      <c r="G121" s="22">
        <v>0</v>
      </c>
      <c r="H121" s="20">
        <v>2</v>
      </c>
      <c r="I121" s="4">
        <v>24</v>
      </c>
      <c r="J121" s="4">
        <v>29</v>
      </c>
      <c r="K121" s="4" t="s">
        <v>124</v>
      </c>
      <c r="L121" s="4" t="s">
        <v>13</v>
      </c>
      <c r="M121" s="4">
        <v>2022</v>
      </c>
      <c r="N121" s="4">
        <v>1</v>
      </c>
      <c r="O121" s="4">
        <v>1</v>
      </c>
    </row>
    <row r="122" spans="1:16">
      <c r="A122" s="4" t="s">
        <v>241</v>
      </c>
      <c r="B122" s="4" t="s">
        <v>263</v>
      </c>
      <c r="C122" s="9" t="s">
        <v>249</v>
      </c>
      <c r="D122" s="13">
        <v>1</v>
      </c>
      <c r="E122" s="13" t="s">
        <v>397</v>
      </c>
      <c r="F122" s="13">
        <v>1</v>
      </c>
      <c r="G122" s="22">
        <v>0</v>
      </c>
      <c r="H122" s="13">
        <v>1</v>
      </c>
      <c r="I122" s="4">
        <v>25</v>
      </c>
      <c r="J122" s="4">
        <v>29</v>
      </c>
      <c r="K122" s="4" t="s">
        <v>124</v>
      </c>
      <c r="L122" s="4" t="s">
        <v>13</v>
      </c>
      <c r="M122" s="4">
        <v>2022</v>
      </c>
      <c r="N122" s="4">
        <v>1</v>
      </c>
      <c r="O122" s="4">
        <v>1</v>
      </c>
    </row>
    <row r="123" spans="1:16">
      <c r="A123" s="4" t="s">
        <v>241</v>
      </c>
      <c r="B123" s="4" t="s">
        <v>264</v>
      </c>
      <c r="C123" s="9" t="s">
        <v>250</v>
      </c>
      <c r="D123" s="13">
        <v>1</v>
      </c>
      <c r="E123" s="13" t="s">
        <v>399</v>
      </c>
      <c r="F123" s="13">
        <v>1</v>
      </c>
      <c r="G123" s="22">
        <v>0</v>
      </c>
      <c r="H123" s="20">
        <v>2</v>
      </c>
      <c r="I123" s="4">
        <v>26</v>
      </c>
      <c r="J123" s="4">
        <v>29</v>
      </c>
      <c r="K123" s="4" t="s">
        <v>124</v>
      </c>
      <c r="L123" s="4" t="s">
        <v>13</v>
      </c>
      <c r="M123" s="4">
        <v>2022</v>
      </c>
      <c r="N123" s="4">
        <v>1</v>
      </c>
      <c r="O123" s="4">
        <v>1</v>
      </c>
    </row>
    <row r="124" spans="1:16">
      <c r="A124" s="4" t="s">
        <v>241</v>
      </c>
      <c r="B124" s="4" t="s">
        <v>265</v>
      </c>
      <c r="C124" s="9" t="s">
        <v>251</v>
      </c>
      <c r="D124" s="13">
        <v>1</v>
      </c>
      <c r="E124" s="13" t="s">
        <v>397</v>
      </c>
      <c r="F124" s="13">
        <v>1</v>
      </c>
      <c r="G124" s="22">
        <v>1</v>
      </c>
      <c r="H124" s="20">
        <v>1</v>
      </c>
      <c r="I124" s="4">
        <v>27</v>
      </c>
      <c r="J124" s="4">
        <v>29</v>
      </c>
      <c r="K124" s="4" t="s">
        <v>124</v>
      </c>
      <c r="L124" s="4" t="s">
        <v>13</v>
      </c>
      <c r="M124" s="4">
        <v>2022</v>
      </c>
      <c r="N124" s="4">
        <v>1</v>
      </c>
      <c r="O124" s="4">
        <v>1</v>
      </c>
    </row>
    <row r="125" spans="1:16">
      <c r="A125" s="4" t="s">
        <v>241</v>
      </c>
      <c r="B125" s="4" t="s">
        <v>266</v>
      </c>
      <c r="C125" s="9" t="s">
        <v>404</v>
      </c>
      <c r="D125" s="13">
        <v>0</v>
      </c>
      <c r="F125" s="13">
        <v>1</v>
      </c>
      <c r="G125" s="22">
        <v>0</v>
      </c>
      <c r="H125" s="13">
        <v>1</v>
      </c>
      <c r="I125" s="4">
        <v>28</v>
      </c>
      <c r="J125" s="4">
        <v>29</v>
      </c>
      <c r="K125" s="4" t="s">
        <v>124</v>
      </c>
      <c r="L125" s="4" t="s">
        <v>13</v>
      </c>
      <c r="M125" s="4">
        <v>2022</v>
      </c>
      <c r="N125" s="4">
        <v>1</v>
      </c>
      <c r="O125" s="4">
        <v>1</v>
      </c>
    </row>
    <row r="126" spans="1:16">
      <c r="A126" s="4" t="s">
        <v>241</v>
      </c>
      <c r="B126" s="4" t="s">
        <v>267</v>
      </c>
      <c r="C126" s="9" t="s">
        <v>252</v>
      </c>
      <c r="D126" s="13">
        <v>0</v>
      </c>
      <c r="F126" s="13">
        <v>1</v>
      </c>
      <c r="G126" s="22">
        <v>0</v>
      </c>
      <c r="H126" s="13">
        <v>1</v>
      </c>
      <c r="I126" s="4">
        <v>29</v>
      </c>
      <c r="J126" s="4">
        <v>29</v>
      </c>
      <c r="K126" s="4" t="s">
        <v>124</v>
      </c>
      <c r="L126" s="4" t="s">
        <v>13</v>
      </c>
      <c r="M126" s="4">
        <v>2022</v>
      </c>
      <c r="N126" s="4">
        <v>1</v>
      </c>
      <c r="O126" s="4">
        <v>1</v>
      </c>
    </row>
    <row r="127" spans="1:16">
      <c r="A127" s="4" t="s">
        <v>275</v>
      </c>
      <c r="B127" s="4" t="s">
        <v>276</v>
      </c>
      <c r="C127" s="9" t="s">
        <v>277</v>
      </c>
      <c r="D127" s="13">
        <v>1</v>
      </c>
      <c r="E127" s="13" t="s">
        <v>399</v>
      </c>
      <c r="F127" s="13">
        <v>1</v>
      </c>
      <c r="G127" s="22">
        <v>0</v>
      </c>
      <c r="H127" s="13">
        <v>1</v>
      </c>
      <c r="I127" s="4">
        <v>6</v>
      </c>
      <c r="J127" s="4">
        <v>38</v>
      </c>
      <c r="K127" s="4" t="s">
        <v>124</v>
      </c>
      <c r="L127" s="4" t="s">
        <v>13</v>
      </c>
      <c r="M127" s="4">
        <v>2023</v>
      </c>
      <c r="N127" s="4">
        <v>1</v>
      </c>
      <c r="O127" s="4">
        <v>1</v>
      </c>
      <c r="P127" s="4"/>
    </row>
    <row r="128" spans="1:16">
      <c r="A128" s="4" t="s">
        <v>275</v>
      </c>
      <c r="B128" s="4" t="s">
        <v>278</v>
      </c>
      <c r="C128" s="14" t="s">
        <v>405</v>
      </c>
      <c r="D128" s="13">
        <v>1</v>
      </c>
      <c r="E128" s="13" t="s">
        <v>397</v>
      </c>
      <c r="F128" s="13">
        <v>1</v>
      </c>
      <c r="G128" s="22">
        <v>0</v>
      </c>
      <c r="H128" s="13">
        <v>1</v>
      </c>
      <c r="I128" s="4">
        <v>12</v>
      </c>
      <c r="J128" s="4">
        <v>38</v>
      </c>
      <c r="K128" s="4" t="s">
        <v>124</v>
      </c>
      <c r="L128" s="4" t="s">
        <v>13</v>
      </c>
      <c r="M128" s="4">
        <v>2023</v>
      </c>
      <c r="N128" s="4">
        <v>1</v>
      </c>
      <c r="O128" s="4">
        <v>1</v>
      </c>
      <c r="P128" s="4"/>
    </row>
    <row r="129" spans="1:16">
      <c r="A129" s="4" t="s">
        <v>275</v>
      </c>
      <c r="B129" s="4" t="s">
        <v>279</v>
      </c>
      <c r="C129" s="9" t="s">
        <v>280</v>
      </c>
      <c r="D129" s="13">
        <v>1</v>
      </c>
      <c r="E129" s="13" t="s">
        <v>397</v>
      </c>
      <c r="F129" s="13">
        <v>1</v>
      </c>
      <c r="G129" s="22">
        <v>0</v>
      </c>
      <c r="H129" s="13">
        <v>1</v>
      </c>
      <c r="I129" s="4">
        <v>14</v>
      </c>
      <c r="J129" s="4">
        <v>38</v>
      </c>
      <c r="K129" s="4" t="s">
        <v>124</v>
      </c>
      <c r="L129" s="4" t="s">
        <v>13</v>
      </c>
      <c r="M129" s="4">
        <v>2023</v>
      </c>
      <c r="N129" s="4">
        <v>1</v>
      </c>
      <c r="O129" s="4">
        <v>1</v>
      </c>
      <c r="P129" s="4"/>
    </row>
    <row r="130" spans="1:16">
      <c r="A130" s="4" t="s">
        <v>275</v>
      </c>
      <c r="B130" s="4" t="s">
        <v>281</v>
      </c>
      <c r="C130" s="9" t="s">
        <v>282</v>
      </c>
      <c r="D130" s="13">
        <v>1</v>
      </c>
      <c r="E130" s="13" t="s">
        <v>397</v>
      </c>
      <c r="F130" s="13">
        <v>1</v>
      </c>
      <c r="G130" s="22">
        <v>0</v>
      </c>
      <c r="H130" s="13">
        <v>1</v>
      </c>
      <c r="I130" s="4">
        <v>15</v>
      </c>
      <c r="J130" s="4">
        <v>38</v>
      </c>
      <c r="K130" s="4" t="s">
        <v>124</v>
      </c>
      <c r="L130" s="4" t="s">
        <v>13</v>
      </c>
      <c r="M130" s="4">
        <v>2023</v>
      </c>
      <c r="N130" s="4">
        <v>1</v>
      </c>
      <c r="O130" s="4">
        <v>1</v>
      </c>
      <c r="P130" s="4"/>
    </row>
    <row r="131" spans="1:16">
      <c r="A131" s="4" t="s">
        <v>275</v>
      </c>
      <c r="B131" s="4" t="s">
        <v>283</v>
      </c>
      <c r="C131" s="9" t="s">
        <v>284</v>
      </c>
      <c r="D131" s="13">
        <v>1</v>
      </c>
      <c r="E131" s="13" t="s">
        <v>397</v>
      </c>
      <c r="F131" s="13">
        <v>1</v>
      </c>
      <c r="G131" s="22">
        <v>0</v>
      </c>
      <c r="H131" s="13">
        <v>1</v>
      </c>
      <c r="I131" s="4">
        <v>19</v>
      </c>
      <c r="J131" s="4">
        <v>38</v>
      </c>
      <c r="K131" s="4" t="s">
        <v>124</v>
      </c>
      <c r="L131" s="4" t="s">
        <v>13</v>
      </c>
      <c r="M131" s="4">
        <v>2023</v>
      </c>
      <c r="N131" s="4">
        <v>1</v>
      </c>
      <c r="O131" s="4">
        <v>1</v>
      </c>
      <c r="P131" s="4"/>
    </row>
    <row r="132" spans="1:16">
      <c r="A132" s="4" t="s">
        <v>275</v>
      </c>
      <c r="B132" s="4" t="s">
        <v>285</v>
      </c>
      <c r="C132" s="14" t="s">
        <v>286</v>
      </c>
      <c r="D132" s="13">
        <v>1</v>
      </c>
      <c r="E132" s="13" t="s">
        <v>397</v>
      </c>
      <c r="F132" s="13">
        <v>1</v>
      </c>
      <c r="G132" s="22">
        <v>0</v>
      </c>
      <c r="H132" s="13">
        <v>1</v>
      </c>
      <c r="I132" s="4">
        <v>23</v>
      </c>
      <c r="J132" s="4">
        <v>38</v>
      </c>
      <c r="K132" s="4" t="s">
        <v>124</v>
      </c>
      <c r="L132" s="4" t="s">
        <v>13</v>
      </c>
      <c r="M132" s="4">
        <v>2023</v>
      </c>
      <c r="N132" s="4">
        <v>1</v>
      </c>
      <c r="O132" s="4">
        <v>1</v>
      </c>
      <c r="P132" s="4"/>
    </row>
    <row r="133" spans="1:16">
      <c r="A133" s="4" t="s">
        <v>275</v>
      </c>
      <c r="B133" s="4" t="s">
        <v>287</v>
      </c>
      <c r="C133" s="14" t="s">
        <v>288</v>
      </c>
      <c r="D133" s="13">
        <v>1</v>
      </c>
      <c r="E133" s="13" t="s">
        <v>395</v>
      </c>
      <c r="F133" s="13">
        <v>1</v>
      </c>
      <c r="G133" s="22">
        <v>0</v>
      </c>
      <c r="H133" s="20">
        <v>2</v>
      </c>
      <c r="I133" s="4">
        <v>26</v>
      </c>
      <c r="J133" s="4">
        <v>38</v>
      </c>
      <c r="K133" s="4" t="s">
        <v>124</v>
      </c>
      <c r="L133" s="4" t="s">
        <v>13</v>
      </c>
      <c r="M133" s="4">
        <v>2023</v>
      </c>
      <c r="N133" s="4">
        <v>1</v>
      </c>
      <c r="O133" s="4">
        <v>1</v>
      </c>
      <c r="P133" s="4"/>
    </row>
    <row r="134" spans="1:16">
      <c r="A134" s="4" t="s">
        <v>275</v>
      </c>
      <c r="B134" s="4" t="s">
        <v>289</v>
      </c>
      <c r="C134" s="14" t="s">
        <v>290</v>
      </c>
      <c r="D134" s="13">
        <v>1</v>
      </c>
      <c r="E134" s="13" t="s">
        <v>395</v>
      </c>
      <c r="F134" s="13">
        <v>1</v>
      </c>
      <c r="G134" s="22">
        <v>0</v>
      </c>
      <c r="H134" s="20">
        <v>2</v>
      </c>
      <c r="I134" s="4">
        <v>27</v>
      </c>
      <c r="J134" s="4">
        <v>38</v>
      </c>
      <c r="K134" s="4" t="s">
        <v>124</v>
      </c>
      <c r="L134" s="4" t="s">
        <v>13</v>
      </c>
      <c r="M134" s="4">
        <v>2023</v>
      </c>
      <c r="N134" s="4">
        <v>1</v>
      </c>
      <c r="O134" s="4">
        <v>1</v>
      </c>
      <c r="P134" s="4"/>
    </row>
    <row r="135" spans="1:16">
      <c r="A135" s="4" t="s">
        <v>275</v>
      </c>
      <c r="B135" s="4" t="s">
        <v>291</v>
      </c>
      <c r="C135" s="14" t="s">
        <v>292</v>
      </c>
      <c r="D135" s="13">
        <v>1</v>
      </c>
      <c r="E135" s="13" t="s">
        <v>397</v>
      </c>
      <c r="F135" s="13">
        <v>1</v>
      </c>
      <c r="G135" s="22">
        <v>0</v>
      </c>
      <c r="H135" s="13">
        <v>1</v>
      </c>
      <c r="I135" s="4">
        <v>28</v>
      </c>
      <c r="J135" s="4">
        <v>38</v>
      </c>
      <c r="K135" s="4" t="s">
        <v>124</v>
      </c>
      <c r="L135" s="4" t="s">
        <v>13</v>
      </c>
      <c r="M135" s="4">
        <v>2023</v>
      </c>
      <c r="N135" s="4">
        <v>1</v>
      </c>
      <c r="O135" s="4">
        <v>1</v>
      </c>
      <c r="P135" s="4"/>
    </row>
    <row r="136" spans="1:16">
      <c r="A136" s="4" t="s">
        <v>275</v>
      </c>
      <c r="B136" s="4" t="s">
        <v>293</v>
      </c>
      <c r="C136" s="14" t="s">
        <v>294</v>
      </c>
      <c r="D136" s="13">
        <v>1</v>
      </c>
      <c r="E136" s="13" t="s">
        <v>399</v>
      </c>
      <c r="F136" s="13">
        <v>1</v>
      </c>
      <c r="G136" s="22">
        <v>1</v>
      </c>
      <c r="H136" s="20">
        <v>1</v>
      </c>
      <c r="I136" s="4">
        <v>29</v>
      </c>
      <c r="J136" s="4">
        <v>38</v>
      </c>
      <c r="K136" s="4" t="s">
        <v>124</v>
      </c>
      <c r="L136" s="4" t="s">
        <v>13</v>
      </c>
      <c r="M136" s="4">
        <v>2023</v>
      </c>
      <c r="N136" s="4">
        <v>1</v>
      </c>
      <c r="O136" s="4">
        <v>1</v>
      </c>
      <c r="P136" s="4"/>
    </row>
    <row r="137" spans="1:16">
      <c r="A137" s="4" t="s">
        <v>275</v>
      </c>
      <c r="B137" s="4" t="s">
        <v>295</v>
      </c>
      <c r="C137" s="14" t="s">
        <v>296</v>
      </c>
      <c r="D137" s="13">
        <v>1</v>
      </c>
      <c r="E137" s="13" t="s">
        <v>397</v>
      </c>
      <c r="F137" s="13">
        <v>1</v>
      </c>
      <c r="G137" s="22">
        <v>1</v>
      </c>
      <c r="H137" s="20">
        <v>1</v>
      </c>
      <c r="I137" s="4">
        <v>30</v>
      </c>
      <c r="J137" s="4">
        <v>38</v>
      </c>
      <c r="K137" s="4" t="s">
        <v>124</v>
      </c>
      <c r="L137" s="4" t="s">
        <v>13</v>
      </c>
      <c r="M137" s="4">
        <v>2023</v>
      </c>
      <c r="N137" s="4">
        <v>1</v>
      </c>
      <c r="O137" s="4">
        <v>1</v>
      </c>
      <c r="P137" s="4"/>
    </row>
    <row r="138" spans="1:16">
      <c r="A138" s="4" t="s">
        <v>275</v>
      </c>
      <c r="B138" s="4" t="s">
        <v>297</v>
      </c>
      <c r="C138" s="14" t="s">
        <v>298</v>
      </c>
      <c r="D138" s="13">
        <v>1</v>
      </c>
      <c r="E138" s="13" t="s">
        <v>397</v>
      </c>
      <c r="F138" s="13">
        <v>1</v>
      </c>
      <c r="G138" s="22">
        <v>0</v>
      </c>
      <c r="H138" s="13">
        <v>1</v>
      </c>
      <c r="I138" s="4">
        <v>31</v>
      </c>
      <c r="J138" s="4">
        <v>38</v>
      </c>
      <c r="K138" s="4" t="s">
        <v>124</v>
      </c>
      <c r="L138" s="4" t="s">
        <v>13</v>
      </c>
      <c r="M138" s="4">
        <v>2023</v>
      </c>
      <c r="N138" s="4">
        <v>1</v>
      </c>
      <c r="O138" s="4">
        <v>1</v>
      </c>
      <c r="P138" s="4"/>
    </row>
    <row r="139" spans="1:16">
      <c r="A139" s="4" t="s">
        <v>275</v>
      </c>
      <c r="B139" s="4" t="s">
        <v>299</v>
      </c>
      <c r="C139" s="14" t="s">
        <v>300</v>
      </c>
      <c r="D139" s="13">
        <v>1</v>
      </c>
      <c r="E139" s="13" t="s">
        <v>399</v>
      </c>
      <c r="F139" s="13">
        <v>1</v>
      </c>
      <c r="G139" s="22">
        <v>0</v>
      </c>
      <c r="H139" s="13">
        <v>1</v>
      </c>
      <c r="I139" s="4">
        <v>32</v>
      </c>
      <c r="J139" s="4">
        <v>38</v>
      </c>
      <c r="K139" s="4" t="s">
        <v>124</v>
      </c>
      <c r="L139" s="4" t="s">
        <v>13</v>
      </c>
      <c r="M139" s="4">
        <v>2023</v>
      </c>
      <c r="N139" s="4">
        <v>1</v>
      </c>
      <c r="O139" s="4">
        <v>1</v>
      </c>
      <c r="P139" s="4"/>
    </row>
    <row r="140" spans="1:16">
      <c r="A140" s="4" t="s">
        <v>275</v>
      </c>
      <c r="B140" s="4" t="s">
        <v>301</v>
      </c>
      <c r="C140" s="9" t="s">
        <v>302</v>
      </c>
      <c r="D140" s="13">
        <v>1</v>
      </c>
      <c r="E140" s="13" t="s">
        <v>399</v>
      </c>
      <c r="F140" s="13">
        <v>1</v>
      </c>
      <c r="G140" s="22">
        <v>0</v>
      </c>
      <c r="H140" s="13">
        <v>1</v>
      </c>
      <c r="I140" s="4">
        <v>33</v>
      </c>
      <c r="J140" s="4">
        <v>38</v>
      </c>
      <c r="K140" s="4" t="s">
        <v>124</v>
      </c>
      <c r="L140" s="4" t="s">
        <v>13</v>
      </c>
      <c r="M140" s="4">
        <v>2023</v>
      </c>
      <c r="N140" s="4">
        <v>1</v>
      </c>
      <c r="O140" s="4">
        <v>1</v>
      </c>
      <c r="P140" s="4"/>
    </row>
    <row r="141" spans="1:16">
      <c r="A141" s="4" t="s">
        <v>275</v>
      </c>
      <c r="B141" s="4" t="s">
        <v>303</v>
      </c>
      <c r="C141" s="14" t="s">
        <v>304</v>
      </c>
      <c r="D141" s="13">
        <v>1</v>
      </c>
      <c r="E141" s="13" t="s">
        <v>399</v>
      </c>
      <c r="F141" s="13">
        <v>1</v>
      </c>
      <c r="G141" s="22">
        <v>0</v>
      </c>
      <c r="H141" s="20">
        <v>2</v>
      </c>
      <c r="I141" s="4">
        <v>34</v>
      </c>
      <c r="J141" s="4">
        <v>38</v>
      </c>
      <c r="K141" s="4" t="s">
        <v>124</v>
      </c>
      <c r="L141" s="4" t="s">
        <v>13</v>
      </c>
      <c r="M141" s="4">
        <v>2023</v>
      </c>
      <c r="N141" s="4">
        <v>1</v>
      </c>
      <c r="O141" s="4">
        <v>1</v>
      </c>
      <c r="P141" s="4"/>
    </row>
    <row r="142" spans="1:16">
      <c r="A142" s="4" t="s">
        <v>275</v>
      </c>
      <c r="B142" s="4" t="s">
        <v>305</v>
      </c>
      <c r="C142" s="14" t="s">
        <v>306</v>
      </c>
      <c r="D142" s="13">
        <v>1</v>
      </c>
      <c r="E142" s="13" t="s">
        <v>397</v>
      </c>
      <c r="F142" s="13">
        <v>1</v>
      </c>
      <c r="G142" s="22">
        <v>1</v>
      </c>
      <c r="H142" s="20">
        <v>1</v>
      </c>
      <c r="I142" s="4">
        <v>35</v>
      </c>
      <c r="J142" s="4">
        <v>38</v>
      </c>
      <c r="K142" s="4" t="s">
        <v>124</v>
      </c>
      <c r="L142" s="4" t="s">
        <v>13</v>
      </c>
      <c r="M142" s="4">
        <v>2023</v>
      </c>
      <c r="N142" s="4">
        <v>1</v>
      </c>
      <c r="O142" s="4">
        <v>1</v>
      </c>
      <c r="P142" s="4"/>
    </row>
    <row r="143" spans="1:16">
      <c r="A143" s="4" t="s">
        <v>275</v>
      </c>
      <c r="B143" s="4" t="s">
        <v>307</v>
      </c>
      <c r="C143" s="14" t="s">
        <v>308</v>
      </c>
      <c r="D143" s="13">
        <v>0</v>
      </c>
      <c r="F143" s="13">
        <v>1</v>
      </c>
      <c r="G143" s="22">
        <v>0</v>
      </c>
      <c r="H143" s="13">
        <v>1</v>
      </c>
      <c r="I143" s="4">
        <v>36</v>
      </c>
      <c r="J143" s="4">
        <v>38</v>
      </c>
      <c r="K143" s="4" t="s">
        <v>124</v>
      </c>
      <c r="L143" s="4" t="s">
        <v>13</v>
      </c>
      <c r="M143" s="4">
        <v>2023</v>
      </c>
      <c r="N143" s="4">
        <v>1</v>
      </c>
      <c r="O143" s="4">
        <v>1</v>
      </c>
      <c r="P143" s="4"/>
    </row>
    <row r="144" spans="1:16">
      <c r="A144" s="4" t="s">
        <v>275</v>
      </c>
      <c r="B144" s="4" t="s">
        <v>309</v>
      </c>
      <c r="C144" s="14" t="s">
        <v>310</v>
      </c>
      <c r="D144" s="13">
        <v>0</v>
      </c>
      <c r="F144" s="13">
        <v>1</v>
      </c>
      <c r="G144" s="22">
        <v>0</v>
      </c>
      <c r="H144" s="13">
        <v>1</v>
      </c>
      <c r="I144" s="4">
        <v>37</v>
      </c>
      <c r="J144" s="4">
        <v>38</v>
      </c>
      <c r="K144" s="4" t="s">
        <v>124</v>
      </c>
      <c r="L144" s="4" t="s">
        <v>13</v>
      </c>
      <c r="M144" s="4">
        <v>2023</v>
      </c>
      <c r="N144" s="4">
        <v>1</v>
      </c>
      <c r="O144" s="4">
        <v>1</v>
      </c>
      <c r="P144" s="4"/>
    </row>
    <row r="145" spans="1:16">
      <c r="A145" s="4" t="s">
        <v>275</v>
      </c>
      <c r="B145" s="4" t="s">
        <v>311</v>
      </c>
      <c r="C145" s="14" t="s">
        <v>312</v>
      </c>
      <c r="D145" s="13">
        <v>0</v>
      </c>
      <c r="F145" s="13">
        <v>1</v>
      </c>
      <c r="G145" s="22">
        <v>0</v>
      </c>
      <c r="H145" s="13">
        <v>1</v>
      </c>
      <c r="I145" s="4">
        <v>38</v>
      </c>
      <c r="J145" s="4">
        <v>38</v>
      </c>
      <c r="K145" s="4" t="s">
        <v>124</v>
      </c>
      <c r="L145" s="4" t="s">
        <v>13</v>
      </c>
      <c r="M145" s="4">
        <v>2023</v>
      </c>
      <c r="N145" s="4">
        <v>1</v>
      </c>
      <c r="O145" s="4">
        <v>1</v>
      </c>
      <c r="P145" s="4"/>
    </row>
    <row r="146" spans="1:16">
      <c r="A146" s="4" t="s">
        <v>313</v>
      </c>
      <c r="B146" s="4" t="s">
        <v>314</v>
      </c>
      <c r="C146" s="14" t="s">
        <v>315</v>
      </c>
      <c r="D146" s="13">
        <v>1</v>
      </c>
      <c r="E146" s="13" t="s">
        <v>399</v>
      </c>
      <c r="F146" s="13">
        <v>1</v>
      </c>
      <c r="G146" s="22">
        <v>0</v>
      </c>
      <c r="H146" s="13">
        <v>1</v>
      </c>
      <c r="I146" s="4">
        <v>3</v>
      </c>
      <c r="J146" s="4">
        <v>41</v>
      </c>
      <c r="K146" s="4" t="s">
        <v>124</v>
      </c>
      <c r="L146" s="4" t="s">
        <v>13</v>
      </c>
      <c r="M146" s="4">
        <v>2024</v>
      </c>
      <c r="N146" s="4">
        <v>1</v>
      </c>
      <c r="O146" s="4">
        <v>1</v>
      </c>
      <c r="P146" s="4"/>
    </row>
    <row r="147" spans="1:16">
      <c r="A147" s="4" t="s">
        <v>313</v>
      </c>
      <c r="B147" s="4" t="s">
        <v>316</v>
      </c>
      <c r="C147" s="14" t="s">
        <v>317</v>
      </c>
      <c r="D147" s="13">
        <v>1</v>
      </c>
      <c r="E147" s="13" t="s">
        <v>399</v>
      </c>
      <c r="F147" s="13">
        <v>1</v>
      </c>
      <c r="G147" s="22">
        <v>0</v>
      </c>
      <c r="H147" s="13">
        <v>1</v>
      </c>
      <c r="I147" s="4">
        <v>4</v>
      </c>
      <c r="J147" s="4">
        <v>41</v>
      </c>
      <c r="K147" s="4" t="s">
        <v>124</v>
      </c>
      <c r="L147" s="4" t="s">
        <v>13</v>
      </c>
      <c r="M147" s="4">
        <v>2024</v>
      </c>
      <c r="N147" s="4">
        <v>1</v>
      </c>
      <c r="O147" s="4">
        <v>1</v>
      </c>
      <c r="P147" s="4"/>
    </row>
    <row r="148" spans="1:16">
      <c r="A148" s="4" t="s">
        <v>313</v>
      </c>
      <c r="B148" s="4" t="s">
        <v>318</v>
      </c>
      <c r="C148" s="14" t="s">
        <v>319</v>
      </c>
      <c r="D148" s="13">
        <v>1</v>
      </c>
      <c r="E148" s="13" t="s">
        <v>399</v>
      </c>
      <c r="F148" s="13">
        <v>1</v>
      </c>
      <c r="G148" s="22">
        <v>0</v>
      </c>
      <c r="H148" s="20">
        <v>2</v>
      </c>
      <c r="I148" s="4">
        <v>8</v>
      </c>
      <c r="J148" s="4">
        <v>41</v>
      </c>
      <c r="K148" s="4" t="s">
        <v>124</v>
      </c>
      <c r="L148" s="4" t="s">
        <v>13</v>
      </c>
      <c r="M148" s="4">
        <v>2024</v>
      </c>
      <c r="N148" s="4">
        <v>1</v>
      </c>
      <c r="O148" s="4">
        <v>1</v>
      </c>
      <c r="P148" s="4"/>
    </row>
    <row r="149" spans="1:16">
      <c r="A149" s="4" t="s">
        <v>313</v>
      </c>
      <c r="B149" s="4" t="s">
        <v>320</v>
      </c>
      <c r="C149" s="14" t="s">
        <v>321</v>
      </c>
      <c r="D149" s="13">
        <v>1</v>
      </c>
      <c r="E149" s="13" t="s">
        <v>395</v>
      </c>
      <c r="F149" s="13">
        <v>1</v>
      </c>
      <c r="G149" s="22">
        <v>1</v>
      </c>
      <c r="H149" s="13">
        <v>2</v>
      </c>
      <c r="I149" s="4">
        <v>11</v>
      </c>
      <c r="J149" s="4">
        <v>41</v>
      </c>
      <c r="K149" s="4" t="s">
        <v>124</v>
      </c>
      <c r="L149" s="4" t="s">
        <v>13</v>
      </c>
      <c r="M149" s="4">
        <v>2024</v>
      </c>
      <c r="N149" s="4">
        <v>1</v>
      </c>
      <c r="O149" s="4">
        <v>1</v>
      </c>
      <c r="P149" s="4"/>
    </row>
    <row r="150" spans="1:16">
      <c r="A150" s="4" t="s">
        <v>313</v>
      </c>
      <c r="B150" s="4" t="s">
        <v>322</v>
      </c>
      <c r="C150" s="9" t="s">
        <v>323</v>
      </c>
      <c r="D150" s="13">
        <v>1</v>
      </c>
      <c r="E150" s="13" t="s">
        <v>399</v>
      </c>
      <c r="F150" s="13">
        <v>1</v>
      </c>
      <c r="G150" s="22">
        <v>0</v>
      </c>
      <c r="H150" s="13">
        <v>1</v>
      </c>
      <c r="I150" s="4">
        <v>12</v>
      </c>
      <c r="J150" s="4">
        <v>41</v>
      </c>
      <c r="K150" s="4" t="s">
        <v>124</v>
      </c>
      <c r="L150" s="4" t="s">
        <v>13</v>
      </c>
      <c r="M150" s="4">
        <v>2024</v>
      </c>
      <c r="N150" s="4">
        <v>1</v>
      </c>
      <c r="O150" s="4">
        <v>1</v>
      </c>
      <c r="P150" s="4"/>
    </row>
    <row r="151" spans="1:16">
      <c r="A151" s="4" t="s">
        <v>313</v>
      </c>
      <c r="B151" s="4" t="s">
        <v>324</v>
      </c>
      <c r="C151" s="14" t="s">
        <v>325</v>
      </c>
      <c r="D151" s="13">
        <v>1</v>
      </c>
      <c r="E151" s="13" t="s">
        <v>399</v>
      </c>
      <c r="F151" s="13">
        <v>1</v>
      </c>
      <c r="G151" s="22">
        <v>0</v>
      </c>
      <c r="H151" s="20">
        <v>2</v>
      </c>
      <c r="I151" s="4">
        <v>14</v>
      </c>
      <c r="J151" s="4">
        <v>41</v>
      </c>
      <c r="K151" s="4" t="s">
        <v>124</v>
      </c>
      <c r="L151" s="4" t="s">
        <v>13</v>
      </c>
      <c r="M151" s="4">
        <v>2024</v>
      </c>
      <c r="N151" s="4">
        <v>1</v>
      </c>
      <c r="O151" s="4">
        <v>1</v>
      </c>
      <c r="P151" s="4"/>
    </row>
    <row r="152" spans="1:16">
      <c r="A152" s="4" t="s">
        <v>313</v>
      </c>
      <c r="B152" s="4" t="s">
        <v>326</v>
      </c>
      <c r="C152" s="14" t="s">
        <v>327</v>
      </c>
      <c r="D152" s="13">
        <v>1</v>
      </c>
      <c r="E152" s="13" t="s">
        <v>397</v>
      </c>
      <c r="F152" s="13">
        <v>1</v>
      </c>
      <c r="G152" s="22">
        <v>0</v>
      </c>
      <c r="H152" s="13">
        <v>1</v>
      </c>
      <c r="I152" s="4">
        <v>15</v>
      </c>
      <c r="J152" s="4">
        <v>41</v>
      </c>
      <c r="K152" s="4" t="s">
        <v>124</v>
      </c>
      <c r="L152" s="4" t="s">
        <v>13</v>
      </c>
      <c r="M152" s="4">
        <v>2024</v>
      </c>
      <c r="N152" s="4">
        <v>1</v>
      </c>
      <c r="O152" s="4">
        <v>1</v>
      </c>
      <c r="P152" s="4"/>
    </row>
    <row r="153" spans="1:16">
      <c r="A153" s="4" t="s">
        <v>313</v>
      </c>
      <c r="B153" s="4" t="s">
        <v>328</v>
      </c>
      <c r="C153" s="14" t="s">
        <v>330</v>
      </c>
      <c r="D153" s="13">
        <v>1</v>
      </c>
      <c r="E153" s="13" t="s">
        <v>397</v>
      </c>
      <c r="F153" s="13">
        <v>1</v>
      </c>
      <c r="G153" s="22">
        <v>0</v>
      </c>
      <c r="H153" s="13">
        <v>1</v>
      </c>
      <c r="I153" s="4">
        <v>17</v>
      </c>
      <c r="J153" s="4">
        <v>41</v>
      </c>
      <c r="K153" s="4" t="s">
        <v>124</v>
      </c>
      <c r="L153" s="4" t="s">
        <v>13</v>
      </c>
      <c r="M153" s="4">
        <v>2024</v>
      </c>
      <c r="N153" s="4">
        <v>1</v>
      </c>
      <c r="O153" s="4">
        <v>1</v>
      </c>
      <c r="P153" s="4"/>
    </row>
    <row r="154" spans="1:16">
      <c r="A154" s="4" t="s">
        <v>313</v>
      </c>
      <c r="B154" s="4" t="s">
        <v>329</v>
      </c>
      <c r="C154" s="14" t="s">
        <v>331</v>
      </c>
      <c r="D154" s="13">
        <v>1</v>
      </c>
      <c r="E154" s="13" t="s">
        <v>397</v>
      </c>
      <c r="F154" s="13">
        <v>1</v>
      </c>
      <c r="G154" s="22">
        <v>0</v>
      </c>
      <c r="H154" s="13">
        <v>1</v>
      </c>
      <c r="I154" s="4">
        <v>18</v>
      </c>
      <c r="J154" s="4">
        <v>41</v>
      </c>
      <c r="K154" s="4" t="s">
        <v>124</v>
      </c>
      <c r="L154" s="4" t="s">
        <v>13</v>
      </c>
      <c r="M154" s="4">
        <v>2024</v>
      </c>
      <c r="N154" s="4">
        <v>1</v>
      </c>
      <c r="O154" s="4">
        <v>1</v>
      </c>
      <c r="P154" s="4"/>
    </row>
    <row r="155" spans="1:16">
      <c r="A155" s="4" t="s">
        <v>313</v>
      </c>
      <c r="B155" s="4" t="s">
        <v>332</v>
      </c>
      <c r="C155" s="14" t="s">
        <v>333</v>
      </c>
      <c r="D155" s="13">
        <v>0</v>
      </c>
      <c r="F155" s="13">
        <v>1</v>
      </c>
      <c r="G155" s="22">
        <v>0</v>
      </c>
      <c r="H155" s="13">
        <v>1</v>
      </c>
      <c r="I155" s="4">
        <v>21</v>
      </c>
      <c r="J155" s="4">
        <v>41</v>
      </c>
      <c r="K155" s="4" t="s">
        <v>124</v>
      </c>
      <c r="L155" s="4" t="s">
        <v>13</v>
      </c>
      <c r="M155" s="4">
        <v>2024</v>
      </c>
      <c r="N155" s="4">
        <v>1</v>
      </c>
      <c r="O155" s="4">
        <v>1</v>
      </c>
      <c r="P155" s="4"/>
    </row>
    <row r="156" spans="1:16">
      <c r="A156" s="4" t="s">
        <v>313</v>
      </c>
      <c r="B156" s="4" t="s">
        <v>334</v>
      </c>
      <c r="C156" s="14" t="s">
        <v>335</v>
      </c>
      <c r="D156" s="13">
        <v>1</v>
      </c>
      <c r="E156" s="13" t="s">
        <v>399</v>
      </c>
      <c r="F156" s="13">
        <v>1</v>
      </c>
      <c r="G156" s="22">
        <v>0</v>
      </c>
      <c r="H156" s="20">
        <v>2</v>
      </c>
      <c r="I156" s="4">
        <v>29</v>
      </c>
      <c r="J156" s="4">
        <v>41</v>
      </c>
      <c r="K156" s="4" t="s">
        <v>124</v>
      </c>
      <c r="L156" s="4" t="s">
        <v>13</v>
      </c>
      <c r="M156" s="4">
        <v>2024</v>
      </c>
      <c r="N156" s="4">
        <v>1</v>
      </c>
      <c r="O156" s="4">
        <v>1</v>
      </c>
      <c r="P156" s="4"/>
    </row>
    <row r="157" spans="1:16">
      <c r="A157" s="4" t="s">
        <v>313</v>
      </c>
      <c r="B157" s="4" t="s">
        <v>336</v>
      </c>
      <c r="C157" s="14" t="s">
        <v>298</v>
      </c>
      <c r="D157" s="13">
        <v>1</v>
      </c>
      <c r="E157" s="13" t="s">
        <v>397</v>
      </c>
      <c r="F157" s="13">
        <v>1</v>
      </c>
      <c r="G157" s="22">
        <v>0</v>
      </c>
      <c r="H157" s="13">
        <v>1</v>
      </c>
      <c r="I157" s="4">
        <v>31</v>
      </c>
      <c r="J157" s="4">
        <v>41</v>
      </c>
      <c r="K157" s="4" t="s">
        <v>124</v>
      </c>
      <c r="L157" s="4" t="s">
        <v>13</v>
      </c>
      <c r="M157" s="4">
        <v>2024</v>
      </c>
      <c r="N157" s="4">
        <v>1</v>
      </c>
      <c r="O157" s="4">
        <v>1</v>
      </c>
      <c r="P157" s="4"/>
    </row>
    <row r="158" spans="1:16">
      <c r="A158" s="4" t="s">
        <v>313</v>
      </c>
      <c r="B158" s="4" t="s">
        <v>337</v>
      </c>
      <c r="C158" s="14" t="s">
        <v>339</v>
      </c>
      <c r="D158" s="13">
        <v>1</v>
      </c>
      <c r="E158" s="13" t="s">
        <v>399</v>
      </c>
      <c r="F158" s="13">
        <v>1</v>
      </c>
      <c r="G158" s="22">
        <v>0</v>
      </c>
      <c r="H158" s="13">
        <v>1</v>
      </c>
      <c r="I158" s="4">
        <v>32</v>
      </c>
      <c r="J158" s="4">
        <v>41</v>
      </c>
      <c r="K158" s="4" t="s">
        <v>124</v>
      </c>
      <c r="L158" s="4" t="s">
        <v>13</v>
      </c>
      <c r="M158" s="4">
        <v>2024</v>
      </c>
      <c r="N158" s="4">
        <v>1</v>
      </c>
      <c r="O158" s="4">
        <v>1</v>
      </c>
      <c r="P158" s="4"/>
    </row>
    <row r="159" spans="1:16">
      <c r="A159" s="4" t="s">
        <v>313</v>
      </c>
      <c r="B159" s="4" t="s">
        <v>338</v>
      </c>
      <c r="C159" s="14" t="s">
        <v>340</v>
      </c>
      <c r="D159" s="13">
        <v>1</v>
      </c>
      <c r="E159" s="13" t="s">
        <v>399</v>
      </c>
      <c r="F159" s="13">
        <v>1</v>
      </c>
      <c r="G159" s="22">
        <v>0</v>
      </c>
      <c r="H159" s="20">
        <v>2</v>
      </c>
      <c r="I159" s="4">
        <v>33</v>
      </c>
      <c r="J159" s="4">
        <v>41</v>
      </c>
      <c r="K159" s="4" t="s">
        <v>124</v>
      </c>
      <c r="L159" s="4" t="s">
        <v>13</v>
      </c>
      <c r="M159" s="4">
        <v>2024</v>
      </c>
      <c r="N159" s="4">
        <v>1</v>
      </c>
      <c r="O159" s="4">
        <v>1</v>
      </c>
      <c r="P159" s="4"/>
    </row>
    <row r="160" spans="1:16">
      <c r="A160" s="4" t="s">
        <v>313</v>
      </c>
      <c r="B160" s="4" t="s">
        <v>406</v>
      </c>
      <c r="C160" s="14" t="s">
        <v>304</v>
      </c>
      <c r="D160" s="13">
        <v>1</v>
      </c>
      <c r="E160" s="13" t="s">
        <v>399</v>
      </c>
      <c r="F160" s="13">
        <v>1</v>
      </c>
      <c r="G160" s="22">
        <v>0</v>
      </c>
      <c r="H160" s="20">
        <v>2</v>
      </c>
      <c r="I160" s="4">
        <v>34</v>
      </c>
      <c r="J160" s="4">
        <v>41</v>
      </c>
      <c r="K160" s="4" t="s">
        <v>124</v>
      </c>
      <c r="L160" s="4" t="s">
        <v>13</v>
      </c>
      <c r="M160" s="4">
        <v>2024</v>
      </c>
      <c r="N160" s="4">
        <v>1</v>
      </c>
      <c r="O160" s="4">
        <v>1</v>
      </c>
      <c r="P160" s="4"/>
    </row>
    <row r="161" spans="1:16">
      <c r="A161" s="4" t="s">
        <v>313</v>
      </c>
      <c r="B161" s="4" t="s">
        <v>341</v>
      </c>
      <c r="C161" s="14" t="s">
        <v>306</v>
      </c>
      <c r="D161" s="13">
        <v>1</v>
      </c>
      <c r="E161" s="13" t="s">
        <v>397</v>
      </c>
      <c r="F161" s="13">
        <v>1</v>
      </c>
      <c r="G161" s="22">
        <v>1</v>
      </c>
      <c r="H161" s="13">
        <v>1</v>
      </c>
      <c r="I161" s="4">
        <v>38</v>
      </c>
      <c r="J161" s="4">
        <v>41</v>
      </c>
      <c r="K161" s="4" t="s">
        <v>124</v>
      </c>
      <c r="L161" s="4" t="s">
        <v>13</v>
      </c>
      <c r="M161" s="4">
        <v>2024</v>
      </c>
      <c r="N161" s="4">
        <v>1</v>
      </c>
      <c r="O161" s="4">
        <v>1</v>
      </c>
      <c r="P161" s="4"/>
    </row>
    <row r="162" spans="1:16">
      <c r="A162" s="4" t="s">
        <v>313</v>
      </c>
      <c r="B162" s="4" t="s">
        <v>342</v>
      </c>
      <c r="C162" s="14" t="s">
        <v>344</v>
      </c>
      <c r="D162" s="13">
        <v>0</v>
      </c>
      <c r="F162" s="13">
        <v>1</v>
      </c>
      <c r="G162" s="22">
        <v>0</v>
      </c>
      <c r="H162" s="13">
        <v>1</v>
      </c>
      <c r="I162" s="4">
        <v>39</v>
      </c>
      <c r="J162" s="4">
        <v>41</v>
      </c>
      <c r="K162" s="4" t="s">
        <v>124</v>
      </c>
      <c r="L162" s="4" t="s">
        <v>13</v>
      </c>
      <c r="M162" s="4">
        <v>2024</v>
      </c>
      <c r="N162" s="4">
        <v>1</v>
      </c>
      <c r="O162" s="4">
        <v>1</v>
      </c>
      <c r="P162" s="4"/>
    </row>
    <row r="163" spans="1:16">
      <c r="A163" s="4" t="s">
        <v>313</v>
      </c>
      <c r="B163" s="4" t="s">
        <v>343</v>
      </c>
      <c r="C163" s="14" t="s">
        <v>310</v>
      </c>
      <c r="D163" s="13">
        <v>0</v>
      </c>
      <c r="F163" s="13">
        <v>1</v>
      </c>
      <c r="G163" s="22">
        <v>0</v>
      </c>
      <c r="H163" s="13">
        <v>1</v>
      </c>
      <c r="I163" s="4">
        <v>40</v>
      </c>
      <c r="J163" s="4">
        <v>41</v>
      </c>
      <c r="K163" s="4" t="s">
        <v>124</v>
      </c>
      <c r="L163" s="4" t="s">
        <v>13</v>
      </c>
      <c r="M163" s="4">
        <v>2024</v>
      </c>
      <c r="N163" s="4">
        <v>1</v>
      </c>
      <c r="O163" s="4">
        <v>1</v>
      </c>
      <c r="P163" s="4"/>
    </row>
    <row r="164" spans="1:16">
      <c r="A164" s="4" t="s">
        <v>313</v>
      </c>
      <c r="B164" s="4" t="s">
        <v>345</v>
      </c>
      <c r="C164" s="14" t="s">
        <v>346</v>
      </c>
      <c r="D164" s="13">
        <v>0</v>
      </c>
      <c r="F164" s="13">
        <v>1</v>
      </c>
      <c r="G164" s="22">
        <v>0</v>
      </c>
      <c r="H164" s="13">
        <v>1</v>
      </c>
      <c r="I164" s="4">
        <v>41</v>
      </c>
      <c r="J164" s="4">
        <v>41</v>
      </c>
      <c r="K164" s="4" t="s">
        <v>124</v>
      </c>
      <c r="L164" s="4" t="s">
        <v>13</v>
      </c>
      <c r="M164" s="4">
        <v>2024</v>
      </c>
      <c r="N164" s="4">
        <v>1</v>
      </c>
      <c r="O164" s="4">
        <v>1</v>
      </c>
      <c r="P164" s="4"/>
    </row>
    <row r="165" spans="1:16">
      <c r="A165" s="4" t="s">
        <v>347</v>
      </c>
      <c r="B165" s="4" t="s">
        <v>348</v>
      </c>
      <c r="C165" s="9" t="s">
        <v>349</v>
      </c>
      <c r="D165" s="13">
        <v>0</v>
      </c>
      <c r="F165" s="13">
        <v>1</v>
      </c>
      <c r="G165" s="22">
        <v>0</v>
      </c>
      <c r="H165" s="13">
        <v>1</v>
      </c>
      <c r="I165" s="4">
        <v>1</v>
      </c>
      <c r="J165" s="4">
        <v>46</v>
      </c>
      <c r="K165" s="4" t="s">
        <v>124</v>
      </c>
      <c r="L165" s="4" t="s">
        <v>13</v>
      </c>
      <c r="M165" s="4">
        <v>2025</v>
      </c>
      <c r="N165" s="4">
        <v>1</v>
      </c>
      <c r="O165" s="4">
        <v>1</v>
      </c>
      <c r="P165" s="4"/>
    </row>
    <row r="166" spans="1:16">
      <c r="A166" s="4" t="s">
        <v>347</v>
      </c>
      <c r="B166" s="4" t="s">
        <v>350</v>
      </c>
      <c r="C166" s="14" t="s">
        <v>351</v>
      </c>
      <c r="D166" s="13">
        <v>0</v>
      </c>
      <c r="F166" s="13">
        <v>1</v>
      </c>
      <c r="G166" s="22">
        <v>0</v>
      </c>
      <c r="H166" s="13">
        <v>1</v>
      </c>
      <c r="I166" s="4">
        <v>2</v>
      </c>
      <c r="J166" s="4">
        <v>46</v>
      </c>
      <c r="K166" s="4" t="s">
        <v>124</v>
      </c>
      <c r="L166" s="4" t="s">
        <v>13</v>
      </c>
      <c r="M166" s="4">
        <v>2025</v>
      </c>
      <c r="N166" s="4">
        <v>1</v>
      </c>
      <c r="O166" s="4">
        <v>1</v>
      </c>
      <c r="P166" s="4"/>
    </row>
    <row r="167" spans="1:16">
      <c r="A167" s="4" t="s">
        <v>347</v>
      </c>
      <c r="B167" s="4" t="s">
        <v>352</v>
      </c>
      <c r="C167" s="14" t="s">
        <v>353</v>
      </c>
      <c r="D167" s="13">
        <v>0</v>
      </c>
      <c r="F167" s="13">
        <v>1</v>
      </c>
      <c r="G167" s="22">
        <v>0</v>
      </c>
      <c r="H167" s="13">
        <v>1</v>
      </c>
      <c r="I167" s="4">
        <v>3</v>
      </c>
      <c r="J167" s="4">
        <v>46</v>
      </c>
      <c r="K167" s="4" t="s">
        <v>124</v>
      </c>
      <c r="L167" s="4" t="s">
        <v>13</v>
      </c>
      <c r="M167" s="4">
        <v>2025</v>
      </c>
      <c r="N167" s="4">
        <v>1</v>
      </c>
      <c r="O167" s="4">
        <v>1</v>
      </c>
      <c r="P167" s="4"/>
    </row>
    <row r="168" spans="1:16">
      <c r="A168" s="4" t="s">
        <v>347</v>
      </c>
      <c r="B168" s="4" t="s">
        <v>354</v>
      </c>
      <c r="C168" s="14" t="s">
        <v>355</v>
      </c>
      <c r="D168" s="13">
        <v>1</v>
      </c>
      <c r="E168" s="13" t="s">
        <v>399</v>
      </c>
      <c r="F168" s="13">
        <v>1</v>
      </c>
      <c r="G168" s="22">
        <v>1</v>
      </c>
      <c r="H168" s="20">
        <v>1</v>
      </c>
      <c r="I168" s="4">
        <v>4</v>
      </c>
      <c r="J168" s="4">
        <v>46</v>
      </c>
      <c r="K168" s="4" t="s">
        <v>124</v>
      </c>
      <c r="L168" s="4" t="s">
        <v>13</v>
      </c>
      <c r="M168" s="4">
        <v>2025</v>
      </c>
      <c r="N168" s="4">
        <v>1</v>
      </c>
      <c r="O168" s="4">
        <v>1</v>
      </c>
      <c r="P168" s="4"/>
    </row>
    <row r="169" spans="1:16">
      <c r="A169" s="4" t="s">
        <v>347</v>
      </c>
      <c r="B169" s="4" t="s">
        <v>356</v>
      </c>
      <c r="C169" s="14" t="s">
        <v>357</v>
      </c>
      <c r="D169" s="13">
        <v>1</v>
      </c>
      <c r="E169" s="13" t="s">
        <v>397</v>
      </c>
      <c r="F169" s="13">
        <v>1</v>
      </c>
      <c r="G169" s="22">
        <v>0</v>
      </c>
      <c r="H169" s="13">
        <v>1</v>
      </c>
      <c r="I169" s="4">
        <v>5</v>
      </c>
      <c r="J169" s="4">
        <v>46</v>
      </c>
      <c r="K169" s="4" t="s">
        <v>124</v>
      </c>
      <c r="L169" s="4" t="s">
        <v>13</v>
      </c>
      <c r="M169" s="4">
        <v>2025</v>
      </c>
      <c r="N169" s="4">
        <v>1</v>
      </c>
      <c r="O169" s="4">
        <v>1</v>
      </c>
      <c r="P169" s="4"/>
    </row>
    <row r="170" spans="1:16">
      <c r="A170" s="4" t="s">
        <v>347</v>
      </c>
      <c r="B170" s="4" t="s">
        <v>358</v>
      </c>
      <c r="C170" s="14" t="s">
        <v>359</v>
      </c>
      <c r="D170" s="13">
        <v>1</v>
      </c>
      <c r="E170" s="13" t="s">
        <v>399</v>
      </c>
      <c r="F170" s="13">
        <v>1</v>
      </c>
      <c r="G170" s="22">
        <v>0</v>
      </c>
      <c r="H170" s="13">
        <v>1</v>
      </c>
      <c r="I170" s="4">
        <v>6</v>
      </c>
      <c r="J170" s="4">
        <v>46</v>
      </c>
      <c r="K170" s="4" t="s">
        <v>124</v>
      </c>
      <c r="L170" s="4" t="s">
        <v>13</v>
      </c>
      <c r="M170" s="4">
        <v>2025</v>
      </c>
      <c r="N170" s="4">
        <v>1</v>
      </c>
      <c r="O170" s="4">
        <v>1</v>
      </c>
      <c r="P170" s="4"/>
    </row>
    <row r="171" spans="1:16">
      <c r="A171" s="4" t="s">
        <v>347</v>
      </c>
      <c r="B171" s="4" t="s">
        <v>360</v>
      </c>
      <c r="C171" s="14" t="s">
        <v>361</v>
      </c>
      <c r="D171" s="13">
        <v>1</v>
      </c>
      <c r="E171" s="13" t="s">
        <v>399</v>
      </c>
      <c r="F171" s="13">
        <v>1</v>
      </c>
      <c r="G171" s="22">
        <v>0</v>
      </c>
      <c r="H171" s="13">
        <v>1</v>
      </c>
      <c r="I171" s="4">
        <v>7</v>
      </c>
      <c r="J171" s="4">
        <v>46</v>
      </c>
      <c r="K171" s="4" t="s">
        <v>124</v>
      </c>
      <c r="L171" s="4" t="s">
        <v>13</v>
      </c>
      <c r="M171" s="4">
        <v>2025</v>
      </c>
      <c r="N171" s="4">
        <v>1</v>
      </c>
      <c r="O171" s="4">
        <v>1</v>
      </c>
      <c r="P171" s="4"/>
    </row>
    <row r="172" spans="1:16">
      <c r="A172" s="4" t="s">
        <v>347</v>
      </c>
      <c r="B172" s="4" t="s">
        <v>362</v>
      </c>
      <c r="C172" s="9" t="s">
        <v>363</v>
      </c>
      <c r="D172" s="13">
        <v>1</v>
      </c>
      <c r="E172" s="13" t="s">
        <v>397</v>
      </c>
      <c r="F172" s="13">
        <v>1</v>
      </c>
      <c r="G172" s="22">
        <v>0</v>
      </c>
      <c r="H172" s="13">
        <v>1</v>
      </c>
      <c r="I172" s="4">
        <v>16</v>
      </c>
      <c r="J172" s="4">
        <v>46</v>
      </c>
      <c r="K172" s="4" t="s">
        <v>124</v>
      </c>
      <c r="L172" s="4" t="s">
        <v>13</v>
      </c>
      <c r="M172" s="4">
        <v>2025</v>
      </c>
      <c r="N172" s="4">
        <v>1</v>
      </c>
      <c r="O172" s="4">
        <v>1</v>
      </c>
      <c r="P172" s="4"/>
    </row>
    <row r="173" spans="1:16">
      <c r="A173" s="4" t="s">
        <v>347</v>
      </c>
      <c r="B173" s="4" t="s">
        <v>364</v>
      </c>
      <c r="C173" s="9" t="s">
        <v>365</v>
      </c>
      <c r="D173" s="13">
        <v>1</v>
      </c>
      <c r="E173" s="13" t="s">
        <v>397</v>
      </c>
      <c r="F173" s="13">
        <v>1</v>
      </c>
      <c r="G173" s="22">
        <v>0</v>
      </c>
      <c r="H173" s="13">
        <v>1</v>
      </c>
      <c r="I173" s="4">
        <v>18</v>
      </c>
      <c r="J173" s="4">
        <v>46</v>
      </c>
      <c r="K173" s="4" t="s">
        <v>124</v>
      </c>
      <c r="L173" s="4" t="s">
        <v>13</v>
      </c>
      <c r="M173" s="4">
        <v>2025</v>
      </c>
      <c r="N173" s="4">
        <v>1</v>
      </c>
      <c r="O173" s="4">
        <v>1</v>
      </c>
      <c r="P173" s="4"/>
    </row>
    <row r="174" spans="1:16">
      <c r="A174" s="4" t="s">
        <v>347</v>
      </c>
      <c r="B174" s="4" t="s">
        <v>366</v>
      </c>
      <c r="C174" s="9" t="s">
        <v>367</v>
      </c>
      <c r="D174" s="13">
        <v>1</v>
      </c>
      <c r="E174" s="13" t="s">
        <v>399</v>
      </c>
      <c r="F174" s="13">
        <v>1</v>
      </c>
      <c r="G174" s="22">
        <v>0</v>
      </c>
      <c r="H174" s="20">
        <v>2</v>
      </c>
      <c r="I174" s="4">
        <v>23</v>
      </c>
      <c r="J174" s="4">
        <v>46</v>
      </c>
      <c r="K174" s="4" t="s">
        <v>124</v>
      </c>
      <c r="L174" s="4" t="s">
        <v>13</v>
      </c>
      <c r="M174" s="4">
        <v>2025</v>
      </c>
      <c r="N174" s="4">
        <v>1</v>
      </c>
      <c r="O174" s="4">
        <v>1</v>
      </c>
      <c r="P174" s="4"/>
    </row>
    <row r="175" spans="1:16">
      <c r="A175" s="4" t="s">
        <v>347</v>
      </c>
      <c r="B175" s="4" t="s">
        <v>368</v>
      </c>
      <c r="C175" s="9" t="s">
        <v>369</v>
      </c>
      <c r="D175" s="13">
        <v>1</v>
      </c>
      <c r="E175" s="13" t="s">
        <v>399</v>
      </c>
      <c r="F175" s="13">
        <v>1</v>
      </c>
      <c r="G175" s="22">
        <v>1</v>
      </c>
      <c r="H175" s="13">
        <v>1</v>
      </c>
      <c r="I175" s="4">
        <v>26</v>
      </c>
      <c r="J175" s="4">
        <v>46</v>
      </c>
      <c r="K175" s="4" t="s">
        <v>124</v>
      </c>
      <c r="L175" s="4" t="s">
        <v>13</v>
      </c>
      <c r="M175" s="4">
        <v>2025</v>
      </c>
      <c r="N175" s="4">
        <v>1</v>
      </c>
      <c r="O175" s="4">
        <v>1</v>
      </c>
      <c r="P175" s="4"/>
    </row>
    <row r="176" spans="1:16">
      <c r="A176" s="4" t="s">
        <v>347</v>
      </c>
      <c r="B176" s="4" t="s">
        <v>370</v>
      </c>
      <c r="C176" s="9" t="s">
        <v>371</v>
      </c>
      <c r="D176" s="13">
        <v>1</v>
      </c>
      <c r="E176" s="13" t="s">
        <v>399</v>
      </c>
      <c r="F176" s="13">
        <v>1</v>
      </c>
      <c r="G176" s="22">
        <v>0</v>
      </c>
      <c r="H176" s="20">
        <v>2</v>
      </c>
      <c r="I176" s="4">
        <v>28</v>
      </c>
      <c r="J176" s="4">
        <v>46</v>
      </c>
      <c r="K176" s="4" t="s">
        <v>124</v>
      </c>
      <c r="L176" s="4" t="s">
        <v>13</v>
      </c>
      <c r="M176" s="4">
        <v>2025</v>
      </c>
      <c r="N176" s="4">
        <v>1</v>
      </c>
      <c r="O176" s="4">
        <v>1</v>
      </c>
      <c r="P176" s="4"/>
    </row>
    <row r="177" spans="1:16">
      <c r="A177" s="4" t="s">
        <v>347</v>
      </c>
      <c r="B177" s="4" t="s">
        <v>372</v>
      </c>
      <c r="C177" s="9" t="s">
        <v>373</v>
      </c>
      <c r="D177" s="13">
        <v>1</v>
      </c>
      <c r="E177" s="13" t="s">
        <v>399</v>
      </c>
      <c r="F177" s="13">
        <v>1</v>
      </c>
      <c r="G177" s="22">
        <v>0</v>
      </c>
      <c r="H177" s="13">
        <v>1</v>
      </c>
      <c r="I177" s="4">
        <v>30</v>
      </c>
      <c r="J177" s="4">
        <v>46</v>
      </c>
      <c r="K177" s="4" t="s">
        <v>124</v>
      </c>
      <c r="L177" s="4" t="s">
        <v>13</v>
      </c>
      <c r="M177" s="4">
        <v>2025</v>
      </c>
      <c r="N177" s="4">
        <v>1</v>
      </c>
      <c r="O177" s="4">
        <v>1</v>
      </c>
      <c r="P177" s="4"/>
    </row>
    <row r="178" spans="1:16">
      <c r="A178" s="4" t="s">
        <v>347</v>
      </c>
      <c r="B178" s="4" t="s">
        <v>374</v>
      </c>
      <c r="C178" s="9" t="s">
        <v>375</v>
      </c>
      <c r="D178" s="13">
        <v>1</v>
      </c>
      <c r="E178" s="13" t="s">
        <v>397</v>
      </c>
      <c r="F178" s="13">
        <v>1</v>
      </c>
      <c r="G178" s="22">
        <v>0</v>
      </c>
      <c r="H178" s="13">
        <v>1</v>
      </c>
      <c r="I178" s="4">
        <v>35</v>
      </c>
      <c r="J178" s="4">
        <v>46</v>
      </c>
      <c r="K178" s="4" t="s">
        <v>124</v>
      </c>
      <c r="L178" s="4" t="s">
        <v>13</v>
      </c>
      <c r="M178" s="4">
        <v>2025</v>
      </c>
      <c r="N178" s="4">
        <v>1</v>
      </c>
      <c r="O178" s="4">
        <v>1</v>
      </c>
      <c r="P178" s="4"/>
    </row>
    <row r="179" spans="1:16">
      <c r="A179" s="4" t="s">
        <v>347</v>
      </c>
      <c r="B179" s="4" t="s">
        <v>376</v>
      </c>
      <c r="C179" s="9" t="s">
        <v>377</v>
      </c>
      <c r="D179" s="13">
        <v>1</v>
      </c>
      <c r="E179" s="13" t="s">
        <v>399</v>
      </c>
      <c r="F179" s="13">
        <v>1</v>
      </c>
      <c r="G179" s="22">
        <v>0</v>
      </c>
      <c r="H179" s="13">
        <v>1</v>
      </c>
      <c r="I179" s="4">
        <v>36</v>
      </c>
      <c r="J179" s="4">
        <v>46</v>
      </c>
      <c r="K179" s="4" t="s">
        <v>124</v>
      </c>
      <c r="L179" s="4" t="s">
        <v>13</v>
      </c>
      <c r="M179" s="4">
        <v>2025</v>
      </c>
      <c r="N179" s="4">
        <v>1</v>
      </c>
      <c r="O179" s="4">
        <v>1</v>
      </c>
      <c r="P179" s="4"/>
    </row>
    <row r="180" spans="1:16">
      <c r="A180" s="4" t="s">
        <v>347</v>
      </c>
      <c r="B180" s="4" t="s">
        <v>378</v>
      </c>
      <c r="C180" s="9" t="s">
        <v>379</v>
      </c>
      <c r="D180" s="13">
        <v>1</v>
      </c>
      <c r="E180" s="13" t="s">
        <v>399</v>
      </c>
      <c r="F180" s="13">
        <v>1</v>
      </c>
      <c r="G180" s="22">
        <v>0</v>
      </c>
      <c r="H180" s="13">
        <v>1</v>
      </c>
      <c r="I180" s="4">
        <v>37</v>
      </c>
      <c r="J180" s="4">
        <v>46</v>
      </c>
      <c r="K180" s="4" t="s">
        <v>124</v>
      </c>
      <c r="L180" s="4" t="s">
        <v>13</v>
      </c>
      <c r="M180" s="4">
        <v>2025</v>
      </c>
      <c r="N180" s="4">
        <v>1</v>
      </c>
      <c r="O180" s="4">
        <v>1</v>
      </c>
      <c r="P180" s="4"/>
    </row>
    <row r="181" spans="1:16">
      <c r="A181" s="4" t="s">
        <v>347</v>
      </c>
      <c r="B181" s="4" t="s">
        <v>380</v>
      </c>
      <c r="C181" s="9" t="s">
        <v>381</v>
      </c>
      <c r="D181" s="13">
        <v>1</v>
      </c>
      <c r="E181" s="13" t="s">
        <v>397</v>
      </c>
      <c r="F181" s="13">
        <v>1</v>
      </c>
      <c r="G181" s="22">
        <v>0</v>
      </c>
      <c r="H181" s="13">
        <v>1</v>
      </c>
      <c r="I181" s="4">
        <v>38</v>
      </c>
      <c r="J181" s="4">
        <v>46</v>
      </c>
      <c r="K181" s="4" t="s">
        <v>124</v>
      </c>
      <c r="L181" s="4" t="s">
        <v>13</v>
      </c>
      <c r="M181" s="4">
        <v>2025</v>
      </c>
      <c r="N181" s="4">
        <v>1</v>
      </c>
      <c r="O181" s="4">
        <v>1</v>
      </c>
      <c r="P181" s="4"/>
    </row>
    <row r="182" spans="1:16" ht="30" customHeight="1">
      <c r="A182" s="4" t="s">
        <v>347</v>
      </c>
      <c r="B182" s="4" t="s">
        <v>385</v>
      </c>
      <c r="C182" s="9" t="s">
        <v>382</v>
      </c>
      <c r="D182" s="13">
        <v>1</v>
      </c>
      <c r="E182" s="13" t="s">
        <v>397</v>
      </c>
      <c r="F182" s="13">
        <v>1</v>
      </c>
      <c r="G182" s="22">
        <v>1</v>
      </c>
      <c r="H182" s="20">
        <v>1</v>
      </c>
      <c r="I182" s="4">
        <v>43</v>
      </c>
      <c r="J182" s="4">
        <v>46</v>
      </c>
      <c r="K182" s="4" t="s">
        <v>124</v>
      </c>
      <c r="L182" s="4" t="s">
        <v>13</v>
      </c>
      <c r="M182" s="4">
        <v>2025</v>
      </c>
      <c r="N182" s="4">
        <v>1</v>
      </c>
      <c r="O182" s="4">
        <v>1</v>
      </c>
      <c r="P182" s="4"/>
    </row>
    <row r="183" spans="1:16">
      <c r="A183" s="4" t="s">
        <v>347</v>
      </c>
      <c r="B183" s="4" t="s">
        <v>388</v>
      </c>
      <c r="C183" s="9" t="s">
        <v>383</v>
      </c>
      <c r="D183" s="13">
        <v>0</v>
      </c>
      <c r="F183" s="13">
        <v>1</v>
      </c>
      <c r="G183" s="22">
        <v>0</v>
      </c>
      <c r="H183" s="13">
        <v>1</v>
      </c>
      <c r="I183" s="4">
        <v>44</v>
      </c>
      <c r="J183" s="4">
        <v>46</v>
      </c>
      <c r="K183" s="4" t="s">
        <v>124</v>
      </c>
      <c r="L183" s="4" t="s">
        <v>13</v>
      </c>
      <c r="M183" s="4">
        <v>2025</v>
      </c>
      <c r="N183" s="4">
        <v>1</v>
      </c>
      <c r="O183" s="4">
        <v>1</v>
      </c>
      <c r="P183" s="4"/>
    </row>
    <row r="184" spans="1:16">
      <c r="A184" s="4" t="s">
        <v>347</v>
      </c>
      <c r="B184" s="4" t="s">
        <v>389</v>
      </c>
      <c r="C184" s="9" t="s">
        <v>384</v>
      </c>
      <c r="D184" s="13">
        <v>0</v>
      </c>
      <c r="F184" s="13">
        <v>1</v>
      </c>
      <c r="G184" s="22">
        <v>0</v>
      </c>
      <c r="H184" s="13">
        <v>1</v>
      </c>
      <c r="I184" s="4">
        <v>45</v>
      </c>
      <c r="J184" s="4">
        <v>46</v>
      </c>
      <c r="K184" s="4" t="s">
        <v>124</v>
      </c>
      <c r="L184" s="4" t="s">
        <v>13</v>
      </c>
      <c r="M184" s="4">
        <v>2025</v>
      </c>
      <c r="N184" s="4">
        <v>1</v>
      </c>
      <c r="O184" s="4">
        <v>1</v>
      </c>
      <c r="P184" s="4"/>
    </row>
    <row r="185" spans="1:16">
      <c r="A185" s="4" t="s">
        <v>347</v>
      </c>
      <c r="B185" s="4" t="s">
        <v>390</v>
      </c>
      <c r="C185" s="9" t="s">
        <v>386</v>
      </c>
      <c r="D185" s="13">
        <v>0</v>
      </c>
      <c r="F185" s="13">
        <v>1</v>
      </c>
      <c r="G185" s="22">
        <v>0</v>
      </c>
      <c r="H185" s="13">
        <v>1</v>
      </c>
      <c r="I185" s="4">
        <v>46</v>
      </c>
      <c r="J185" s="4">
        <v>46</v>
      </c>
      <c r="K185" s="4" t="s">
        <v>124</v>
      </c>
      <c r="L185" s="4" t="s">
        <v>13</v>
      </c>
      <c r="M185" s="4">
        <v>2025</v>
      </c>
      <c r="N185" s="4">
        <v>1</v>
      </c>
      <c r="O185" s="4">
        <v>1</v>
      </c>
      <c r="P185" s="4"/>
    </row>
    <row r="186" spans="1:16">
      <c r="A186" s="4" t="s">
        <v>414</v>
      </c>
      <c r="B186" s="4" t="s">
        <v>416</v>
      </c>
      <c r="C186" s="9" t="s">
        <v>417</v>
      </c>
      <c r="D186" s="13">
        <v>0</v>
      </c>
      <c r="F186" s="13">
        <v>1</v>
      </c>
      <c r="G186" s="23">
        <v>0</v>
      </c>
      <c r="H186" s="13">
        <v>1</v>
      </c>
      <c r="I186" s="4">
        <v>5</v>
      </c>
      <c r="J186" s="4">
        <v>11</v>
      </c>
      <c r="K186" s="4" t="s">
        <v>415</v>
      </c>
      <c r="L186" s="4" t="s">
        <v>13</v>
      </c>
      <c r="M186" s="4">
        <v>2019</v>
      </c>
      <c r="N186" s="4">
        <v>1</v>
      </c>
      <c r="O186" s="4">
        <v>1</v>
      </c>
    </row>
    <row r="187" spans="1:16">
      <c r="A187" s="4" t="s">
        <v>414</v>
      </c>
      <c r="B187" s="4" t="s">
        <v>418</v>
      </c>
      <c r="C187" s="9" t="s">
        <v>419</v>
      </c>
      <c r="D187" s="13">
        <v>0</v>
      </c>
      <c r="F187" s="13">
        <v>1</v>
      </c>
      <c r="G187" s="23">
        <v>0</v>
      </c>
      <c r="I187" s="4">
        <v>6</v>
      </c>
      <c r="J187" s="4">
        <v>11</v>
      </c>
      <c r="K187" s="4" t="s">
        <v>415</v>
      </c>
      <c r="L187" s="4" t="s">
        <v>13</v>
      </c>
      <c r="M187" s="4">
        <v>2019</v>
      </c>
      <c r="N187" s="4">
        <v>1</v>
      </c>
      <c r="O187" s="4">
        <v>1</v>
      </c>
    </row>
    <row r="188" spans="1:16" ht="17" customHeight="1">
      <c r="A188" s="4" t="s">
        <v>414</v>
      </c>
      <c r="B188" s="4" t="s">
        <v>472</v>
      </c>
      <c r="C188" s="9" t="s">
        <v>475</v>
      </c>
      <c r="F188" s="13">
        <v>1</v>
      </c>
      <c r="G188" s="23">
        <v>1</v>
      </c>
      <c r="I188" s="4">
        <v>8</v>
      </c>
      <c r="J188" s="4">
        <v>11</v>
      </c>
      <c r="K188" s="4" t="s">
        <v>415</v>
      </c>
      <c r="L188" s="4" t="s">
        <v>13</v>
      </c>
      <c r="M188" s="4">
        <v>2019</v>
      </c>
      <c r="N188" s="4">
        <v>1</v>
      </c>
      <c r="O188" s="4">
        <v>1</v>
      </c>
    </row>
    <row r="189" spans="1:16" ht="17" customHeight="1">
      <c r="A189" s="4" t="s">
        <v>414</v>
      </c>
      <c r="B189" s="4" t="s">
        <v>473</v>
      </c>
      <c r="C189" s="9" t="s">
        <v>474</v>
      </c>
      <c r="F189" s="13">
        <v>1</v>
      </c>
      <c r="G189" s="23">
        <v>1</v>
      </c>
      <c r="I189" s="4">
        <v>9</v>
      </c>
      <c r="J189" s="4">
        <v>11</v>
      </c>
      <c r="K189" s="4" t="s">
        <v>415</v>
      </c>
      <c r="L189" s="4" t="s">
        <v>13</v>
      </c>
      <c r="M189" s="4">
        <v>2019</v>
      </c>
      <c r="N189" s="4">
        <v>1</v>
      </c>
      <c r="O189" s="4">
        <v>1</v>
      </c>
    </row>
    <row r="190" spans="1:16">
      <c r="A190" s="4" t="s">
        <v>414</v>
      </c>
      <c r="B190" s="4" t="s">
        <v>476</v>
      </c>
      <c r="C190" s="9" t="s">
        <v>477</v>
      </c>
      <c r="F190" s="13">
        <v>1</v>
      </c>
      <c r="G190" s="23">
        <v>0</v>
      </c>
      <c r="I190" s="4">
        <v>10</v>
      </c>
      <c r="J190" s="4">
        <v>11</v>
      </c>
      <c r="K190" s="4" t="s">
        <v>415</v>
      </c>
      <c r="L190" s="4" t="s">
        <v>13</v>
      </c>
      <c r="M190" s="4">
        <v>2019</v>
      </c>
      <c r="N190" s="4">
        <v>1</v>
      </c>
      <c r="O190" s="4">
        <v>1</v>
      </c>
    </row>
    <row r="191" spans="1:16">
      <c r="A191" s="4" t="s">
        <v>420</v>
      </c>
      <c r="B191" s="4" t="s">
        <v>421</v>
      </c>
      <c r="C191" s="9" t="s">
        <v>422</v>
      </c>
      <c r="D191" s="13">
        <v>0</v>
      </c>
      <c r="F191" s="13">
        <v>1</v>
      </c>
      <c r="G191" s="23">
        <v>1</v>
      </c>
      <c r="I191" s="4">
        <v>1</v>
      </c>
      <c r="J191" s="4">
        <v>15</v>
      </c>
      <c r="K191" s="4" t="s">
        <v>415</v>
      </c>
      <c r="L191" s="4" t="s">
        <v>13</v>
      </c>
      <c r="M191" s="4">
        <v>2025</v>
      </c>
      <c r="N191" s="4">
        <v>1</v>
      </c>
      <c r="O191" s="4">
        <v>1</v>
      </c>
    </row>
    <row r="192" spans="1:16">
      <c r="A192" s="4" t="s">
        <v>420</v>
      </c>
      <c r="B192" s="4" t="s">
        <v>423</v>
      </c>
      <c r="C192" s="9" t="s">
        <v>424</v>
      </c>
      <c r="D192" s="13">
        <v>0</v>
      </c>
      <c r="F192" s="13">
        <v>1</v>
      </c>
      <c r="G192" s="23">
        <v>0</v>
      </c>
      <c r="I192" s="4">
        <v>2</v>
      </c>
      <c r="J192" s="4">
        <v>15</v>
      </c>
      <c r="K192" s="4" t="s">
        <v>415</v>
      </c>
      <c r="L192" s="4" t="s">
        <v>13</v>
      </c>
      <c r="M192" s="4">
        <v>2025</v>
      </c>
      <c r="N192" s="4">
        <v>1</v>
      </c>
      <c r="O192" s="4">
        <v>1</v>
      </c>
    </row>
    <row r="193" spans="1:15">
      <c r="A193" s="4" t="s">
        <v>420</v>
      </c>
      <c r="B193" s="4" t="s">
        <v>425</v>
      </c>
      <c r="C193" s="9" t="s">
        <v>426</v>
      </c>
      <c r="D193" s="13">
        <v>1</v>
      </c>
      <c r="E193" s="13" t="s">
        <v>399</v>
      </c>
      <c r="F193" s="13">
        <v>1</v>
      </c>
      <c r="G193" s="23">
        <v>1</v>
      </c>
      <c r="I193" s="4">
        <v>4</v>
      </c>
      <c r="J193" s="4">
        <v>15</v>
      </c>
      <c r="K193" s="4" t="s">
        <v>415</v>
      </c>
      <c r="L193" s="4" t="s">
        <v>13</v>
      </c>
      <c r="M193" s="4">
        <v>2025</v>
      </c>
      <c r="N193" s="4">
        <v>1</v>
      </c>
      <c r="O193" s="4">
        <v>1</v>
      </c>
    </row>
    <row r="194" spans="1:15">
      <c r="A194" s="4" t="s">
        <v>420</v>
      </c>
      <c r="B194" s="4" t="s">
        <v>427</v>
      </c>
      <c r="C194" s="9" t="s">
        <v>428</v>
      </c>
      <c r="D194" s="13">
        <v>1</v>
      </c>
      <c r="E194" s="13" t="s">
        <v>395</v>
      </c>
      <c r="F194" s="13">
        <v>1</v>
      </c>
      <c r="G194" s="23">
        <v>1</v>
      </c>
      <c r="I194" s="4">
        <v>5</v>
      </c>
      <c r="J194" s="4">
        <v>15</v>
      </c>
      <c r="K194" s="4" t="s">
        <v>415</v>
      </c>
      <c r="L194" s="4" t="s">
        <v>13</v>
      </c>
      <c r="M194" s="4">
        <v>2025</v>
      </c>
      <c r="N194" s="4">
        <v>1</v>
      </c>
      <c r="O194" s="4">
        <v>1</v>
      </c>
    </row>
    <row r="195" spans="1:15">
      <c r="A195" s="4" t="s">
        <v>420</v>
      </c>
      <c r="B195" s="4" t="s">
        <v>429</v>
      </c>
      <c r="C195" s="9" t="s">
        <v>430</v>
      </c>
      <c r="D195" s="13">
        <v>1</v>
      </c>
      <c r="E195" s="13" t="s">
        <v>399</v>
      </c>
      <c r="F195" s="13">
        <v>1</v>
      </c>
      <c r="G195" s="23">
        <v>1</v>
      </c>
      <c r="I195" s="4">
        <v>6</v>
      </c>
      <c r="J195" s="4">
        <v>15</v>
      </c>
      <c r="K195" s="4" t="s">
        <v>415</v>
      </c>
      <c r="L195" s="4" t="s">
        <v>13</v>
      </c>
      <c r="M195" s="4">
        <v>2025</v>
      </c>
      <c r="N195" s="4">
        <v>1</v>
      </c>
      <c r="O195" s="4">
        <v>1</v>
      </c>
    </row>
    <row r="196" spans="1:15">
      <c r="A196" s="4" t="s">
        <v>420</v>
      </c>
      <c r="B196" s="4" t="s">
        <v>431</v>
      </c>
      <c r="C196" s="9" t="s">
        <v>432</v>
      </c>
      <c r="D196" s="13">
        <v>1</v>
      </c>
      <c r="E196" s="13" t="s">
        <v>395</v>
      </c>
      <c r="F196" s="13">
        <v>1</v>
      </c>
      <c r="G196" s="23">
        <v>1</v>
      </c>
      <c r="I196" s="4">
        <v>7</v>
      </c>
      <c r="J196" s="4">
        <v>15</v>
      </c>
      <c r="K196" s="4" t="s">
        <v>415</v>
      </c>
      <c r="L196" s="4" t="s">
        <v>13</v>
      </c>
      <c r="M196" s="4">
        <v>2025</v>
      </c>
      <c r="N196" s="4">
        <v>1</v>
      </c>
      <c r="O196" s="4">
        <v>1</v>
      </c>
    </row>
    <row r="197" spans="1:15">
      <c r="A197" s="4" t="s">
        <v>420</v>
      </c>
      <c r="B197" s="4" t="s">
        <v>433</v>
      </c>
      <c r="C197" s="9" t="s">
        <v>434</v>
      </c>
      <c r="D197" s="13">
        <v>1</v>
      </c>
      <c r="E197" s="13" t="s">
        <v>395</v>
      </c>
      <c r="F197" s="13">
        <v>1</v>
      </c>
      <c r="G197" s="23">
        <v>1</v>
      </c>
      <c r="I197" s="4">
        <v>8</v>
      </c>
      <c r="J197" s="4">
        <v>15</v>
      </c>
      <c r="K197" s="4" t="s">
        <v>415</v>
      </c>
      <c r="L197" s="4" t="s">
        <v>13</v>
      </c>
      <c r="M197" s="4">
        <v>2025</v>
      </c>
      <c r="N197" s="4">
        <v>1</v>
      </c>
      <c r="O197" s="4">
        <v>1</v>
      </c>
    </row>
    <row r="198" spans="1:15">
      <c r="A198" s="4" t="s">
        <v>420</v>
      </c>
      <c r="B198" s="4" t="s">
        <v>435</v>
      </c>
      <c r="C198" s="9" t="s">
        <v>436</v>
      </c>
      <c r="D198" s="13">
        <v>1</v>
      </c>
      <c r="E198" s="13" t="s">
        <v>395</v>
      </c>
      <c r="F198" s="13">
        <v>1</v>
      </c>
      <c r="G198" s="23">
        <v>1</v>
      </c>
      <c r="I198" s="4">
        <v>9</v>
      </c>
      <c r="J198" s="4">
        <v>15</v>
      </c>
      <c r="K198" s="4" t="s">
        <v>415</v>
      </c>
      <c r="L198" s="4" t="s">
        <v>13</v>
      </c>
      <c r="M198" s="4">
        <v>2025</v>
      </c>
      <c r="N198" s="4">
        <v>1</v>
      </c>
      <c r="O198" s="4">
        <v>1</v>
      </c>
    </row>
    <row r="199" spans="1:15">
      <c r="A199" s="4" t="s">
        <v>420</v>
      </c>
      <c r="B199" s="4" t="s">
        <v>437</v>
      </c>
      <c r="C199" s="9" t="s">
        <v>438</v>
      </c>
      <c r="D199" s="13">
        <v>1</v>
      </c>
      <c r="E199" s="13" t="s">
        <v>399</v>
      </c>
      <c r="F199" s="13">
        <v>1</v>
      </c>
      <c r="G199" s="23">
        <v>1</v>
      </c>
      <c r="I199" s="4">
        <v>10</v>
      </c>
      <c r="J199" s="4">
        <v>15</v>
      </c>
      <c r="K199" s="4" t="s">
        <v>415</v>
      </c>
      <c r="L199" s="4" t="s">
        <v>13</v>
      </c>
      <c r="M199" s="4">
        <v>2025</v>
      </c>
      <c r="N199" s="4">
        <v>1</v>
      </c>
      <c r="O199" s="4">
        <v>1</v>
      </c>
    </row>
    <row r="200" spans="1:15">
      <c r="A200" s="4" t="s">
        <v>420</v>
      </c>
      <c r="B200" s="4" t="s">
        <v>439</v>
      </c>
      <c r="C200" s="9" t="s">
        <v>440</v>
      </c>
      <c r="D200" s="13">
        <v>1</v>
      </c>
      <c r="E200" s="13" t="s">
        <v>395</v>
      </c>
      <c r="F200" s="13">
        <v>1</v>
      </c>
      <c r="G200" s="23">
        <v>1</v>
      </c>
      <c r="I200" s="4">
        <v>11</v>
      </c>
      <c r="J200" s="4">
        <v>15</v>
      </c>
      <c r="K200" s="4" t="s">
        <v>415</v>
      </c>
      <c r="L200" s="4" t="s">
        <v>13</v>
      </c>
      <c r="M200" s="4">
        <v>2025</v>
      </c>
      <c r="N200" s="4">
        <v>1</v>
      </c>
      <c r="O200" s="4">
        <v>1</v>
      </c>
    </row>
    <row r="201" spans="1:15">
      <c r="A201" s="4" t="s">
        <v>420</v>
      </c>
      <c r="B201" s="4" t="s">
        <v>441</v>
      </c>
      <c r="C201" s="9" t="s">
        <v>442</v>
      </c>
      <c r="D201" s="13">
        <v>1</v>
      </c>
      <c r="E201" s="13" t="s">
        <v>443</v>
      </c>
      <c r="F201" s="13">
        <v>1</v>
      </c>
      <c r="G201" s="23">
        <v>1</v>
      </c>
      <c r="I201" s="4">
        <v>12</v>
      </c>
      <c r="J201" s="4">
        <v>15</v>
      </c>
      <c r="K201" s="4" t="s">
        <v>415</v>
      </c>
      <c r="L201" s="4" t="s">
        <v>13</v>
      </c>
      <c r="M201" s="4">
        <v>2025</v>
      </c>
      <c r="N201" s="4">
        <v>1</v>
      </c>
      <c r="O201" s="4">
        <v>1</v>
      </c>
    </row>
    <row r="202" spans="1:15">
      <c r="A202" s="4" t="s">
        <v>420</v>
      </c>
      <c r="B202" s="4" t="s">
        <v>444</v>
      </c>
      <c r="C202" s="9" t="s">
        <v>445</v>
      </c>
      <c r="D202" s="13">
        <v>1</v>
      </c>
      <c r="E202" s="13" t="s">
        <v>395</v>
      </c>
      <c r="F202" s="13">
        <v>1</v>
      </c>
      <c r="G202" s="23">
        <v>1</v>
      </c>
      <c r="I202" s="4">
        <v>13</v>
      </c>
      <c r="J202" s="4">
        <v>15</v>
      </c>
      <c r="K202" s="4" t="s">
        <v>415</v>
      </c>
      <c r="L202" s="4" t="s">
        <v>13</v>
      </c>
      <c r="M202" s="4">
        <v>2025</v>
      </c>
      <c r="N202" s="4">
        <v>1</v>
      </c>
      <c r="O202" s="4">
        <v>1</v>
      </c>
    </row>
    <row r="203" spans="1:15">
      <c r="A203" s="4" t="s">
        <v>420</v>
      </c>
      <c r="B203" s="4" t="s">
        <v>446</v>
      </c>
      <c r="C203" s="9" t="s">
        <v>447</v>
      </c>
      <c r="D203" s="13">
        <v>1</v>
      </c>
      <c r="E203" s="13" t="s">
        <v>399</v>
      </c>
      <c r="F203" s="13">
        <v>1</v>
      </c>
      <c r="G203" s="23">
        <v>1</v>
      </c>
      <c r="I203" s="4">
        <v>14</v>
      </c>
      <c r="J203" s="4">
        <v>15</v>
      </c>
      <c r="K203" s="4" t="s">
        <v>415</v>
      </c>
      <c r="L203" s="4" t="s">
        <v>13</v>
      </c>
      <c r="M203" s="4">
        <v>2025</v>
      </c>
      <c r="N203" s="4">
        <v>1</v>
      </c>
      <c r="O203" s="4">
        <v>1</v>
      </c>
    </row>
    <row r="204" spans="1:15">
      <c r="A204" s="4" t="s">
        <v>420</v>
      </c>
      <c r="B204" s="4" t="s">
        <v>448</v>
      </c>
      <c r="C204" s="9" t="s">
        <v>449</v>
      </c>
      <c r="D204" s="13">
        <v>1</v>
      </c>
      <c r="E204" s="13" t="s">
        <v>395</v>
      </c>
      <c r="F204" s="13">
        <v>1</v>
      </c>
      <c r="G204" s="23">
        <v>1</v>
      </c>
      <c r="I204" s="4">
        <v>15</v>
      </c>
      <c r="J204" s="4">
        <v>15</v>
      </c>
      <c r="K204" s="4" t="s">
        <v>415</v>
      </c>
      <c r="L204" s="4" t="s">
        <v>13</v>
      </c>
      <c r="M204" s="4">
        <v>2025</v>
      </c>
      <c r="N204" s="4">
        <v>1</v>
      </c>
      <c r="O204" s="4">
        <v>1</v>
      </c>
    </row>
    <row r="205" spans="1:15">
      <c r="A205" s="4" t="s">
        <v>450</v>
      </c>
      <c r="B205" s="4" t="s">
        <v>452</v>
      </c>
      <c r="C205" s="9" t="s">
        <v>453</v>
      </c>
      <c r="D205" s="13">
        <v>0</v>
      </c>
      <c r="F205" s="13">
        <v>1</v>
      </c>
      <c r="G205" s="23">
        <v>1</v>
      </c>
      <c r="I205" s="4">
        <v>2</v>
      </c>
      <c r="J205" s="4">
        <v>7</v>
      </c>
      <c r="K205" s="4" t="s">
        <v>451</v>
      </c>
      <c r="L205" s="4" t="s">
        <v>13</v>
      </c>
      <c r="M205" s="4">
        <v>2019</v>
      </c>
      <c r="N205" s="4">
        <v>1</v>
      </c>
      <c r="O205" s="4">
        <v>1</v>
      </c>
    </row>
    <row r="206" spans="1:15">
      <c r="A206" s="4" t="s">
        <v>450</v>
      </c>
      <c r="B206" s="4" t="s">
        <v>454</v>
      </c>
      <c r="C206" s="9" t="s">
        <v>455</v>
      </c>
      <c r="D206" s="13">
        <v>1</v>
      </c>
      <c r="E206" s="13" t="s">
        <v>397</v>
      </c>
      <c r="F206" s="13">
        <v>1</v>
      </c>
      <c r="G206" s="23">
        <v>1</v>
      </c>
      <c r="I206" s="4">
        <v>5</v>
      </c>
      <c r="J206" s="4">
        <v>7</v>
      </c>
      <c r="K206" s="4" t="s">
        <v>451</v>
      </c>
      <c r="L206" s="4" t="s">
        <v>13</v>
      </c>
      <c r="M206" s="4">
        <v>2019</v>
      </c>
      <c r="N206" s="4">
        <v>1</v>
      </c>
      <c r="O206" s="4">
        <v>1</v>
      </c>
    </row>
    <row r="207" spans="1:15">
      <c r="A207" s="4" t="s">
        <v>450</v>
      </c>
      <c r="B207" s="4" t="s">
        <v>456</v>
      </c>
      <c r="C207" s="9" t="s">
        <v>457</v>
      </c>
      <c r="D207" s="13">
        <v>1</v>
      </c>
      <c r="E207" s="13" t="s">
        <v>399</v>
      </c>
      <c r="F207" s="13">
        <v>1</v>
      </c>
      <c r="G207" s="23">
        <v>0</v>
      </c>
      <c r="I207" s="4">
        <v>7</v>
      </c>
      <c r="J207" s="4">
        <v>7</v>
      </c>
      <c r="K207" s="4" t="s">
        <v>451</v>
      </c>
      <c r="L207" s="4" t="s">
        <v>13</v>
      </c>
      <c r="M207" s="4">
        <v>2019</v>
      </c>
      <c r="N207" s="4">
        <v>1</v>
      </c>
      <c r="O207" s="4">
        <v>1</v>
      </c>
    </row>
    <row r="208" spans="1:15">
      <c r="A208" s="4" t="s">
        <v>458</v>
      </c>
      <c r="B208" s="4" t="s">
        <v>459</v>
      </c>
      <c r="C208" s="9" t="s">
        <v>460</v>
      </c>
      <c r="D208" s="13">
        <v>1</v>
      </c>
      <c r="E208" s="13" t="s">
        <v>399</v>
      </c>
      <c r="F208" s="13">
        <v>1</v>
      </c>
      <c r="G208" s="23">
        <v>0</v>
      </c>
      <c r="I208" s="4">
        <v>4</v>
      </c>
      <c r="J208" s="4">
        <v>5</v>
      </c>
      <c r="K208" s="4" t="s">
        <v>451</v>
      </c>
      <c r="L208" s="4" t="s">
        <v>13</v>
      </c>
      <c r="M208" s="4">
        <v>2020</v>
      </c>
      <c r="N208" s="4">
        <v>1</v>
      </c>
      <c r="O208" s="4">
        <v>1</v>
      </c>
    </row>
    <row r="209" spans="1:15">
      <c r="A209" s="4" t="s">
        <v>458</v>
      </c>
      <c r="B209" s="4" t="s">
        <v>461</v>
      </c>
      <c r="C209" s="9" t="s">
        <v>462</v>
      </c>
      <c r="D209" s="13">
        <v>1</v>
      </c>
      <c r="E209" s="13" t="s">
        <v>399</v>
      </c>
      <c r="F209" s="13">
        <v>1</v>
      </c>
      <c r="G209" s="23">
        <v>0</v>
      </c>
      <c r="I209" s="4">
        <v>5</v>
      </c>
      <c r="J209" s="4">
        <v>5</v>
      </c>
      <c r="K209" s="4" t="s">
        <v>451</v>
      </c>
      <c r="L209" s="4" t="s">
        <v>13</v>
      </c>
      <c r="M209" s="4">
        <v>2020</v>
      </c>
      <c r="N209" s="4">
        <v>1</v>
      </c>
      <c r="O209" s="4">
        <v>1</v>
      </c>
    </row>
    <row r="210" spans="1:15">
      <c r="A210" s="4" t="s">
        <v>463</v>
      </c>
      <c r="B210" s="4" t="s">
        <v>464</v>
      </c>
      <c r="C210" s="9" t="s">
        <v>465</v>
      </c>
      <c r="D210" s="13">
        <v>1</v>
      </c>
      <c r="E210" s="13" t="s">
        <v>399</v>
      </c>
      <c r="F210" s="13">
        <v>1</v>
      </c>
      <c r="G210" s="23">
        <v>1</v>
      </c>
      <c r="I210" s="4">
        <v>2</v>
      </c>
      <c r="J210" s="4">
        <v>8</v>
      </c>
      <c r="K210" s="4" t="s">
        <v>451</v>
      </c>
      <c r="L210" s="4" t="s">
        <v>13</v>
      </c>
      <c r="M210" s="4">
        <v>2021</v>
      </c>
      <c r="N210" s="4">
        <v>1</v>
      </c>
      <c r="O210" s="4">
        <v>1</v>
      </c>
    </row>
    <row r="211" spans="1:15">
      <c r="A211" s="4" t="s">
        <v>463</v>
      </c>
      <c r="B211" s="4" t="s">
        <v>466</v>
      </c>
      <c r="C211" s="9" t="s">
        <v>467</v>
      </c>
      <c r="D211" s="13">
        <v>1</v>
      </c>
      <c r="E211" s="13" t="s">
        <v>399</v>
      </c>
      <c r="F211" s="13">
        <v>1</v>
      </c>
      <c r="G211" s="23">
        <v>0</v>
      </c>
      <c r="I211" s="4">
        <v>4</v>
      </c>
      <c r="J211" s="4">
        <v>8</v>
      </c>
      <c r="K211" s="4" t="s">
        <v>451</v>
      </c>
      <c r="L211" s="4" t="s">
        <v>13</v>
      </c>
      <c r="M211" s="4">
        <v>2021</v>
      </c>
      <c r="N211" s="4">
        <v>1</v>
      </c>
      <c r="O211" s="4">
        <v>1</v>
      </c>
    </row>
    <row r="212" spans="1:15">
      <c r="A212" s="4" t="s">
        <v>463</v>
      </c>
      <c r="B212" s="4" t="s">
        <v>468</v>
      </c>
      <c r="C212" s="9" t="s">
        <v>469</v>
      </c>
      <c r="D212" s="13">
        <v>0</v>
      </c>
      <c r="F212" s="13">
        <v>1</v>
      </c>
      <c r="G212" s="23">
        <v>0</v>
      </c>
      <c r="I212" s="4">
        <v>6</v>
      </c>
      <c r="J212" s="4">
        <v>8</v>
      </c>
      <c r="K212" s="4" t="s">
        <v>451</v>
      </c>
      <c r="L212" s="4" t="s">
        <v>13</v>
      </c>
      <c r="M212" s="4">
        <v>2021</v>
      </c>
      <c r="N212" s="4">
        <v>1</v>
      </c>
      <c r="O212" s="4">
        <v>1</v>
      </c>
    </row>
    <row r="213" spans="1:15">
      <c r="A213" s="4" t="s">
        <v>463</v>
      </c>
      <c r="B213" s="4" t="s">
        <v>470</v>
      </c>
      <c r="C213" s="9" t="s">
        <v>471</v>
      </c>
      <c r="D213" s="13">
        <v>1</v>
      </c>
      <c r="E213" s="13" t="s">
        <v>397</v>
      </c>
      <c r="F213" s="13">
        <v>1</v>
      </c>
      <c r="G213" s="23">
        <v>0</v>
      </c>
      <c r="I213" s="4">
        <v>7</v>
      </c>
      <c r="J213" s="4">
        <v>8</v>
      </c>
      <c r="K213" s="4" t="s">
        <v>451</v>
      </c>
      <c r="L213" s="4" t="s">
        <v>13</v>
      </c>
      <c r="M213" s="4">
        <v>2021</v>
      </c>
      <c r="N213" s="4">
        <v>1</v>
      </c>
      <c r="O213" s="4">
        <v>1</v>
      </c>
    </row>
    <row r="214" spans="1:15">
      <c r="A214" s="4" t="s">
        <v>478</v>
      </c>
      <c r="B214" s="4" t="s">
        <v>479</v>
      </c>
      <c r="C214" t="s">
        <v>480</v>
      </c>
      <c r="F214" s="13">
        <v>1</v>
      </c>
      <c r="G214" s="23">
        <v>0</v>
      </c>
      <c r="I214" s="4">
        <v>1</v>
      </c>
      <c r="J214" s="4">
        <v>8</v>
      </c>
      <c r="K214" s="4" t="s">
        <v>451</v>
      </c>
      <c r="L214" s="4" t="s">
        <v>13</v>
      </c>
      <c r="M214" s="4">
        <v>2022</v>
      </c>
      <c r="N214" s="4">
        <v>1</v>
      </c>
      <c r="O214" s="4">
        <v>1</v>
      </c>
    </row>
    <row r="215" spans="1:15">
      <c r="A215" s="4" t="s">
        <v>478</v>
      </c>
      <c r="B215" s="4" t="s">
        <v>481</v>
      </c>
      <c r="C215" s="9" t="s">
        <v>482</v>
      </c>
      <c r="F215" s="13">
        <v>1</v>
      </c>
      <c r="G215" s="23">
        <v>1</v>
      </c>
      <c r="I215" s="4">
        <v>2</v>
      </c>
      <c r="J215" s="4">
        <v>8</v>
      </c>
      <c r="K215" s="4" t="s">
        <v>451</v>
      </c>
      <c r="L215" s="4" t="s">
        <v>13</v>
      </c>
      <c r="M215" s="4">
        <v>2022</v>
      </c>
      <c r="N215" s="4">
        <v>1</v>
      </c>
      <c r="O215" s="4">
        <v>1</v>
      </c>
    </row>
    <row r="216" spans="1:15">
      <c r="A216" s="4" t="s">
        <v>478</v>
      </c>
      <c r="B216" s="4" t="s">
        <v>485</v>
      </c>
      <c r="C216" s="9" t="s">
        <v>483</v>
      </c>
      <c r="F216" s="13">
        <v>1</v>
      </c>
      <c r="G216" s="23">
        <v>0</v>
      </c>
      <c r="I216" s="4">
        <v>5</v>
      </c>
      <c r="J216" s="4">
        <v>8</v>
      </c>
      <c r="K216" s="4" t="s">
        <v>451</v>
      </c>
      <c r="L216" s="4" t="s">
        <v>13</v>
      </c>
      <c r="M216" s="4">
        <v>2022</v>
      </c>
      <c r="N216" s="4">
        <v>1</v>
      </c>
      <c r="O216" s="4">
        <v>1</v>
      </c>
    </row>
    <row r="217" spans="1:15">
      <c r="A217" s="4" t="s">
        <v>478</v>
      </c>
      <c r="B217" s="4" t="s">
        <v>486</v>
      </c>
      <c r="C217" s="9" t="s">
        <v>484</v>
      </c>
      <c r="F217" s="13">
        <v>1</v>
      </c>
      <c r="G217" s="23">
        <v>0</v>
      </c>
      <c r="I217" s="4">
        <v>7</v>
      </c>
      <c r="J217" s="4">
        <v>8</v>
      </c>
      <c r="K217" s="4" t="s">
        <v>451</v>
      </c>
      <c r="L217" s="4" t="s">
        <v>13</v>
      </c>
      <c r="M217" s="4">
        <v>2022</v>
      </c>
      <c r="N217" s="4">
        <v>1</v>
      </c>
      <c r="O217" s="4">
        <v>1</v>
      </c>
    </row>
    <row r="218" spans="1:15">
      <c r="A218" s="4" t="s">
        <v>487</v>
      </c>
      <c r="B218" s="4" t="s">
        <v>492</v>
      </c>
      <c r="C218" s="9" t="s">
        <v>488</v>
      </c>
      <c r="F218" s="13">
        <v>1</v>
      </c>
      <c r="G218" s="23">
        <v>0</v>
      </c>
      <c r="I218" s="4">
        <v>3</v>
      </c>
      <c r="J218" s="4">
        <v>10</v>
      </c>
      <c r="K218" s="4" t="s">
        <v>451</v>
      </c>
      <c r="L218" s="4" t="s">
        <v>13</v>
      </c>
      <c r="M218" s="4">
        <v>2023</v>
      </c>
      <c r="N218" s="4">
        <v>1</v>
      </c>
      <c r="O218" s="4">
        <v>1</v>
      </c>
    </row>
    <row r="219" spans="1:15">
      <c r="A219" s="4" t="s">
        <v>487</v>
      </c>
      <c r="B219" s="4" t="s">
        <v>493</v>
      </c>
      <c r="C219" s="9" t="s">
        <v>489</v>
      </c>
      <c r="F219" s="13">
        <v>1</v>
      </c>
      <c r="G219" s="23">
        <v>0</v>
      </c>
      <c r="I219" s="4">
        <v>4</v>
      </c>
      <c r="J219" s="4">
        <v>10</v>
      </c>
      <c r="K219" s="4" t="s">
        <v>451</v>
      </c>
      <c r="L219" s="4" t="s">
        <v>13</v>
      </c>
      <c r="M219" s="4">
        <v>2023</v>
      </c>
      <c r="N219" s="4">
        <v>1</v>
      </c>
      <c r="O219" s="4">
        <v>1</v>
      </c>
    </row>
    <row r="220" spans="1:15">
      <c r="A220" s="4" t="s">
        <v>487</v>
      </c>
      <c r="B220" s="4" t="s">
        <v>494</v>
      </c>
      <c r="C220" s="9" t="s">
        <v>490</v>
      </c>
      <c r="F220" s="13">
        <v>1</v>
      </c>
      <c r="G220" s="23">
        <v>1</v>
      </c>
      <c r="I220" s="4">
        <v>5</v>
      </c>
      <c r="J220" s="4">
        <v>10</v>
      </c>
      <c r="K220" s="4" t="s">
        <v>451</v>
      </c>
      <c r="L220" s="4" t="s">
        <v>13</v>
      </c>
      <c r="M220" s="4">
        <v>2023</v>
      </c>
      <c r="N220" s="4">
        <v>1</v>
      </c>
      <c r="O220" s="4">
        <v>1</v>
      </c>
    </row>
    <row r="221" spans="1:15">
      <c r="A221" s="4" t="s">
        <v>487</v>
      </c>
      <c r="B221" s="4" t="s">
        <v>495</v>
      </c>
      <c r="C221" s="9" t="s">
        <v>491</v>
      </c>
      <c r="F221" s="13">
        <v>1</v>
      </c>
      <c r="G221" s="23">
        <v>0</v>
      </c>
      <c r="I221" s="4">
        <v>10</v>
      </c>
      <c r="J221" s="4">
        <v>10</v>
      </c>
      <c r="K221" s="4" t="s">
        <v>451</v>
      </c>
      <c r="L221" s="4" t="s">
        <v>13</v>
      </c>
      <c r="M221" s="4">
        <v>2023</v>
      </c>
      <c r="N221" s="4">
        <v>1</v>
      </c>
      <c r="O221" s="4">
        <v>1</v>
      </c>
    </row>
    <row r="222" spans="1:15">
      <c r="A222" s="4" t="s">
        <v>496</v>
      </c>
      <c r="B222" s="4" t="s">
        <v>506</v>
      </c>
      <c r="C222" s="9" t="s">
        <v>497</v>
      </c>
      <c r="F222" s="13">
        <v>1</v>
      </c>
      <c r="G222" s="23">
        <v>1</v>
      </c>
      <c r="I222" s="4">
        <v>2</v>
      </c>
      <c r="J222" s="4">
        <v>11</v>
      </c>
      <c r="K222" s="4" t="s">
        <v>451</v>
      </c>
      <c r="L222" s="4" t="s">
        <v>13</v>
      </c>
      <c r="M222" s="4">
        <v>2024</v>
      </c>
      <c r="N222" s="4">
        <v>1</v>
      </c>
      <c r="O222" s="4">
        <v>1</v>
      </c>
    </row>
    <row r="223" spans="1:15">
      <c r="A223" s="4" t="s">
        <v>496</v>
      </c>
      <c r="B223" s="4" t="s">
        <v>507</v>
      </c>
      <c r="C223" s="9" t="s">
        <v>498</v>
      </c>
      <c r="F223" s="13">
        <v>1</v>
      </c>
      <c r="G223" s="23">
        <v>1</v>
      </c>
      <c r="I223" s="4">
        <v>3</v>
      </c>
      <c r="J223" s="4">
        <v>11</v>
      </c>
      <c r="K223" s="4" t="s">
        <v>451</v>
      </c>
      <c r="L223" s="4" t="s">
        <v>13</v>
      </c>
      <c r="M223" s="4">
        <v>2024</v>
      </c>
      <c r="N223" s="4">
        <v>1</v>
      </c>
      <c r="O223" s="4">
        <v>1</v>
      </c>
    </row>
    <row r="224" spans="1:15">
      <c r="A224" s="4" t="s">
        <v>496</v>
      </c>
      <c r="B224" s="4" t="s">
        <v>508</v>
      </c>
      <c r="C224" s="9" t="s">
        <v>499</v>
      </c>
      <c r="F224" s="13">
        <v>1</v>
      </c>
      <c r="G224" s="23">
        <v>0</v>
      </c>
      <c r="I224" s="4">
        <v>4</v>
      </c>
      <c r="J224" s="4">
        <v>11</v>
      </c>
      <c r="K224" s="4" t="s">
        <v>451</v>
      </c>
      <c r="L224" s="4" t="s">
        <v>13</v>
      </c>
      <c r="M224" s="4">
        <v>2024</v>
      </c>
      <c r="N224" s="4">
        <v>1</v>
      </c>
      <c r="O224" s="4">
        <v>1</v>
      </c>
    </row>
    <row r="225" spans="1:15">
      <c r="A225" s="4" t="s">
        <v>496</v>
      </c>
      <c r="B225" s="4" t="s">
        <v>509</v>
      </c>
      <c r="C225" s="9" t="s">
        <v>500</v>
      </c>
      <c r="F225" s="13">
        <v>1</v>
      </c>
      <c r="G225" s="23">
        <v>0</v>
      </c>
      <c r="I225" s="4">
        <v>5</v>
      </c>
      <c r="J225" s="4">
        <v>11</v>
      </c>
      <c r="K225" s="4" t="s">
        <v>451</v>
      </c>
      <c r="L225" s="4" t="s">
        <v>13</v>
      </c>
      <c r="M225" s="4">
        <v>2024</v>
      </c>
      <c r="N225" s="4">
        <v>1</v>
      </c>
      <c r="O225" s="4">
        <v>1</v>
      </c>
    </row>
    <row r="226" spans="1:15">
      <c r="A226" s="4" t="s">
        <v>496</v>
      </c>
      <c r="B226" s="4" t="s">
        <v>510</v>
      </c>
      <c r="C226" s="9" t="s">
        <v>501</v>
      </c>
      <c r="F226" s="13">
        <v>1</v>
      </c>
      <c r="G226" s="23">
        <v>1</v>
      </c>
      <c r="I226" s="4">
        <v>6</v>
      </c>
      <c r="J226" s="4">
        <v>11</v>
      </c>
      <c r="K226" s="4" t="s">
        <v>451</v>
      </c>
      <c r="L226" s="4" t="s">
        <v>13</v>
      </c>
      <c r="M226" s="4">
        <v>2024</v>
      </c>
      <c r="N226" s="4">
        <v>1</v>
      </c>
      <c r="O226" s="4">
        <v>1</v>
      </c>
    </row>
    <row r="227" spans="1:15">
      <c r="A227" s="4" t="s">
        <v>496</v>
      </c>
      <c r="B227" s="4" t="s">
        <v>511</v>
      </c>
      <c r="C227" s="9" t="s">
        <v>502</v>
      </c>
      <c r="F227" s="13">
        <v>1</v>
      </c>
      <c r="G227" s="23">
        <v>1</v>
      </c>
      <c r="I227" s="4">
        <v>7</v>
      </c>
      <c r="J227" s="4">
        <v>11</v>
      </c>
      <c r="K227" s="4" t="s">
        <v>451</v>
      </c>
      <c r="L227" s="4" t="s">
        <v>13</v>
      </c>
      <c r="M227" s="4">
        <v>2024</v>
      </c>
      <c r="N227" s="4">
        <v>1</v>
      </c>
      <c r="O227" s="4">
        <v>1</v>
      </c>
    </row>
    <row r="228" spans="1:15">
      <c r="A228" s="4" t="s">
        <v>496</v>
      </c>
      <c r="B228" s="4" t="s">
        <v>512</v>
      </c>
      <c r="C228" s="9" t="s">
        <v>503</v>
      </c>
      <c r="F228" s="13">
        <v>1</v>
      </c>
      <c r="G228" s="23">
        <v>1</v>
      </c>
      <c r="I228" s="4">
        <v>9</v>
      </c>
      <c r="J228" s="4">
        <v>11</v>
      </c>
      <c r="K228" s="4" t="s">
        <v>451</v>
      </c>
      <c r="L228" s="4" t="s">
        <v>13</v>
      </c>
      <c r="M228" s="4">
        <v>2024</v>
      </c>
      <c r="N228" s="4">
        <v>1</v>
      </c>
      <c r="O228" s="4">
        <v>1</v>
      </c>
    </row>
    <row r="229" spans="1:15">
      <c r="A229" s="4" t="s">
        <v>496</v>
      </c>
      <c r="B229" s="4" t="s">
        <v>513</v>
      </c>
      <c r="C229" s="9" t="s">
        <v>504</v>
      </c>
      <c r="F229" s="13">
        <v>1</v>
      </c>
      <c r="G229" s="23">
        <v>1</v>
      </c>
      <c r="I229" s="4">
        <v>10</v>
      </c>
      <c r="J229" s="4">
        <v>11</v>
      </c>
      <c r="K229" s="4" t="s">
        <v>451</v>
      </c>
      <c r="L229" s="4" t="s">
        <v>13</v>
      </c>
      <c r="M229" s="4">
        <v>2024</v>
      </c>
      <c r="N229" s="4">
        <v>1</v>
      </c>
      <c r="O229" s="4">
        <v>1</v>
      </c>
    </row>
    <row r="230" spans="1:15">
      <c r="A230" s="4" t="s">
        <v>496</v>
      </c>
      <c r="B230" s="4" t="s">
        <v>514</v>
      </c>
      <c r="C230" s="9" t="s">
        <v>505</v>
      </c>
      <c r="F230" s="13">
        <v>1</v>
      </c>
      <c r="G230" s="23">
        <v>0</v>
      </c>
      <c r="I230" s="4">
        <v>11</v>
      </c>
      <c r="J230" s="4">
        <v>11</v>
      </c>
      <c r="K230" s="4" t="s">
        <v>451</v>
      </c>
      <c r="L230" s="4" t="s">
        <v>13</v>
      </c>
      <c r="M230" s="4">
        <v>2024</v>
      </c>
      <c r="N230" s="4">
        <v>1</v>
      </c>
      <c r="O230" s="4">
        <v>1</v>
      </c>
    </row>
    <row r="231" spans="1:15">
      <c r="A231" s="4" t="s">
        <v>516</v>
      </c>
      <c r="B231" s="4" t="s">
        <v>515</v>
      </c>
      <c r="C231" s="9" t="s">
        <v>517</v>
      </c>
      <c r="F231" s="13">
        <v>1</v>
      </c>
      <c r="G231" s="23">
        <v>1</v>
      </c>
      <c r="I231" s="4">
        <v>1</v>
      </c>
      <c r="J231" s="4">
        <v>10</v>
      </c>
      <c r="K231" s="4" t="s">
        <v>451</v>
      </c>
      <c r="L231" s="4" t="s">
        <v>13</v>
      </c>
      <c r="M231" s="4">
        <v>2025</v>
      </c>
      <c r="N231" s="4">
        <v>1</v>
      </c>
      <c r="O231" s="4">
        <v>1</v>
      </c>
    </row>
    <row r="232" spans="1:15">
      <c r="A232" s="4" t="s">
        <v>516</v>
      </c>
      <c r="B232" s="4" t="s">
        <v>518</v>
      </c>
      <c r="C232" s="9" t="s">
        <v>519</v>
      </c>
      <c r="F232" s="13">
        <v>1</v>
      </c>
      <c r="G232" s="23">
        <v>1</v>
      </c>
      <c r="I232" s="4">
        <v>2</v>
      </c>
      <c r="J232" s="4">
        <v>10</v>
      </c>
      <c r="K232" s="4" t="s">
        <v>451</v>
      </c>
      <c r="L232" s="4" t="s">
        <v>13</v>
      </c>
      <c r="M232" s="4">
        <v>2025</v>
      </c>
      <c r="N232" s="4">
        <v>1</v>
      </c>
      <c r="O232" s="4">
        <v>1</v>
      </c>
    </row>
    <row r="233" spans="1:15">
      <c r="A233" s="4" t="s">
        <v>516</v>
      </c>
      <c r="B233" s="4" t="s">
        <v>525</v>
      </c>
      <c r="C233" s="9" t="s">
        <v>520</v>
      </c>
      <c r="F233" s="13">
        <v>1</v>
      </c>
      <c r="G233" s="23">
        <v>1</v>
      </c>
      <c r="I233" s="4">
        <v>3</v>
      </c>
      <c r="J233" s="4">
        <v>10</v>
      </c>
      <c r="K233" s="4" t="s">
        <v>451</v>
      </c>
      <c r="L233" s="4" t="s">
        <v>13</v>
      </c>
      <c r="M233" s="4">
        <v>2025</v>
      </c>
      <c r="N233" s="4">
        <v>1</v>
      </c>
      <c r="O233" s="4">
        <v>1</v>
      </c>
    </row>
    <row r="234" spans="1:15">
      <c r="A234" s="4" t="s">
        <v>516</v>
      </c>
      <c r="B234" s="4" t="s">
        <v>526</v>
      </c>
      <c r="C234" s="9" t="s">
        <v>521</v>
      </c>
      <c r="F234" s="13">
        <v>1</v>
      </c>
      <c r="G234" s="23">
        <v>1</v>
      </c>
      <c r="I234" s="4">
        <v>4</v>
      </c>
      <c r="J234" s="4">
        <v>10</v>
      </c>
      <c r="K234" s="4" t="s">
        <v>451</v>
      </c>
      <c r="L234" s="4" t="s">
        <v>13</v>
      </c>
      <c r="M234" s="4">
        <v>2025</v>
      </c>
      <c r="N234" s="4">
        <v>1</v>
      </c>
      <c r="O234" s="4">
        <v>1</v>
      </c>
    </row>
    <row r="235" spans="1:15">
      <c r="A235" s="4" t="s">
        <v>516</v>
      </c>
      <c r="B235" s="4" t="s">
        <v>527</v>
      </c>
      <c r="C235" s="9" t="s">
        <v>522</v>
      </c>
      <c r="F235" s="13">
        <v>1</v>
      </c>
      <c r="G235" s="23">
        <v>0</v>
      </c>
      <c r="I235" s="4">
        <v>5</v>
      </c>
      <c r="J235" s="4">
        <v>10</v>
      </c>
      <c r="K235" s="4" t="s">
        <v>451</v>
      </c>
      <c r="L235" s="4" t="s">
        <v>13</v>
      </c>
      <c r="M235" s="4">
        <v>2025</v>
      </c>
      <c r="N235" s="4">
        <v>1</v>
      </c>
      <c r="O235" s="4">
        <v>1</v>
      </c>
    </row>
    <row r="236" spans="1:15">
      <c r="A236" s="4" t="s">
        <v>516</v>
      </c>
      <c r="B236" s="4" t="s">
        <v>528</v>
      </c>
      <c r="C236" s="9" t="s">
        <v>523</v>
      </c>
      <c r="F236" s="13">
        <v>1</v>
      </c>
      <c r="G236" s="23">
        <v>1</v>
      </c>
      <c r="I236" s="4">
        <v>6</v>
      </c>
      <c r="J236" s="4">
        <v>10</v>
      </c>
      <c r="K236" s="4" t="s">
        <v>451</v>
      </c>
      <c r="L236" s="4" t="s">
        <v>13</v>
      </c>
      <c r="M236" s="4">
        <v>2025</v>
      </c>
      <c r="N236" s="4">
        <v>1</v>
      </c>
      <c r="O236" s="4">
        <v>1</v>
      </c>
    </row>
    <row r="237" spans="1:15">
      <c r="A237" s="4" t="s">
        <v>516</v>
      </c>
      <c r="B237" s="4" t="s">
        <v>529</v>
      </c>
      <c r="C237" s="9" t="s">
        <v>524</v>
      </c>
      <c r="F237" s="13">
        <v>1</v>
      </c>
      <c r="G237" s="23">
        <v>1</v>
      </c>
      <c r="I237" s="4">
        <v>9</v>
      </c>
      <c r="J237" s="4">
        <v>10</v>
      </c>
      <c r="K237" s="4" t="s">
        <v>451</v>
      </c>
      <c r="L237" s="4" t="s">
        <v>13</v>
      </c>
      <c r="M237" s="4">
        <v>2025</v>
      </c>
      <c r="N237" s="4">
        <v>1</v>
      </c>
      <c r="O237" s="4">
        <v>1</v>
      </c>
    </row>
    <row r="238" spans="1:15">
      <c r="A238" s="4" t="s">
        <v>531</v>
      </c>
      <c r="B238" s="4" t="s">
        <v>532</v>
      </c>
      <c r="C238" s="9" t="s">
        <v>533</v>
      </c>
      <c r="F238" s="13">
        <v>0</v>
      </c>
      <c r="I238" s="4">
        <v>1</v>
      </c>
      <c r="J238" s="4">
        <v>4</v>
      </c>
      <c r="K238" s="4" t="s">
        <v>540</v>
      </c>
      <c r="L238" s="4" t="s">
        <v>13</v>
      </c>
      <c r="M238" s="4">
        <v>2021</v>
      </c>
      <c r="N238" s="4">
        <v>1</v>
      </c>
      <c r="O238" s="4">
        <v>1</v>
      </c>
    </row>
    <row r="239" spans="1:15">
      <c r="A239" s="4" t="s">
        <v>531</v>
      </c>
      <c r="B239" s="4" t="s">
        <v>534</v>
      </c>
      <c r="C239" s="9" t="s">
        <v>535</v>
      </c>
      <c r="F239" s="13">
        <v>1</v>
      </c>
      <c r="G239" s="23">
        <v>1</v>
      </c>
      <c r="I239" s="4">
        <v>2</v>
      </c>
      <c r="J239" s="4">
        <v>4</v>
      </c>
      <c r="K239" s="4" t="s">
        <v>540</v>
      </c>
      <c r="L239" s="4" t="s">
        <v>13</v>
      </c>
      <c r="M239" s="4">
        <v>2021</v>
      </c>
      <c r="N239" s="4">
        <v>1</v>
      </c>
      <c r="O239" s="4">
        <v>1</v>
      </c>
    </row>
    <row r="240" spans="1:15">
      <c r="A240" s="4" t="s">
        <v>531</v>
      </c>
      <c r="B240" s="4" t="s">
        <v>536</v>
      </c>
      <c r="C240" s="9" t="s">
        <v>537</v>
      </c>
      <c r="F240" s="13">
        <v>1</v>
      </c>
      <c r="G240" s="23">
        <v>0</v>
      </c>
      <c r="I240" s="4">
        <v>3</v>
      </c>
      <c r="J240" s="4">
        <v>4</v>
      </c>
      <c r="K240" s="4" t="s">
        <v>540</v>
      </c>
      <c r="L240" s="4" t="s">
        <v>13</v>
      </c>
      <c r="M240" s="4">
        <v>2021</v>
      </c>
      <c r="N240" s="4">
        <v>1</v>
      </c>
      <c r="O240" s="4">
        <v>1</v>
      </c>
    </row>
    <row r="241" spans="1:15">
      <c r="A241" s="4" t="s">
        <v>531</v>
      </c>
      <c r="B241" s="4" t="s">
        <v>538</v>
      </c>
      <c r="C241" s="9" t="s">
        <v>539</v>
      </c>
      <c r="F241" s="13">
        <v>1</v>
      </c>
      <c r="G241" s="23">
        <v>0</v>
      </c>
      <c r="I241" s="4">
        <v>4</v>
      </c>
      <c r="J241" s="4">
        <v>4</v>
      </c>
      <c r="K241" s="4" t="s">
        <v>540</v>
      </c>
      <c r="L241" s="4" t="s">
        <v>13</v>
      </c>
      <c r="M241" s="4">
        <v>2021</v>
      </c>
      <c r="N241" s="4">
        <v>1</v>
      </c>
      <c r="O241" s="4">
        <v>1</v>
      </c>
    </row>
    <row r="242" spans="1:15">
      <c r="A242" s="4" t="s">
        <v>541</v>
      </c>
      <c r="B242" s="4" t="s">
        <v>549</v>
      </c>
      <c r="C242" s="9" t="s">
        <v>542</v>
      </c>
      <c r="F242" s="13">
        <v>0</v>
      </c>
      <c r="I242" s="4">
        <v>1</v>
      </c>
      <c r="J242" s="4">
        <v>7</v>
      </c>
      <c r="K242" s="4" t="s">
        <v>540</v>
      </c>
      <c r="L242" s="4" t="s">
        <v>13</v>
      </c>
      <c r="M242" s="4">
        <v>2022</v>
      </c>
      <c r="N242" s="4">
        <v>1</v>
      </c>
      <c r="O242" s="4">
        <v>1</v>
      </c>
    </row>
    <row r="243" spans="1:15">
      <c r="A243" s="4" t="s">
        <v>541</v>
      </c>
      <c r="B243" s="4" t="s">
        <v>550</v>
      </c>
      <c r="C243" s="24" t="s">
        <v>543</v>
      </c>
      <c r="F243" s="13">
        <v>0</v>
      </c>
      <c r="I243" s="4">
        <v>2</v>
      </c>
      <c r="J243" s="4">
        <v>7</v>
      </c>
      <c r="K243" s="4" t="s">
        <v>540</v>
      </c>
      <c r="L243" s="4" t="s">
        <v>13</v>
      </c>
      <c r="M243" s="4">
        <v>2022</v>
      </c>
      <c r="N243" s="4">
        <v>1</v>
      </c>
      <c r="O243" s="4">
        <v>1</v>
      </c>
    </row>
    <row r="244" spans="1:15">
      <c r="A244" s="4" t="s">
        <v>541</v>
      </c>
      <c r="B244" s="4" t="s">
        <v>551</v>
      </c>
      <c r="C244" s="9" t="s">
        <v>544</v>
      </c>
      <c r="F244" s="13">
        <v>0</v>
      </c>
      <c r="I244" s="4">
        <v>3</v>
      </c>
      <c r="J244" s="4">
        <v>7</v>
      </c>
      <c r="K244" s="4" t="s">
        <v>540</v>
      </c>
      <c r="L244" s="4" t="s">
        <v>13</v>
      </c>
      <c r="M244" s="4">
        <v>2022</v>
      </c>
      <c r="N244" s="4">
        <v>1</v>
      </c>
      <c r="O244" s="4">
        <v>1</v>
      </c>
    </row>
    <row r="245" spans="1:15">
      <c r="A245" s="4" t="s">
        <v>541</v>
      </c>
      <c r="B245" s="4" t="s">
        <v>552</v>
      </c>
      <c r="C245" s="9" t="s">
        <v>545</v>
      </c>
      <c r="F245" s="13">
        <v>0</v>
      </c>
      <c r="I245" s="4">
        <v>4</v>
      </c>
      <c r="J245" s="4">
        <v>7</v>
      </c>
      <c r="K245" s="4" t="s">
        <v>540</v>
      </c>
      <c r="L245" s="4" t="s">
        <v>13</v>
      </c>
      <c r="M245" s="4">
        <v>2022</v>
      </c>
      <c r="N245" s="4">
        <v>1</v>
      </c>
      <c r="O245" s="4">
        <v>1</v>
      </c>
    </row>
    <row r="246" spans="1:15">
      <c r="A246" s="4" t="s">
        <v>541</v>
      </c>
      <c r="B246" s="4" t="s">
        <v>553</v>
      </c>
      <c r="C246" s="9" t="s">
        <v>546</v>
      </c>
      <c r="F246" s="13">
        <v>1</v>
      </c>
      <c r="G246" s="23">
        <v>0</v>
      </c>
      <c r="I246" s="4">
        <v>5</v>
      </c>
      <c r="J246" s="4">
        <v>7</v>
      </c>
      <c r="K246" s="4" t="s">
        <v>540</v>
      </c>
      <c r="L246" s="4" t="s">
        <v>13</v>
      </c>
      <c r="M246" s="4">
        <v>2022</v>
      </c>
      <c r="N246" s="4">
        <v>1</v>
      </c>
      <c r="O246" s="4">
        <v>1</v>
      </c>
    </row>
    <row r="247" spans="1:15">
      <c r="A247" s="4" t="s">
        <v>541</v>
      </c>
      <c r="B247" s="4" t="s">
        <v>554</v>
      </c>
      <c r="C247" s="24" t="s">
        <v>547</v>
      </c>
      <c r="F247" s="13">
        <v>0</v>
      </c>
      <c r="I247" s="4">
        <v>6</v>
      </c>
      <c r="J247" s="4">
        <v>7</v>
      </c>
      <c r="K247" s="4" t="s">
        <v>540</v>
      </c>
      <c r="L247" s="4" t="s">
        <v>13</v>
      </c>
      <c r="M247" s="4">
        <v>2022</v>
      </c>
      <c r="N247" s="4">
        <v>1</v>
      </c>
      <c r="O247" s="4">
        <v>1</v>
      </c>
    </row>
    <row r="248" spans="1:15">
      <c r="A248" s="4" t="s">
        <v>541</v>
      </c>
      <c r="B248" s="4" t="s">
        <v>557</v>
      </c>
      <c r="C248" s="9" t="s">
        <v>548</v>
      </c>
      <c r="F248" s="13">
        <v>0</v>
      </c>
      <c r="I248" s="4">
        <v>7</v>
      </c>
      <c r="J248" s="4">
        <v>7</v>
      </c>
      <c r="K248" s="4" t="s">
        <v>540</v>
      </c>
      <c r="L248" s="4" t="s">
        <v>13</v>
      </c>
      <c r="M248" s="4">
        <v>2022</v>
      </c>
      <c r="N248" s="4">
        <v>1</v>
      </c>
      <c r="O248" s="4">
        <v>1</v>
      </c>
    </row>
    <row r="249" spans="1:15">
      <c r="A249" s="4" t="s">
        <v>556</v>
      </c>
      <c r="B249" s="4" t="s">
        <v>555</v>
      </c>
      <c r="C249" s="9" t="s">
        <v>558</v>
      </c>
      <c r="F249" s="13">
        <v>0</v>
      </c>
      <c r="I249" s="4">
        <v>1</v>
      </c>
      <c r="J249" s="4">
        <v>5</v>
      </c>
      <c r="K249" s="4" t="s">
        <v>540</v>
      </c>
      <c r="L249" s="4" t="s">
        <v>13</v>
      </c>
      <c r="M249" s="4">
        <v>2023</v>
      </c>
      <c r="N249" s="4">
        <v>1</v>
      </c>
      <c r="O249" s="4">
        <v>1</v>
      </c>
    </row>
    <row r="250" spans="1:15">
      <c r="A250" s="4" t="s">
        <v>556</v>
      </c>
      <c r="B250" s="4" t="s">
        <v>563</v>
      </c>
      <c r="C250" s="24" t="s">
        <v>559</v>
      </c>
      <c r="F250" s="13">
        <v>1</v>
      </c>
      <c r="G250" s="23">
        <v>1</v>
      </c>
      <c r="I250" s="4">
        <v>2</v>
      </c>
      <c r="J250" s="4">
        <v>5</v>
      </c>
      <c r="K250" s="4" t="s">
        <v>540</v>
      </c>
      <c r="L250" s="4" t="s">
        <v>13</v>
      </c>
      <c r="M250" s="4">
        <v>2023</v>
      </c>
      <c r="N250" s="4">
        <v>1</v>
      </c>
      <c r="O250" s="4">
        <v>1</v>
      </c>
    </row>
    <row r="251" spans="1:15">
      <c r="A251" s="4" t="s">
        <v>556</v>
      </c>
      <c r="B251" s="4" t="s">
        <v>564</v>
      </c>
      <c r="C251" s="9" t="s">
        <v>560</v>
      </c>
      <c r="F251" s="13">
        <v>1</v>
      </c>
      <c r="G251" s="23">
        <v>0</v>
      </c>
      <c r="I251" s="4">
        <v>3</v>
      </c>
      <c r="J251" s="4">
        <v>5</v>
      </c>
      <c r="K251" s="4" t="s">
        <v>540</v>
      </c>
      <c r="L251" s="4" t="s">
        <v>13</v>
      </c>
      <c r="M251" s="4">
        <v>2023</v>
      </c>
      <c r="N251" s="4">
        <v>1</v>
      </c>
      <c r="O251" s="4">
        <v>1</v>
      </c>
    </row>
    <row r="252" spans="1:15">
      <c r="A252" s="4" t="s">
        <v>556</v>
      </c>
      <c r="B252" s="4" t="s">
        <v>565</v>
      </c>
      <c r="C252" s="9" t="s">
        <v>561</v>
      </c>
      <c r="F252" s="13">
        <v>1</v>
      </c>
      <c r="G252" s="23">
        <v>0</v>
      </c>
      <c r="I252" s="4">
        <v>4</v>
      </c>
      <c r="J252" s="4">
        <v>5</v>
      </c>
      <c r="K252" s="4" t="s">
        <v>540</v>
      </c>
      <c r="L252" s="4" t="s">
        <v>13</v>
      </c>
      <c r="M252" s="4">
        <v>2023</v>
      </c>
      <c r="N252" s="4">
        <v>1</v>
      </c>
      <c r="O252" s="4">
        <v>1</v>
      </c>
    </row>
    <row r="253" spans="1:15">
      <c r="A253" s="4" t="s">
        <v>556</v>
      </c>
      <c r="B253" s="4" t="s">
        <v>566</v>
      </c>
      <c r="C253" s="9" t="s">
        <v>562</v>
      </c>
      <c r="F253" s="13">
        <v>0</v>
      </c>
      <c r="I253" s="4">
        <v>5</v>
      </c>
      <c r="J253" s="4">
        <v>5</v>
      </c>
      <c r="K253" s="4" t="s">
        <v>540</v>
      </c>
      <c r="L253" s="4" t="s">
        <v>13</v>
      </c>
      <c r="M253" s="4">
        <v>2023</v>
      </c>
      <c r="N253" s="4">
        <v>1</v>
      </c>
      <c r="O253" s="4">
        <v>1</v>
      </c>
    </row>
    <row r="254" spans="1:15">
      <c r="A254" s="4" t="s">
        <v>568</v>
      </c>
      <c r="B254" s="4" t="s">
        <v>567</v>
      </c>
      <c r="C254" s="9" t="s">
        <v>569</v>
      </c>
      <c r="F254" s="13">
        <v>1</v>
      </c>
      <c r="G254" s="23">
        <v>1</v>
      </c>
      <c r="I254" s="4">
        <v>1</v>
      </c>
      <c r="J254" s="4">
        <v>5</v>
      </c>
      <c r="K254" s="4" t="s">
        <v>540</v>
      </c>
      <c r="L254" s="4" t="s">
        <v>13</v>
      </c>
      <c r="M254" s="4">
        <v>2024</v>
      </c>
      <c r="N254" s="4">
        <v>1</v>
      </c>
      <c r="O254" s="4">
        <v>1</v>
      </c>
    </row>
    <row r="255" spans="1:15">
      <c r="A255" s="4" t="s">
        <v>568</v>
      </c>
      <c r="B255" s="4" t="s">
        <v>570</v>
      </c>
      <c r="C255" s="9" t="s">
        <v>571</v>
      </c>
      <c r="F255" s="13">
        <v>1</v>
      </c>
      <c r="G255" s="23">
        <v>1</v>
      </c>
      <c r="I255" s="4">
        <v>2</v>
      </c>
      <c r="J255" s="4">
        <v>5</v>
      </c>
      <c r="K255" s="4" t="s">
        <v>540</v>
      </c>
      <c r="L255" s="4" t="s">
        <v>13</v>
      </c>
      <c r="M255" s="4">
        <v>2024</v>
      </c>
      <c r="N255" s="4">
        <v>1</v>
      </c>
      <c r="O255" s="4">
        <v>1</v>
      </c>
    </row>
    <row r="256" spans="1:15">
      <c r="A256" s="4" t="s">
        <v>568</v>
      </c>
      <c r="B256" s="4" t="s">
        <v>575</v>
      </c>
      <c r="C256" s="9" t="s">
        <v>572</v>
      </c>
      <c r="F256" s="13">
        <v>1</v>
      </c>
      <c r="G256" s="23">
        <v>1</v>
      </c>
      <c r="I256" s="4">
        <v>3</v>
      </c>
      <c r="J256" s="4">
        <v>5</v>
      </c>
      <c r="K256" s="4" t="s">
        <v>540</v>
      </c>
      <c r="L256" s="4" t="s">
        <v>13</v>
      </c>
      <c r="M256" s="4">
        <v>2024</v>
      </c>
      <c r="N256" s="4">
        <v>1</v>
      </c>
      <c r="O256" s="4">
        <v>1</v>
      </c>
    </row>
    <row r="257" spans="1:15">
      <c r="A257" s="4" t="s">
        <v>568</v>
      </c>
      <c r="B257" s="4" t="s">
        <v>576</v>
      </c>
      <c r="C257" s="9" t="s">
        <v>573</v>
      </c>
      <c r="F257" s="13">
        <v>1</v>
      </c>
      <c r="G257" s="23">
        <v>0</v>
      </c>
      <c r="I257" s="4">
        <v>4</v>
      </c>
      <c r="J257" s="4">
        <v>5</v>
      </c>
      <c r="K257" s="4" t="s">
        <v>540</v>
      </c>
      <c r="L257" s="4" t="s">
        <v>13</v>
      </c>
      <c r="M257" s="4">
        <v>2024</v>
      </c>
      <c r="N257" s="4">
        <v>1</v>
      </c>
      <c r="O257" s="4">
        <v>1</v>
      </c>
    </row>
    <row r="258" spans="1:15">
      <c r="A258" s="4" t="s">
        <v>568</v>
      </c>
      <c r="B258" s="4" t="s">
        <v>577</v>
      </c>
      <c r="C258" s="9" t="s">
        <v>574</v>
      </c>
      <c r="F258" s="13">
        <v>1</v>
      </c>
      <c r="G258" s="23">
        <v>0</v>
      </c>
      <c r="I258" s="4">
        <v>5</v>
      </c>
      <c r="J258" s="4">
        <v>5</v>
      </c>
      <c r="K258" s="4" t="s">
        <v>540</v>
      </c>
      <c r="L258" s="4" t="s">
        <v>13</v>
      </c>
      <c r="M258" s="4">
        <v>2024</v>
      </c>
      <c r="N258" s="4">
        <v>1</v>
      </c>
      <c r="O258" s="4">
        <v>1</v>
      </c>
    </row>
    <row r="259" spans="1:15">
      <c r="A259" s="4" t="s">
        <v>579</v>
      </c>
      <c r="B259" s="4" t="s">
        <v>578</v>
      </c>
      <c r="C259" s="9" t="s">
        <v>580</v>
      </c>
      <c r="F259" s="13">
        <v>1</v>
      </c>
      <c r="G259" s="23">
        <v>1</v>
      </c>
      <c r="I259" s="4">
        <v>1</v>
      </c>
      <c r="J259" s="4">
        <v>8</v>
      </c>
      <c r="K259" s="4" t="s">
        <v>540</v>
      </c>
      <c r="L259" s="4" t="s">
        <v>13</v>
      </c>
      <c r="M259" s="4">
        <v>2025</v>
      </c>
      <c r="N259" s="4">
        <v>1</v>
      </c>
      <c r="O259" s="4">
        <v>1</v>
      </c>
    </row>
    <row r="260" spans="1:15">
      <c r="A260" s="4" t="s">
        <v>579</v>
      </c>
      <c r="B260" s="4" t="s">
        <v>581</v>
      </c>
      <c r="C260" s="9" t="s">
        <v>582</v>
      </c>
      <c r="F260" s="13">
        <v>1</v>
      </c>
      <c r="G260" s="23">
        <v>1</v>
      </c>
      <c r="I260" s="4">
        <v>2</v>
      </c>
      <c r="J260" s="4">
        <v>8</v>
      </c>
      <c r="K260" s="4" t="s">
        <v>540</v>
      </c>
      <c r="L260" s="4" t="s">
        <v>13</v>
      </c>
      <c r="M260" s="4">
        <v>2025</v>
      </c>
      <c r="N260" s="4">
        <v>1</v>
      </c>
      <c r="O260" s="4">
        <v>1</v>
      </c>
    </row>
    <row r="261" spans="1:15">
      <c r="A261" s="4" t="s">
        <v>579</v>
      </c>
      <c r="B261" s="4" t="s">
        <v>589</v>
      </c>
      <c r="C261" s="9" t="s">
        <v>583</v>
      </c>
      <c r="F261" s="13">
        <v>1</v>
      </c>
      <c r="G261" s="23">
        <v>1</v>
      </c>
      <c r="I261" s="4">
        <v>3</v>
      </c>
      <c r="J261" s="4">
        <v>8</v>
      </c>
      <c r="K261" s="4" t="s">
        <v>540</v>
      </c>
      <c r="L261" s="4" t="s">
        <v>13</v>
      </c>
      <c r="M261" s="4">
        <v>2025</v>
      </c>
      <c r="N261" s="4">
        <v>1</v>
      </c>
      <c r="O261" s="4">
        <v>1</v>
      </c>
    </row>
    <row r="262" spans="1:15">
      <c r="A262" s="4" t="s">
        <v>579</v>
      </c>
      <c r="B262" s="4" t="s">
        <v>590</v>
      </c>
      <c r="C262" s="9" t="s">
        <v>584</v>
      </c>
      <c r="F262" s="13">
        <v>1</v>
      </c>
      <c r="G262" s="23">
        <v>1</v>
      </c>
      <c r="I262" s="4">
        <v>4</v>
      </c>
      <c r="J262" s="4">
        <v>8</v>
      </c>
      <c r="K262" s="4" t="s">
        <v>540</v>
      </c>
      <c r="L262" s="4" t="s">
        <v>13</v>
      </c>
      <c r="M262" s="4">
        <v>2025</v>
      </c>
      <c r="N262" s="4">
        <v>1</v>
      </c>
      <c r="O262" s="4">
        <v>1</v>
      </c>
    </row>
    <row r="263" spans="1:15">
      <c r="A263" s="4" t="s">
        <v>579</v>
      </c>
      <c r="B263" s="4" t="s">
        <v>591</v>
      </c>
      <c r="C263" s="9" t="s">
        <v>585</v>
      </c>
      <c r="F263" s="13">
        <v>1</v>
      </c>
      <c r="G263" s="23">
        <v>1</v>
      </c>
      <c r="I263" s="4">
        <v>5</v>
      </c>
      <c r="J263" s="4">
        <v>8</v>
      </c>
      <c r="K263" s="4" t="s">
        <v>540</v>
      </c>
      <c r="L263" s="4" t="s">
        <v>13</v>
      </c>
      <c r="M263" s="4">
        <v>2025</v>
      </c>
      <c r="N263" s="4">
        <v>1</v>
      </c>
      <c r="O263" s="4">
        <v>1</v>
      </c>
    </row>
    <row r="264" spans="1:15">
      <c r="A264" s="4" t="s">
        <v>579</v>
      </c>
      <c r="B264" s="4" t="s">
        <v>592</v>
      </c>
      <c r="C264" s="9" t="s">
        <v>586</v>
      </c>
      <c r="F264" s="13">
        <v>1</v>
      </c>
      <c r="G264" s="23">
        <v>0</v>
      </c>
      <c r="I264" s="4">
        <v>6</v>
      </c>
      <c r="J264" s="4">
        <v>8</v>
      </c>
      <c r="K264" s="4" t="s">
        <v>540</v>
      </c>
      <c r="L264" s="4" t="s">
        <v>13</v>
      </c>
      <c r="M264" s="4">
        <v>2025</v>
      </c>
      <c r="N264" s="4">
        <v>1</v>
      </c>
      <c r="O264" s="4">
        <v>1</v>
      </c>
    </row>
    <row r="265" spans="1:15">
      <c r="A265" s="4" t="s">
        <v>579</v>
      </c>
      <c r="B265" s="4" t="s">
        <v>593</v>
      </c>
      <c r="C265" s="9" t="s">
        <v>587</v>
      </c>
      <c r="F265" s="13">
        <v>0</v>
      </c>
      <c r="I265" s="4">
        <v>7</v>
      </c>
      <c r="J265" s="4">
        <v>8</v>
      </c>
      <c r="K265" s="4" t="s">
        <v>540</v>
      </c>
      <c r="L265" s="4" t="s">
        <v>13</v>
      </c>
      <c r="M265" s="4">
        <v>2025</v>
      </c>
      <c r="N265" s="4">
        <v>1</v>
      </c>
      <c r="O265" s="4">
        <v>1</v>
      </c>
    </row>
    <row r="266" spans="1:15">
      <c r="A266" s="4" t="s">
        <v>579</v>
      </c>
      <c r="B266" s="4" t="s">
        <v>594</v>
      </c>
      <c r="C266" s="9" t="s">
        <v>588</v>
      </c>
      <c r="F266" s="13">
        <v>0</v>
      </c>
      <c r="I266" s="4">
        <v>8</v>
      </c>
      <c r="J266" s="4">
        <v>8</v>
      </c>
      <c r="K266" s="4" t="s">
        <v>540</v>
      </c>
      <c r="L266" s="4" t="s">
        <v>13</v>
      </c>
      <c r="M266" s="4">
        <v>2025</v>
      </c>
      <c r="N266" s="4">
        <v>1</v>
      </c>
      <c r="O266" s="4">
        <v>1</v>
      </c>
    </row>
    <row r="267" spans="1:15">
      <c r="A267" s="4" t="s">
        <v>595</v>
      </c>
      <c r="B267" s="4" t="s">
        <v>596</v>
      </c>
      <c r="C267" s="10" t="s">
        <v>597</v>
      </c>
      <c r="F267" s="13">
        <v>1</v>
      </c>
      <c r="G267" s="23">
        <v>1</v>
      </c>
      <c r="I267" s="4">
        <v>1</v>
      </c>
      <c r="J267" s="4">
        <v>10</v>
      </c>
      <c r="K267" s="4" t="s">
        <v>616</v>
      </c>
      <c r="L267" s="4" t="s">
        <v>13</v>
      </c>
      <c r="M267" s="4">
        <v>2025</v>
      </c>
      <c r="N267" s="4">
        <v>1</v>
      </c>
      <c r="O267" s="4">
        <v>1</v>
      </c>
    </row>
    <row r="268" spans="1:15">
      <c r="A268" s="4" t="s">
        <v>595</v>
      </c>
      <c r="B268" s="4" t="s">
        <v>598</v>
      </c>
      <c r="C268" s="9" t="s">
        <v>599</v>
      </c>
      <c r="F268" s="13">
        <v>1</v>
      </c>
      <c r="G268" s="23">
        <v>0</v>
      </c>
      <c r="I268" s="4">
        <v>2</v>
      </c>
      <c r="J268" s="4">
        <v>10</v>
      </c>
      <c r="K268" s="4" t="s">
        <v>616</v>
      </c>
      <c r="L268" s="4" t="s">
        <v>13</v>
      </c>
      <c r="M268" s="4">
        <v>2025</v>
      </c>
      <c r="N268" s="4">
        <v>1</v>
      </c>
      <c r="O268" s="4">
        <v>1</v>
      </c>
    </row>
    <row r="269" spans="1:15">
      <c r="A269" s="4" t="s">
        <v>595</v>
      </c>
      <c r="B269" s="4" t="s">
        <v>600</v>
      </c>
      <c r="C269" s="9" t="s">
        <v>601</v>
      </c>
      <c r="F269" s="13">
        <v>0</v>
      </c>
      <c r="I269" s="4">
        <v>3</v>
      </c>
      <c r="J269" s="4">
        <v>10</v>
      </c>
      <c r="K269" s="4" t="s">
        <v>616</v>
      </c>
      <c r="L269" s="4" t="s">
        <v>13</v>
      </c>
      <c r="M269" s="4">
        <v>2025</v>
      </c>
      <c r="N269" s="4">
        <v>1</v>
      </c>
      <c r="O269" s="4">
        <v>1</v>
      </c>
    </row>
    <row r="270" spans="1:15">
      <c r="A270" s="4" t="s">
        <v>595</v>
      </c>
      <c r="B270" s="4" t="s">
        <v>602</v>
      </c>
      <c r="C270" s="9" t="s">
        <v>603</v>
      </c>
      <c r="F270" s="13">
        <v>1</v>
      </c>
      <c r="G270" s="23">
        <v>1</v>
      </c>
      <c r="I270" s="4">
        <v>4</v>
      </c>
      <c r="J270" s="4">
        <v>10</v>
      </c>
      <c r="K270" s="4" t="s">
        <v>616</v>
      </c>
      <c r="L270" s="4" t="s">
        <v>13</v>
      </c>
      <c r="M270" s="4">
        <v>2025</v>
      </c>
      <c r="N270" s="4">
        <v>1</v>
      </c>
      <c r="O270" s="4">
        <v>1</v>
      </c>
    </row>
    <row r="271" spans="1:15">
      <c r="A271" s="4" t="s">
        <v>595</v>
      </c>
      <c r="B271" s="4" t="s">
        <v>604</v>
      </c>
      <c r="C271" s="9" t="s">
        <v>605</v>
      </c>
      <c r="F271" s="13">
        <v>1</v>
      </c>
      <c r="G271" s="23">
        <v>1</v>
      </c>
      <c r="I271" s="4">
        <v>5</v>
      </c>
      <c r="J271" s="4">
        <v>10</v>
      </c>
      <c r="K271" s="4" t="s">
        <v>616</v>
      </c>
      <c r="L271" s="4" t="s">
        <v>13</v>
      </c>
      <c r="M271" s="4">
        <v>2025</v>
      </c>
      <c r="N271" s="4">
        <v>1</v>
      </c>
      <c r="O271" s="4">
        <v>1</v>
      </c>
    </row>
    <row r="272" spans="1:15">
      <c r="A272" s="4" t="s">
        <v>595</v>
      </c>
      <c r="B272" s="4" t="s">
        <v>606</v>
      </c>
      <c r="C272" s="9" t="s">
        <v>607</v>
      </c>
      <c r="F272" s="13">
        <v>0</v>
      </c>
      <c r="I272" s="4">
        <v>6</v>
      </c>
      <c r="J272" s="4">
        <v>10</v>
      </c>
      <c r="K272" s="4" t="s">
        <v>616</v>
      </c>
      <c r="L272" s="4" t="s">
        <v>13</v>
      </c>
      <c r="M272" s="4">
        <v>2025</v>
      </c>
      <c r="N272" s="4">
        <v>1</v>
      </c>
      <c r="O272" s="4">
        <v>1</v>
      </c>
    </row>
    <row r="273" spans="1:15">
      <c r="A273" s="4" t="s">
        <v>595</v>
      </c>
      <c r="B273" s="4" t="s">
        <v>608</v>
      </c>
      <c r="C273" s="9" t="s">
        <v>609</v>
      </c>
      <c r="F273" s="13">
        <v>0</v>
      </c>
      <c r="I273" s="4">
        <v>7</v>
      </c>
      <c r="J273" s="4">
        <v>10</v>
      </c>
      <c r="K273" s="4" t="s">
        <v>616</v>
      </c>
      <c r="L273" s="4" t="s">
        <v>13</v>
      </c>
      <c r="M273" s="4">
        <v>2025</v>
      </c>
      <c r="N273" s="4">
        <v>1</v>
      </c>
      <c r="O273" s="4">
        <v>1</v>
      </c>
    </row>
    <row r="274" spans="1:15">
      <c r="A274" s="4" t="s">
        <v>595</v>
      </c>
      <c r="B274" s="4" t="s">
        <v>610</v>
      </c>
      <c r="C274" s="9" t="s">
        <v>611</v>
      </c>
      <c r="F274" s="13">
        <v>0</v>
      </c>
      <c r="I274" s="4">
        <v>8</v>
      </c>
      <c r="J274" s="4">
        <v>10</v>
      </c>
      <c r="K274" s="4" t="s">
        <v>616</v>
      </c>
      <c r="L274" s="4" t="s">
        <v>13</v>
      </c>
      <c r="M274" s="4">
        <v>2025</v>
      </c>
      <c r="N274" s="4">
        <v>1</v>
      </c>
      <c r="O274" s="4">
        <v>1</v>
      </c>
    </row>
    <row r="275" spans="1:15">
      <c r="A275" s="4" t="s">
        <v>595</v>
      </c>
      <c r="B275" s="4" t="s">
        <v>612</v>
      </c>
      <c r="C275" s="9" t="s">
        <v>613</v>
      </c>
      <c r="F275" s="13">
        <v>0</v>
      </c>
      <c r="I275" s="4">
        <v>9</v>
      </c>
      <c r="J275" s="4">
        <v>10</v>
      </c>
      <c r="K275" s="4" t="s">
        <v>616</v>
      </c>
      <c r="L275" s="4" t="s">
        <v>13</v>
      </c>
      <c r="M275" s="4">
        <v>2025</v>
      </c>
      <c r="N275" s="4">
        <v>1</v>
      </c>
      <c r="O275" s="4">
        <v>1</v>
      </c>
    </row>
    <row r="276" spans="1:15">
      <c r="A276" s="4" t="s">
        <v>595</v>
      </c>
      <c r="B276" s="4" t="s">
        <v>614</v>
      </c>
      <c r="C276" s="9" t="s">
        <v>615</v>
      </c>
      <c r="F276" s="13">
        <v>0</v>
      </c>
      <c r="I276" s="4">
        <v>10</v>
      </c>
      <c r="J276" s="4">
        <v>10</v>
      </c>
      <c r="K276" s="4" t="s">
        <v>616</v>
      </c>
      <c r="L276" s="4" t="s">
        <v>13</v>
      </c>
      <c r="M276" s="4">
        <v>2025</v>
      </c>
      <c r="N276" s="4">
        <v>1</v>
      </c>
      <c r="O276" s="4">
        <v>1</v>
      </c>
    </row>
    <row r="277" spans="1:15">
      <c r="A277" s="4" t="s">
        <v>618</v>
      </c>
      <c r="B277" s="4" t="s">
        <v>617</v>
      </c>
      <c r="C277" s="9" t="s">
        <v>619</v>
      </c>
      <c r="F277" s="13">
        <v>1</v>
      </c>
      <c r="G277" s="23">
        <v>1</v>
      </c>
      <c r="I277" s="4">
        <v>1</v>
      </c>
      <c r="J277" s="4">
        <v>11</v>
      </c>
      <c r="K277" s="4" t="s">
        <v>616</v>
      </c>
      <c r="L277" s="4" t="s">
        <v>13</v>
      </c>
      <c r="M277" s="4">
        <v>2024</v>
      </c>
      <c r="N277" s="4">
        <v>1</v>
      </c>
      <c r="O277" s="4">
        <v>1</v>
      </c>
    </row>
    <row r="278" spans="1:15">
      <c r="A278" s="4" t="s">
        <v>618</v>
      </c>
      <c r="B278" s="4" t="s">
        <v>629</v>
      </c>
      <c r="C278" s="9" t="s">
        <v>599</v>
      </c>
      <c r="F278" s="13">
        <v>1</v>
      </c>
      <c r="G278" s="23">
        <v>0</v>
      </c>
      <c r="I278" s="4">
        <v>2</v>
      </c>
      <c r="J278" s="4">
        <v>11</v>
      </c>
      <c r="K278" s="4" t="s">
        <v>616</v>
      </c>
      <c r="L278" s="4" t="s">
        <v>13</v>
      </c>
      <c r="M278" s="4">
        <v>2024</v>
      </c>
      <c r="N278" s="4">
        <v>1</v>
      </c>
      <c r="O278" s="4">
        <v>1</v>
      </c>
    </row>
    <row r="279" spans="1:15" ht="18">
      <c r="A279" s="4" t="s">
        <v>618</v>
      </c>
      <c r="B279" s="4" t="s">
        <v>630</v>
      </c>
      <c r="C279" s="27" t="s">
        <v>620</v>
      </c>
      <c r="F279" s="13">
        <v>1</v>
      </c>
      <c r="G279" s="23">
        <v>1</v>
      </c>
      <c r="I279" s="4">
        <v>3</v>
      </c>
      <c r="J279" s="4">
        <v>11</v>
      </c>
      <c r="K279" s="4" t="s">
        <v>616</v>
      </c>
      <c r="L279" s="4" t="s">
        <v>13</v>
      </c>
      <c r="M279" s="4">
        <v>2024</v>
      </c>
      <c r="N279" s="4">
        <v>1</v>
      </c>
      <c r="O279" s="4">
        <v>1</v>
      </c>
    </row>
    <row r="280" spans="1:15">
      <c r="A280" s="4" t="s">
        <v>618</v>
      </c>
      <c r="B280" s="4" t="s">
        <v>631</v>
      </c>
      <c r="C280" s="9" t="s">
        <v>621</v>
      </c>
      <c r="F280" s="13">
        <v>1</v>
      </c>
      <c r="G280" s="23">
        <v>1</v>
      </c>
      <c r="I280" s="4">
        <v>4</v>
      </c>
      <c r="J280" s="4">
        <v>11</v>
      </c>
      <c r="K280" s="4" t="s">
        <v>616</v>
      </c>
      <c r="L280" s="4" t="s">
        <v>13</v>
      </c>
      <c r="M280" s="4">
        <v>2024</v>
      </c>
      <c r="N280" s="4">
        <v>1</v>
      </c>
      <c r="O280" s="4">
        <v>1</v>
      </c>
    </row>
    <row r="281" spans="1:15">
      <c r="A281" s="4" t="s">
        <v>618</v>
      </c>
      <c r="B281" s="4" t="s">
        <v>632</v>
      </c>
      <c r="C281" s="9" t="s">
        <v>622</v>
      </c>
      <c r="F281" s="13">
        <v>1</v>
      </c>
      <c r="G281" s="23">
        <v>0</v>
      </c>
      <c r="I281" s="4">
        <v>5</v>
      </c>
      <c r="J281" s="4">
        <v>11</v>
      </c>
      <c r="K281" s="4" t="s">
        <v>616</v>
      </c>
      <c r="L281" s="4" t="s">
        <v>13</v>
      </c>
      <c r="M281" s="4">
        <v>2024</v>
      </c>
      <c r="N281" s="4">
        <v>1</v>
      </c>
      <c r="O281" s="4">
        <v>1</v>
      </c>
    </row>
    <row r="282" spans="1:15">
      <c r="A282" s="4" t="s">
        <v>618</v>
      </c>
      <c r="B282" s="4" t="s">
        <v>633</v>
      </c>
      <c r="C282" s="9" t="s">
        <v>623</v>
      </c>
      <c r="F282" s="13">
        <v>1</v>
      </c>
      <c r="G282" s="23">
        <v>1</v>
      </c>
      <c r="I282" s="4">
        <v>6</v>
      </c>
      <c r="J282" s="4">
        <v>11</v>
      </c>
      <c r="K282" s="4" t="s">
        <v>616</v>
      </c>
      <c r="L282" s="4" t="s">
        <v>13</v>
      </c>
      <c r="M282" s="4">
        <v>2024</v>
      </c>
      <c r="N282" s="4">
        <v>1</v>
      </c>
      <c r="O282" s="4">
        <v>1</v>
      </c>
    </row>
    <row r="283" spans="1:15">
      <c r="A283" s="4" t="s">
        <v>618</v>
      </c>
      <c r="B283" s="4" t="s">
        <v>634</v>
      </c>
      <c r="C283" s="9" t="s">
        <v>624</v>
      </c>
      <c r="F283" s="13">
        <v>0</v>
      </c>
      <c r="I283" s="4">
        <v>7</v>
      </c>
      <c r="J283" s="4">
        <v>11</v>
      </c>
      <c r="K283" s="4" t="s">
        <v>616</v>
      </c>
      <c r="L283" s="4" t="s">
        <v>13</v>
      </c>
      <c r="M283" s="4">
        <v>2024</v>
      </c>
      <c r="N283" s="4">
        <v>1</v>
      </c>
      <c r="O283" s="4">
        <v>1</v>
      </c>
    </row>
    <row r="284" spans="1:15">
      <c r="A284" s="4" t="s">
        <v>618</v>
      </c>
      <c r="B284" s="4" t="s">
        <v>635</v>
      </c>
      <c r="C284" s="9" t="s">
        <v>625</v>
      </c>
      <c r="F284" s="13">
        <v>0</v>
      </c>
      <c r="I284" s="4">
        <v>8</v>
      </c>
      <c r="J284" s="4">
        <v>11</v>
      </c>
      <c r="K284" s="4" t="s">
        <v>616</v>
      </c>
      <c r="L284" s="4" t="s">
        <v>13</v>
      </c>
      <c r="M284" s="4">
        <v>2024</v>
      </c>
      <c r="N284" s="4">
        <v>1</v>
      </c>
      <c r="O284" s="4">
        <v>1</v>
      </c>
    </row>
    <row r="285" spans="1:15">
      <c r="A285" s="4" t="s">
        <v>618</v>
      </c>
      <c r="B285" s="4" t="s">
        <v>636</v>
      </c>
      <c r="C285" s="9" t="s">
        <v>626</v>
      </c>
      <c r="F285" s="13">
        <v>0</v>
      </c>
      <c r="I285" s="4">
        <v>9</v>
      </c>
      <c r="J285" s="4">
        <v>11</v>
      </c>
      <c r="K285" s="4" t="s">
        <v>616</v>
      </c>
      <c r="L285" s="4" t="s">
        <v>13</v>
      </c>
      <c r="M285" s="4">
        <v>2024</v>
      </c>
      <c r="N285" s="4">
        <v>1</v>
      </c>
      <c r="O285" s="4">
        <v>1</v>
      </c>
    </row>
    <row r="286" spans="1:15">
      <c r="A286" s="4" t="s">
        <v>618</v>
      </c>
      <c r="B286" s="4" t="s">
        <v>637</v>
      </c>
      <c r="C286" s="9" t="s">
        <v>627</v>
      </c>
      <c r="F286" s="13">
        <v>0</v>
      </c>
      <c r="I286" s="4">
        <v>10</v>
      </c>
      <c r="J286" s="4">
        <v>11</v>
      </c>
      <c r="K286" s="4" t="s">
        <v>616</v>
      </c>
      <c r="L286" s="4" t="s">
        <v>13</v>
      </c>
      <c r="M286" s="4">
        <v>2024</v>
      </c>
      <c r="N286" s="4">
        <v>1</v>
      </c>
      <c r="O286" s="4">
        <v>1</v>
      </c>
    </row>
    <row r="287" spans="1:15">
      <c r="A287" s="4" t="s">
        <v>618</v>
      </c>
      <c r="B287" s="4" t="s">
        <v>638</v>
      </c>
      <c r="C287" s="9" t="s">
        <v>628</v>
      </c>
      <c r="F287" s="13">
        <v>0</v>
      </c>
      <c r="I287" s="4">
        <v>11</v>
      </c>
      <c r="J287" s="4">
        <v>11</v>
      </c>
      <c r="K287" s="4" t="s">
        <v>616</v>
      </c>
      <c r="L287" s="4" t="s">
        <v>13</v>
      </c>
      <c r="M287" s="4">
        <v>2024</v>
      </c>
      <c r="N287" s="4">
        <v>1</v>
      </c>
      <c r="O287" s="4">
        <v>1</v>
      </c>
    </row>
    <row r="288" spans="1:15">
      <c r="A288" s="4" t="s">
        <v>640</v>
      </c>
      <c r="B288" s="4" t="s">
        <v>639</v>
      </c>
      <c r="C288" s="9" t="s">
        <v>641</v>
      </c>
      <c r="F288" s="13">
        <v>1</v>
      </c>
      <c r="G288" s="23">
        <v>0</v>
      </c>
      <c r="I288" s="4">
        <v>1</v>
      </c>
      <c r="J288" s="4">
        <v>13</v>
      </c>
      <c r="K288" s="4" t="s">
        <v>616</v>
      </c>
      <c r="L288" s="4" t="s">
        <v>13</v>
      </c>
      <c r="M288" s="4">
        <v>2023</v>
      </c>
      <c r="N288" s="4">
        <v>1</v>
      </c>
      <c r="O288" s="4">
        <v>1</v>
      </c>
    </row>
    <row r="289" spans="1:15">
      <c r="A289" s="4" t="s">
        <v>640</v>
      </c>
      <c r="B289" s="4" t="s">
        <v>643</v>
      </c>
      <c r="C289" s="9" t="s">
        <v>642</v>
      </c>
      <c r="F289" s="13">
        <v>1</v>
      </c>
      <c r="G289" s="23">
        <v>0</v>
      </c>
      <c r="I289" s="4">
        <v>2</v>
      </c>
      <c r="J289" s="4">
        <v>13</v>
      </c>
      <c r="K289" s="4" t="s">
        <v>616</v>
      </c>
      <c r="L289" s="4" t="s">
        <v>13</v>
      </c>
      <c r="M289" s="4">
        <v>2023</v>
      </c>
      <c r="N289" s="4">
        <v>1</v>
      </c>
      <c r="O289" s="4">
        <v>1</v>
      </c>
    </row>
    <row r="290" spans="1:15">
      <c r="A290" s="4" t="s">
        <v>640</v>
      </c>
      <c r="B290" s="4" t="s">
        <v>646</v>
      </c>
      <c r="C290" s="25" t="s">
        <v>644</v>
      </c>
      <c r="F290" s="13">
        <v>0</v>
      </c>
      <c r="I290" s="4">
        <v>3</v>
      </c>
      <c r="J290" s="4">
        <v>13</v>
      </c>
      <c r="K290" s="4" t="s">
        <v>616</v>
      </c>
      <c r="L290" s="4" t="s">
        <v>13</v>
      </c>
      <c r="M290" s="4">
        <v>2023</v>
      </c>
      <c r="N290" s="4">
        <v>1</v>
      </c>
      <c r="O290" s="4">
        <v>1</v>
      </c>
    </row>
    <row r="291" spans="1:15">
      <c r="A291" s="4" t="s">
        <v>640</v>
      </c>
      <c r="B291" s="4" t="s">
        <v>647</v>
      </c>
      <c r="C291" s="9" t="s">
        <v>645</v>
      </c>
      <c r="F291" s="13">
        <v>0</v>
      </c>
      <c r="I291" s="4">
        <v>4</v>
      </c>
      <c r="J291" s="4">
        <v>13</v>
      </c>
      <c r="K291" s="4" t="s">
        <v>616</v>
      </c>
      <c r="L291" s="4" t="s">
        <v>13</v>
      </c>
      <c r="M291" s="4">
        <v>2023</v>
      </c>
      <c r="N291" s="4">
        <v>1</v>
      </c>
      <c r="O291" s="4">
        <v>1</v>
      </c>
    </row>
    <row r="292" spans="1:15">
      <c r="A292" s="4" t="s">
        <v>640</v>
      </c>
      <c r="B292" s="4" t="s">
        <v>657</v>
      </c>
      <c r="C292" s="9" t="s">
        <v>648</v>
      </c>
      <c r="F292" s="13">
        <v>1</v>
      </c>
      <c r="G292" s="23">
        <v>0</v>
      </c>
      <c r="I292" s="4">
        <v>5</v>
      </c>
      <c r="J292" s="4">
        <v>13</v>
      </c>
      <c r="K292" s="4" t="s">
        <v>616</v>
      </c>
      <c r="L292" s="4" t="s">
        <v>13</v>
      </c>
      <c r="M292" s="4">
        <v>2023</v>
      </c>
      <c r="N292" s="4">
        <v>1</v>
      </c>
      <c r="O292" s="4">
        <v>1</v>
      </c>
    </row>
    <row r="293" spans="1:15">
      <c r="A293" s="4" t="s">
        <v>640</v>
      </c>
      <c r="B293" s="4" t="s">
        <v>658</v>
      </c>
      <c r="C293" s="9" t="s">
        <v>649</v>
      </c>
      <c r="F293" s="13">
        <v>1</v>
      </c>
      <c r="G293" s="23">
        <v>1</v>
      </c>
      <c r="I293" s="4">
        <v>6</v>
      </c>
      <c r="J293" s="4">
        <v>13</v>
      </c>
      <c r="K293" s="4" t="s">
        <v>616</v>
      </c>
      <c r="L293" s="4" t="s">
        <v>13</v>
      </c>
      <c r="M293" s="4">
        <v>2023</v>
      </c>
      <c r="N293" s="4">
        <v>1</v>
      </c>
      <c r="O293" s="4">
        <v>1</v>
      </c>
    </row>
    <row r="294" spans="1:15">
      <c r="A294" s="4" t="s">
        <v>640</v>
      </c>
      <c r="B294" s="4" t="s">
        <v>659</v>
      </c>
      <c r="C294" s="9" t="s">
        <v>650</v>
      </c>
      <c r="F294" s="13">
        <v>0</v>
      </c>
      <c r="I294" s="4">
        <v>7</v>
      </c>
      <c r="J294" s="4">
        <v>13</v>
      </c>
      <c r="K294" s="4" t="s">
        <v>616</v>
      </c>
      <c r="L294" s="4" t="s">
        <v>13</v>
      </c>
      <c r="M294" s="4">
        <v>2023</v>
      </c>
      <c r="N294" s="4">
        <v>1</v>
      </c>
      <c r="O294" s="4">
        <v>1</v>
      </c>
    </row>
    <row r="295" spans="1:15">
      <c r="A295" s="4" t="s">
        <v>640</v>
      </c>
      <c r="B295" s="4" t="s">
        <v>660</v>
      </c>
      <c r="C295" s="9" t="s">
        <v>651</v>
      </c>
      <c r="F295" s="13">
        <v>1</v>
      </c>
      <c r="G295" s="23">
        <v>0</v>
      </c>
      <c r="I295" s="4">
        <v>8</v>
      </c>
      <c r="J295" s="4">
        <v>13</v>
      </c>
      <c r="K295" s="4" t="s">
        <v>616</v>
      </c>
      <c r="L295" s="4" t="s">
        <v>13</v>
      </c>
      <c r="M295" s="4">
        <v>2023</v>
      </c>
      <c r="N295" s="4">
        <v>1</v>
      </c>
      <c r="O295" s="4">
        <v>1</v>
      </c>
    </row>
    <row r="296" spans="1:15">
      <c r="A296" s="4" t="s">
        <v>640</v>
      </c>
      <c r="B296" s="4" t="s">
        <v>661</v>
      </c>
      <c r="C296" s="9" t="s">
        <v>652</v>
      </c>
      <c r="F296" s="13">
        <v>1</v>
      </c>
      <c r="G296" s="23">
        <v>0</v>
      </c>
      <c r="I296" s="4">
        <v>9</v>
      </c>
      <c r="J296" s="4">
        <v>13</v>
      </c>
      <c r="K296" s="4" t="s">
        <v>616</v>
      </c>
      <c r="L296" s="4" t="s">
        <v>13</v>
      </c>
      <c r="M296" s="4">
        <v>2023</v>
      </c>
      <c r="N296" s="4">
        <v>1</v>
      </c>
      <c r="O296" s="4">
        <v>1</v>
      </c>
    </row>
    <row r="297" spans="1:15">
      <c r="A297" s="4" t="s">
        <v>640</v>
      </c>
      <c r="B297" s="4" t="s">
        <v>662</v>
      </c>
      <c r="C297" s="9" t="s">
        <v>653</v>
      </c>
      <c r="F297" s="13">
        <v>0</v>
      </c>
      <c r="I297" s="4">
        <v>10</v>
      </c>
      <c r="J297" s="4">
        <v>13</v>
      </c>
      <c r="K297" s="4" t="s">
        <v>616</v>
      </c>
      <c r="L297" s="4" t="s">
        <v>13</v>
      </c>
      <c r="M297" s="4">
        <v>2023</v>
      </c>
      <c r="N297" s="4">
        <v>1</v>
      </c>
      <c r="O297" s="4">
        <v>1</v>
      </c>
    </row>
    <row r="298" spans="1:15">
      <c r="A298" s="4" t="s">
        <v>640</v>
      </c>
      <c r="B298" s="4" t="s">
        <v>663</v>
      </c>
      <c r="C298" s="9" t="s">
        <v>654</v>
      </c>
      <c r="F298" s="13">
        <v>0</v>
      </c>
      <c r="I298" s="4">
        <v>11</v>
      </c>
      <c r="J298" s="4">
        <v>13</v>
      </c>
      <c r="K298" s="4" t="s">
        <v>616</v>
      </c>
      <c r="L298" s="4" t="s">
        <v>13</v>
      </c>
      <c r="M298" s="4">
        <v>2023</v>
      </c>
      <c r="N298" s="4">
        <v>1</v>
      </c>
      <c r="O298" s="4">
        <v>1</v>
      </c>
    </row>
    <row r="299" spans="1:15">
      <c r="A299" s="4" t="s">
        <v>640</v>
      </c>
      <c r="B299" s="4" t="s">
        <v>664</v>
      </c>
      <c r="C299" s="9" t="s">
        <v>655</v>
      </c>
      <c r="F299" s="13">
        <v>0</v>
      </c>
      <c r="I299" s="4">
        <v>12</v>
      </c>
      <c r="J299" s="4">
        <v>13</v>
      </c>
      <c r="K299" s="4" t="s">
        <v>616</v>
      </c>
      <c r="L299" s="4" t="s">
        <v>13</v>
      </c>
      <c r="M299" s="4">
        <v>2023</v>
      </c>
      <c r="N299" s="4">
        <v>1</v>
      </c>
      <c r="O299" s="4">
        <v>1</v>
      </c>
    </row>
    <row r="300" spans="1:15">
      <c r="A300" s="4" t="s">
        <v>640</v>
      </c>
      <c r="B300" s="4" t="s">
        <v>665</v>
      </c>
      <c r="C300" s="9" t="s">
        <v>656</v>
      </c>
      <c r="F300" s="13">
        <v>0</v>
      </c>
      <c r="I300" s="4">
        <v>13</v>
      </c>
      <c r="J300" s="4">
        <v>13</v>
      </c>
      <c r="K300" s="4" t="s">
        <v>616</v>
      </c>
      <c r="L300" s="4" t="s">
        <v>13</v>
      </c>
      <c r="M300" s="4">
        <v>2023</v>
      </c>
      <c r="N300" s="4">
        <v>1</v>
      </c>
      <c r="O300" s="4">
        <v>1</v>
      </c>
    </row>
    <row r="301" spans="1:15" ht="18">
      <c r="A301" s="4" t="s">
        <v>667</v>
      </c>
      <c r="B301" s="4" t="s">
        <v>666</v>
      </c>
      <c r="C301" s="26" t="s">
        <v>668</v>
      </c>
      <c r="F301" s="13">
        <v>0</v>
      </c>
      <c r="I301" s="4">
        <v>1</v>
      </c>
      <c r="J301" s="4">
        <v>7</v>
      </c>
      <c r="K301" s="4" t="s">
        <v>616</v>
      </c>
      <c r="L301" s="4" t="s">
        <v>13</v>
      </c>
      <c r="M301" s="4">
        <v>2022</v>
      </c>
      <c r="N301" s="4">
        <v>1</v>
      </c>
      <c r="O301" s="4">
        <v>1</v>
      </c>
    </row>
    <row r="302" spans="1:15">
      <c r="A302" s="4" t="s">
        <v>667</v>
      </c>
      <c r="B302" s="4" t="s">
        <v>675</v>
      </c>
      <c r="C302" s="9" t="s">
        <v>669</v>
      </c>
      <c r="F302" s="13">
        <v>1</v>
      </c>
      <c r="G302" s="23">
        <v>0</v>
      </c>
      <c r="I302" s="4">
        <v>2</v>
      </c>
      <c r="J302" s="4">
        <v>7</v>
      </c>
      <c r="K302" s="4" t="s">
        <v>616</v>
      </c>
      <c r="L302" s="4" t="s">
        <v>13</v>
      </c>
      <c r="M302" s="4">
        <v>2022</v>
      </c>
      <c r="N302" s="4">
        <v>1</v>
      </c>
      <c r="O302" s="4">
        <v>1</v>
      </c>
    </row>
    <row r="303" spans="1:15" ht="18">
      <c r="A303" s="4" t="s">
        <v>667</v>
      </c>
      <c r="B303" s="4" t="s">
        <v>676</v>
      </c>
      <c r="C303" s="26" t="s">
        <v>670</v>
      </c>
      <c r="F303" s="13">
        <v>0</v>
      </c>
      <c r="I303" s="4">
        <v>3</v>
      </c>
      <c r="J303" s="4">
        <v>7</v>
      </c>
      <c r="K303" s="4" t="s">
        <v>616</v>
      </c>
      <c r="L303" s="4" t="s">
        <v>13</v>
      </c>
      <c r="M303" s="4">
        <v>2022</v>
      </c>
      <c r="N303" s="4">
        <v>1</v>
      </c>
      <c r="O303" s="4">
        <v>1</v>
      </c>
    </row>
    <row r="304" spans="1:15" ht="18">
      <c r="A304" s="4" t="s">
        <v>667</v>
      </c>
      <c r="B304" s="4" t="s">
        <v>677</v>
      </c>
      <c r="C304" s="26" t="s">
        <v>671</v>
      </c>
      <c r="F304" s="13">
        <v>0</v>
      </c>
      <c r="I304" s="4">
        <v>4</v>
      </c>
      <c r="J304" s="4">
        <v>7</v>
      </c>
      <c r="K304" s="4" t="s">
        <v>616</v>
      </c>
      <c r="L304" s="4" t="s">
        <v>13</v>
      </c>
      <c r="M304" s="4">
        <v>2022</v>
      </c>
      <c r="N304" s="4">
        <v>1</v>
      </c>
      <c r="O304" s="4">
        <v>1</v>
      </c>
    </row>
    <row r="305" spans="1:15" ht="18">
      <c r="A305" s="4" t="s">
        <v>667</v>
      </c>
      <c r="B305" s="4" t="s">
        <v>678</v>
      </c>
      <c r="C305" s="26" t="s">
        <v>672</v>
      </c>
      <c r="F305" s="13">
        <v>0</v>
      </c>
      <c r="I305" s="4">
        <v>5</v>
      </c>
      <c r="J305" s="4">
        <v>7</v>
      </c>
      <c r="K305" s="4" t="s">
        <v>616</v>
      </c>
      <c r="L305" s="4" t="s">
        <v>13</v>
      </c>
      <c r="M305" s="4">
        <v>2022</v>
      </c>
      <c r="N305" s="4">
        <v>1</v>
      </c>
      <c r="O305" s="4">
        <v>1</v>
      </c>
    </row>
    <row r="306" spans="1:15" ht="18">
      <c r="A306" s="4" t="s">
        <v>667</v>
      </c>
      <c r="B306" s="4" t="s">
        <v>679</v>
      </c>
      <c r="C306" s="26" t="s">
        <v>673</v>
      </c>
      <c r="F306" s="13">
        <v>0</v>
      </c>
      <c r="I306" s="4">
        <v>6</v>
      </c>
      <c r="J306" s="4">
        <v>7</v>
      </c>
      <c r="K306" s="4" t="s">
        <v>616</v>
      </c>
      <c r="L306" s="4" t="s">
        <v>13</v>
      </c>
      <c r="M306" s="4">
        <v>2022</v>
      </c>
      <c r="N306" s="4">
        <v>1</v>
      </c>
      <c r="O306" s="4">
        <v>1</v>
      </c>
    </row>
    <row r="307" spans="1:15" ht="18">
      <c r="A307" s="4" t="s">
        <v>667</v>
      </c>
      <c r="B307" s="4" t="s">
        <v>680</v>
      </c>
      <c r="C307" s="26" t="s">
        <v>674</v>
      </c>
      <c r="F307" s="13">
        <v>0</v>
      </c>
      <c r="I307" s="4">
        <v>7</v>
      </c>
      <c r="J307" s="4">
        <v>7</v>
      </c>
      <c r="K307" s="4" t="s">
        <v>616</v>
      </c>
      <c r="L307" s="4" t="s">
        <v>13</v>
      </c>
      <c r="M307" s="4">
        <v>2022</v>
      </c>
      <c r="N307" s="4">
        <v>1</v>
      </c>
      <c r="O307" s="4">
        <v>1</v>
      </c>
    </row>
    <row r="308" spans="1:15" ht="18">
      <c r="A308" s="4" t="s">
        <v>700</v>
      </c>
      <c r="B308" s="4" t="s">
        <v>681</v>
      </c>
      <c r="C308" s="26" t="s">
        <v>682</v>
      </c>
      <c r="F308" s="13">
        <v>0</v>
      </c>
      <c r="I308" s="4">
        <v>1</v>
      </c>
      <c r="J308" s="4">
        <v>10</v>
      </c>
      <c r="K308" s="4" t="s">
        <v>616</v>
      </c>
      <c r="L308" s="4" t="s">
        <v>13</v>
      </c>
      <c r="M308" s="4">
        <v>2021</v>
      </c>
      <c r="N308" s="4">
        <v>1</v>
      </c>
      <c r="O308" s="4">
        <v>1</v>
      </c>
    </row>
    <row r="309" spans="1:15" ht="18">
      <c r="A309" s="4" t="s">
        <v>700</v>
      </c>
      <c r="B309" s="4" t="s">
        <v>691</v>
      </c>
      <c r="C309" s="26" t="s">
        <v>683</v>
      </c>
      <c r="F309" s="13">
        <v>0</v>
      </c>
      <c r="I309" s="4">
        <v>2</v>
      </c>
      <c r="J309" s="4">
        <v>10</v>
      </c>
      <c r="K309" s="4" t="s">
        <v>616</v>
      </c>
      <c r="L309" s="4" t="s">
        <v>13</v>
      </c>
      <c r="M309" s="4">
        <v>2021</v>
      </c>
      <c r="N309" s="4">
        <v>1</v>
      </c>
      <c r="O309" s="4">
        <v>1</v>
      </c>
    </row>
    <row r="310" spans="1:15" ht="18">
      <c r="A310" s="4" t="s">
        <v>700</v>
      </c>
      <c r="B310" s="4" t="s">
        <v>692</v>
      </c>
      <c r="C310" s="26" t="s">
        <v>684</v>
      </c>
      <c r="F310" s="13">
        <v>0</v>
      </c>
      <c r="I310" s="4">
        <v>3</v>
      </c>
      <c r="J310" s="4">
        <v>10</v>
      </c>
      <c r="K310" s="4" t="s">
        <v>616</v>
      </c>
      <c r="L310" s="4" t="s">
        <v>13</v>
      </c>
      <c r="M310" s="4">
        <v>2021</v>
      </c>
      <c r="N310" s="4">
        <v>1</v>
      </c>
      <c r="O310" s="4">
        <v>1</v>
      </c>
    </row>
    <row r="311" spans="1:15" ht="18">
      <c r="A311" s="4" t="s">
        <v>700</v>
      </c>
      <c r="B311" s="4" t="s">
        <v>693</v>
      </c>
      <c r="C311" s="26" t="s">
        <v>685</v>
      </c>
      <c r="F311" s="13">
        <v>1</v>
      </c>
      <c r="G311" s="23">
        <v>1</v>
      </c>
      <c r="I311" s="4">
        <v>4</v>
      </c>
      <c r="J311" s="4">
        <v>10</v>
      </c>
      <c r="K311" s="4" t="s">
        <v>616</v>
      </c>
      <c r="L311" s="4" t="s">
        <v>13</v>
      </c>
      <c r="M311" s="4">
        <v>2021</v>
      </c>
      <c r="N311" s="4">
        <v>1</v>
      </c>
      <c r="O311" s="4">
        <v>1</v>
      </c>
    </row>
    <row r="312" spans="1:15" ht="18">
      <c r="A312" s="4" t="s">
        <v>700</v>
      </c>
      <c r="B312" s="4" t="s">
        <v>694</v>
      </c>
      <c r="C312" s="26" t="s">
        <v>686</v>
      </c>
      <c r="F312" s="13">
        <v>0</v>
      </c>
      <c r="I312" s="4">
        <v>5</v>
      </c>
      <c r="J312" s="4">
        <v>10</v>
      </c>
      <c r="K312" s="4" t="s">
        <v>616</v>
      </c>
      <c r="L312" s="4" t="s">
        <v>13</v>
      </c>
      <c r="M312" s="4">
        <v>2021</v>
      </c>
      <c r="N312" s="4">
        <v>1</v>
      </c>
      <c r="O312" s="4">
        <v>1</v>
      </c>
    </row>
    <row r="313" spans="1:15">
      <c r="A313" s="4" t="s">
        <v>700</v>
      </c>
      <c r="B313" s="4" t="s">
        <v>695</v>
      </c>
      <c r="C313" s="25" t="s">
        <v>687</v>
      </c>
      <c r="F313" s="13">
        <v>1</v>
      </c>
      <c r="G313" s="23">
        <v>0</v>
      </c>
      <c r="I313" s="4">
        <v>6</v>
      </c>
      <c r="J313" s="4">
        <v>10</v>
      </c>
      <c r="K313" s="4" t="s">
        <v>616</v>
      </c>
      <c r="L313" s="4" t="s">
        <v>13</v>
      </c>
      <c r="M313" s="4">
        <v>2021</v>
      </c>
      <c r="N313" s="4">
        <v>1</v>
      </c>
      <c r="O313" s="4">
        <v>1</v>
      </c>
    </row>
    <row r="314" spans="1:15" ht="18">
      <c r="A314" s="4" t="s">
        <v>700</v>
      </c>
      <c r="B314" s="4" t="s">
        <v>696</v>
      </c>
      <c r="C314" s="26" t="s">
        <v>671</v>
      </c>
      <c r="F314" s="13">
        <v>0</v>
      </c>
      <c r="I314" s="4">
        <v>7</v>
      </c>
      <c r="J314" s="4">
        <v>10</v>
      </c>
      <c r="K314" s="4" t="s">
        <v>616</v>
      </c>
      <c r="L314" s="4" t="s">
        <v>13</v>
      </c>
      <c r="M314" s="4">
        <v>2021</v>
      </c>
      <c r="N314" s="4">
        <v>1</v>
      </c>
      <c r="O314" s="4">
        <v>1</v>
      </c>
    </row>
    <row r="315" spans="1:15" ht="18">
      <c r="A315" s="4" t="s">
        <v>700</v>
      </c>
      <c r="B315" s="4" t="s">
        <v>697</v>
      </c>
      <c r="C315" s="26" t="s">
        <v>688</v>
      </c>
      <c r="F315" s="13">
        <v>0</v>
      </c>
      <c r="I315" s="4">
        <v>8</v>
      </c>
      <c r="J315" s="4">
        <v>10</v>
      </c>
      <c r="K315" s="4" t="s">
        <v>616</v>
      </c>
      <c r="L315" s="4" t="s">
        <v>13</v>
      </c>
      <c r="M315" s="4">
        <v>2021</v>
      </c>
      <c r="N315" s="4">
        <v>1</v>
      </c>
      <c r="O315" s="4">
        <v>1</v>
      </c>
    </row>
    <row r="316" spans="1:15" ht="18">
      <c r="A316" s="4" t="s">
        <v>700</v>
      </c>
      <c r="B316" s="4" t="s">
        <v>698</v>
      </c>
      <c r="C316" s="26" t="s">
        <v>689</v>
      </c>
      <c r="F316" s="13">
        <v>0</v>
      </c>
      <c r="I316" s="4">
        <v>9</v>
      </c>
      <c r="J316" s="4">
        <v>10</v>
      </c>
      <c r="K316" s="4" t="s">
        <v>616</v>
      </c>
      <c r="L316" s="4" t="s">
        <v>13</v>
      </c>
      <c r="M316" s="4">
        <v>2021</v>
      </c>
      <c r="N316" s="4">
        <v>1</v>
      </c>
      <c r="O316" s="4">
        <v>1</v>
      </c>
    </row>
    <row r="317" spans="1:15" ht="18">
      <c r="A317" s="4" t="s">
        <v>700</v>
      </c>
      <c r="B317" s="4" t="s">
        <v>699</v>
      </c>
      <c r="C317" s="26" t="s">
        <v>690</v>
      </c>
      <c r="F317" s="13">
        <v>0</v>
      </c>
      <c r="I317" s="4">
        <v>10</v>
      </c>
      <c r="J317" s="4">
        <v>10</v>
      </c>
      <c r="K317" s="4" t="s">
        <v>616</v>
      </c>
      <c r="L317" s="4" t="s">
        <v>13</v>
      </c>
      <c r="M317" s="4">
        <v>2021</v>
      </c>
      <c r="N317" s="4">
        <v>1</v>
      </c>
      <c r="O317" s="4">
        <v>1</v>
      </c>
    </row>
    <row r="318" spans="1:15" ht="18">
      <c r="A318" s="4" t="s">
        <v>702</v>
      </c>
      <c r="B318" s="4" t="s">
        <v>701</v>
      </c>
      <c r="C318" s="26" t="s">
        <v>704</v>
      </c>
      <c r="F318" s="13">
        <v>0</v>
      </c>
      <c r="I318" s="4">
        <v>1</v>
      </c>
      <c r="J318" s="4">
        <v>17</v>
      </c>
      <c r="K318" s="4" t="s">
        <v>616</v>
      </c>
      <c r="L318" s="4" t="s">
        <v>13</v>
      </c>
      <c r="M318" s="4">
        <v>2019</v>
      </c>
      <c r="N318" s="4">
        <v>1</v>
      </c>
      <c r="O318" s="4">
        <v>1</v>
      </c>
    </row>
    <row r="319" spans="1:15" ht="18">
      <c r="A319" s="4" t="s">
        <v>702</v>
      </c>
      <c r="B319" s="4" t="s">
        <v>703</v>
      </c>
      <c r="C319" s="26" t="s">
        <v>705</v>
      </c>
      <c r="F319" s="13">
        <v>0</v>
      </c>
      <c r="I319" s="4">
        <v>2</v>
      </c>
      <c r="J319" s="4">
        <v>17</v>
      </c>
      <c r="K319" s="4" t="s">
        <v>616</v>
      </c>
      <c r="L319" s="4" t="s">
        <v>13</v>
      </c>
      <c r="M319" s="4">
        <v>2019</v>
      </c>
      <c r="N319" s="4">
        <v>1</v>
      </c>
      <c r="O319" s="4">
        <v>1</v>
      </c>
    </row>
    <row r="320" spans="1:15" ht="18">
      <c r="A320" s="4" t="s">
        <v>702</v>
      </c>
      <c r="B320" s="4" t="s">
        <v>720</v>
      </c>
      <c r="C320" s="26" t="s">
        <v>706</v>
      </c>
      <c r="F320" s="13">
        <v>0</v>
      </c>
      <c r="I320" s="4">
        <v>3</v>
      </c>
      <c r="J320" s="4">
        <v>17</v>
      </c>
      <c r="K320" s="4" t="s">
        <v>616</v>
      </c>
      <c r="L320" s="4" t="s">
        <v>13</v>
      </c>
      <c r="M320" s="4">
        <v>2019</v>
      </c>
      <c r="N320" s="4">
        <v>1</v>
      </c>
      <c r="O320" s="4">
        <v>1</v>
      </c>
    </row>
    <row r="321" spans="1:15" ht="18">
      <c r="A321" s="4" t="s">
        <v>702</v>
      </c>
      <c r="B321" s="4" t="s">
        <v>721</v>
      </c>
      <c r="C321" s="26" t="s">
        <v>707</v>
      </c>
      <c r="F321" s="13">
        <v>0</v>
      </c>
      <c r="I321" s="4">
        <v>4</v>
      </c>
      <c r="J321" s="4">
        <v>17</v>
      </c>
      <c r="K321" s="4" t="s">
        <v>616</v>
      </c>
      <c r="L321" s="4" t="s">
        <v>13</v>
      </c>
      <c r="M321" s="4">
        <v>2019</v>
      </c>
      <c r="N321" s="4">
        <v>1</v>
      </c>
      <c r="O321" s="4">
        <v>1</v>
      </c>
    </row>
    <row r="322" spans="1:15" ht="18">
      <c r="A322" s="4" t="s">
        <v>702</v>
      </c>
      <c r="B322" s="4" t="s">
        <v>722</v>
      </c>
      <c r="C322" s="27" t="s">
        <v>708</v>
      </c>
      <c r="F322" s="13">
        <v>0</v>
      </c>
      <c r="I322" s="4">
        <v>5</v>
      </c>
      <c r="J322" s="4">
        <v>17</v>
      </c>
      <c r="K322" s="4" t="s">
        <v>616</v>
      </c>
      <c r="L322" s="4" t="s">
        <v>13</v>
      </c>
      <c r="M322" s="4">
        <v>2019</v>
      </c>
      <c r="N322" s="4">
        <v>1</v>
      </c>
      <c r="O322" s="4">
        <v>1</v>
      </c>
    </row>
    <row r="323" spans="1:15" ht="18">
      <c r="A323" s="4" t="s">
        <v>702</v>
      </c>
      <c r="B323" s="4" t="s">
        <v>723</v>
      </c>
      <c r="C323" s="27" t="s">
        <v>709</v>
      </c>
      <c r="F323" s="13">
        <v>0</v>
      </c>
      <c r="I323" s="4">
        <v>6</v>
      </c>
      <c r="J323" s="4">
        <v>17</v>
      </c>
      <c r="K323" s="4" t="s">
        <v>616</v>
      </c>
      <c r="L323" s="4" t="s">
        <v>13</v>
      </c>
      <c r="M323" s="4">
        <v>2019</v>
      </c>
      <c r="N323" s="4">
        <v>1</v>
      </c>
      <c r="O323" s="4">
        <v>1</v>
      </c>
    </row>
    <row r="324" spans="1:15" ht="18">
      <c r="A324" s="4" t="s">
        <v>702</v>
      </c>
      <c r="B324" s="4" t="s">
        <v>724</v>
      </c>
      <c r="C324" s="26" t="s">
        <v>710</v>
      </c>
      <c r="F324" s="13">
        <v>0</v>
      </c>
      <c r="I324" s="4">
        <v>7</v>
      </c>
      <c r="J324" s="4">
        <v>17</v>
      </c>
      <c r="K324" s="4" t="s">
        <v>616</v>
      </c>
      <c r="L324" s="4" t="s">
        <v>13</v>
      </c>
      <c r="M324" s="4">
        <v>2019</v>
      </c>
      <c r="N324" s="4">
        <v>1</v>
      </c>
      <c r="O324" s="4">
        <v>1</v>
      </c>
    </row>
    <row r="325" spans="1:15" ht="18">
      <c r="A325" s="4" t="s">
        <v>702</v>
      </c>
      <c r="B325" s="4" t="s">
        <v>725</v>
      </c>
      <c r="C325" s="26" t="s">
        <v>711</v>
      </c>
      <c r="F325" s="13">
        <v>1</v>
      </c>
      <c r="G325" s="23">
        <v>0</v>
      </c>
      <c r="I325" s="4">
        <v>8</v>
      </c>
      <c r="J325" s="4">
        <v>17</v>
      </c>
      <c r="K325" s="4" t="s">
        <v>616</v>
      </c>
      <c r="L325" s="4" t="s">
        <v>13</v>
      </c>
      <c r="M325" s="4">
        <v>2019</v>
      </c>
      <c r="N325" s="4">
        <v>1</v>
      </c>
      <c r="O325" s="4">
        <v>1</v>
      </c>
    </row>
    <row r="326" spans="1:15" ht="18">
      <c r="A326" s="4" t="s">
        <v>702</v>
      </c>
      <c r="B326" s="4" t="s">
        <v>726</v>
      </c>
      <c r="C326" s="26" t="s">
        <v>706</v>
      </c>
      <c r="F326" s="13">
        <v>0</v>
      </c>
      <c r="I326" s="4">
        <v>9</v>
      </c>
      <c r="J326" s="4">
        <v>17</v>
      </c>
      <c r="K326" s="4" t="s">
        <v>616</v>
      </c>
      <c r="L326" s="4" t="s">
        <v>13</v>
      </c>
      <c r="M326" s="4">
        <v>2019</v>
      </c>
      <c r="N326" s="4">
        <v>1</v>
      </c>
      <c r="O326" s="4">
        <v>1</v>
      </c>
    </row>
    <row r="327" spans="1:15">
      <c r="A327" s="4" t="s">
        <v>702</v>
      </c>
      <c r="B327" s="4" t="s">
        <v>727</v>
      </c>
      <c r="C327" s="24" t="s">
        <v>712</v>
      </c>
      <c r="F327" s="13">
        <v>0</v>
      </c>
      <c r="I327" s="4">
        <v>10</v>
      </c>
      <c r="J327" s="4">
        <v>17</v>
      </c>
      <c r="K327" s="4" t="s">
        <v>616</v>
      </c>
      <c r="L327" s="4" t="s">
        <v>13</v>
      </c>
      <c r="M327" s="4">
        <v>2019</v>
      </c>
      <c r="N327" s="4">
        <v>1</v>
      </c>
      <c r="O327" s="4">
        <v>1</v>
      </c>
    </row>
    <row r="328" spans="1:15" ht="18">
      <c r="A328" s="4" t="s">
        <v>702</v>
      </c>
      <c r="B328" s="4" t="s">
        <v>728</v>
      </c>
      <c r="C328" s="26" t="s">
        <v>713</v>
      </c>
      <c r="F328" s="13">
        <v>0</v>
      </c>
      <c r="I328" s="4">
        <v>11</v>
      </c>
      <c r="J328" s="4">
        <v>17</v>
      </c>
      <c r="K328" s="4" t="s">
        <v>616</v>
      </c>
      <c r="L328" s="4" t="s">
        <v>13</v>
      </c>
      <c r="M328" s="4">
        <v>2019</v>
      </c>
      <c r="N328" s="4">
        <v>1</v>
      </c>
      <c r="O328" s="4">
        <v>1</v>
      </c>
    </row>
    <row r="329" spans="1:15" ht="18">
      <c r="A329" s="4" t="s">
        <v>702</v>
      </c>
      <c r="B329" s="4" t="s">
        <v>729</v>
      </c>
      <c r="C329" s="26" t="s">
        <v>714</v>
      </c>
      <c r="F329" s="13">
        <v>0</v>
      </c>
      <c r="I329" s="4">
        <v>12</v>
      </c>
      <c r="J329" s="4">
        <v>17</v>
      </c>
      <c r="K329" s="4" t="s">
        <v>616</v>
      </c>
      <c r="L329" s="4" t="s">
        <v>13</v>
      </c>
      <c r="M329" s="4">
        <v>2019</v>
      </c>
      <c r="N329" s="4">
        <v>1</v>
      </c>
      <c r="O329" s="4">
        <v>1</v>
      </c>
    </row>
    <row r="330" spans="1:15" ht="18">
      <c r="A330" s="4" t="s">
        <v>702</v>
      </c>
      <c r="B330" s="4" t="s">
        <v>730</v>
      </c>
      <c r="C330" s="26" t="s">
        <v>715</v>
      </c>
      <c r="F330" s="13">
        <v>0</v>
      </c>
      <c r="I330" s="4">
        <v>13</v>
      </c>
      <c r="J330" s="4">
        <v>17</v>
      </c>
      <c r="K330" s="4" t="s">
        <v>616</v>
      </c>
      <c r="L330" s="4" t="s">
        <v>13</v>
      </c>
      <c r="M330" s="4">
        <v>2019</v>
      </c>
      <c r="N330" s="4">
        <v>1</v>
      </c>
      <c r="O330" s="4">
        <v>1</v>
      </c>
    </row>
    <row r="331" spans="1:15" ht="18">
      <c r="A331" s="4" t="s">
        <v>702</v>
      </c>
      <c r="B331" s="4" t="s">
        <v>731</v>
      </c>
      <c r="C331" s="26" t="s">
        <v>716</v>
      </c>
      <c r="F331" s="13">
        <v>1</v>
      </c>
      <c r="G331" s="23">
        <v>0</v>
      </c>
      <c r="I331" s="4">
        <v>14</v>
      </c>
      <c r="J331" s="4">
        <v>17</v>
      </c>
      <c r="K331" s="4" t="s">
        <v>616</v>
      </c>
      <c r="L331" s="4" t="s">
        <v>13</v>
      </c>
      <c r="M331" s="4">
        <v>2019</v>
      </c>
      <c r="N331" s="4">
        <v>1</v>
      </c>
      <c r="O331" s="4">
        <v>1</v>
      </c>
    </row>
    <row r="332" spans="1:15" ht="18">
      <c r="A332" s="4" t="s">
        <v>702</v>
      </c>
      <c r="B332" s="4" t="s">
        <v>732</v>
      </c>
      <c r="C332" s="26" t="s">
        <v>717</v>
      </c>
      <c r="F332" s="13">
        <v>1</v>
      </c>
      <c r="G332" s="23">
        <v>0</v>
      </c>
      <c r="I332" s="4">
        <v>15</v>
      </c>
      <c r="J332" s="4">
        <v>17</v>
      </c>
      <c r="K332" s="4" t="s">
        <v>616</v>
      </c>
      <c r="L332" s="4" t="s">
        <v>13</v>
      </c>
      <c r="M332" s="4">
        <v>2019</v>
      </c>
      <c r="N332" s="4">
        <v>1</v>
      </c>
      <c r="O332" s="4">
        <v>1</v>
      </c>
    </row>
    <row r="333" spans="1:15" ht="18">
      <c r="A333" s="4" t="s">
        <v>702</v>
      </c>
      <c r="B333" s="4" t="s">
        <v>733</v>
      </c>
      <c r="C333" s="26" t="s">
        <v>718</v>
      </c>
      <c r="F333" s="13">
        <v>0</v>
      </c>
      <c r="I333" s="4">
        <v>16</v>
      </c>
      <c r="J333" s="4">
        <v>17</v>
      </c>
      <c r="K333" s="4" t="s">
        <v>616</v>
      </c>
      <c r="L333" s="4" t="s">
        <v>13</v>
      </c>
      <c r="M333" s="4">
        <v>2019</v>
      </c>
      <c r="N333" s="4">
        <v>1</v>
      </c>
      <c r="O333" s="4">
        <v>1</v>
      </c>
    </row>
    <row r="334" spans="1:15">
      <c r="A334" s="4" t="s">
        <v>702</v>
      </c>
      <c r="B334" s="4" t="s">
        <v>734</v>
      </c>
      <c r="C334" s="24" t="s">
        <v>719</v>
      </c>
      <c r="F334" s="13">
        <v>0</v>
      </c>
      <c r="I334" s="4">
        <v>17</v>
      </c>
      <c r="J334" s="4">
        <v>17</v>
      </c>
      <c r="K334" s="4" t="s">
        <v>616</v>
      </c>
      <c r="L334" s="4" t="s">
        <v>13</v>
      </c>
      <c r="M334" s="4">
        <v>2019</v>
      </c>
      <c r="N334" s="4">
        <v>1</v>
      </c>
      <c r="O334" s="4">
        <v>1</v>
      </c>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8"/>
  <sheetViews>
    <sheetView topLeftCell="A3" zoomScale="120" zoomScaleNormal="120" workbookViewId="0">
      <selection activeCell="H19" sqref="H19"/>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36</v>
      </c>
      <c r="B8">
        <f>COUNTIF(Sheet1!D:D," ")</f>
        <v>0</v>
      </c>
      <c r="C8">
        <f>COUNTIF(Sheet1!D:D,"1")</f>
        <v>173</v>
      </c>
      <c r="D8">
        <f>SUM(A8:C8)</f>
        <v>209</v>
      </c>
    </row>
    <row r="10" spans="1:4">
      <c r="A10" s="17" t="s">
        <v>396</v>
      </c>
    </row>
    <row r="11" spans="1:4">
      <c r="A11" s="1">
        <v>0</v>
      </c>
      <c r="C11" s="1">
        <v>1</v>
      </c>
    </row>
    <row r="12" spans="1:4">
      <c r="A12">
        <f>COUNTIF(Sheet1!D:D,"0")</f>
        <v>36</v>
      </c>
      <c r="C12">
        <f>COUNTIF(Sheet1!D:D,"1")</f>
        <v>173</v>
      </c>
    </row>
    <row r="14" spans="1:4">
      <c r="C14" s="1" t="s">
        <v>398</v>
      </c>
    </row>
    <row r="15" spans="1:4">
      <c r="C15" s="16">
        <f>COUNTIF(Sheet1!E:E,"Low")</f>
        <v>60</v>
      </c>
    </row>
    <row r="16" spans="1:4">
      <c r="C16" s="1" t="s">
        <v>399</v>
      </c>
    </row>
    <row r="17" spans="1:6">
      <c r="C17" s="16">
        <f>COUNTIF(Sheet1!E:E,"Medium")</f>
        <v>89</v>
      </c>
    </row>
    <row r="18" spans="1:6">
      <c r="C18" s="1" t="s">
        <v>395</v>
      </c>
    </row>
    <row r="19" spans="1:6">
      <c r="C19" s="16">
        <f>COUNTIF(Sheet1!E:E,"High")</f>
        <v>23</v>
      </c>
    </row>
    <row r="21" spans="1:6">
      <c r="A21" s="18" t="s">
        <v>408</v>
      </c>
      <c r="C21" s="19"/>
    </row>
    <row r="22" spans="1:6">
      <c r="A22">
        <v>0</v>
      </c>
      <c r="C22" t="s">
        <v>410</v>
      </c>
      <c r="F22">
        <f>COUNTIF(Sheet1!H:H,"0")</f>
        <v>0</v>
      </c>
    </row>
    <row r="23" spans="1:6">
      <c r="A23">
        <v>1</v>
      </c>
      <c r="C23" t="s">
        <v>409</v>
      </c>
      <c r="F23">
        <f>COUNTIF(Sheet1!H:H,"1")</f>
        <v>116</v>
      </c>
    </row>
    <row r="24" spans="1:6">
      <c r="A24">
        <v>2</v>
      </c>
      <c r="C24" t="s">
        <v>411</v>
      </c>
      <c r="F24">
        <f>COUNTIF(Sheet1!H:H,"2")</f>
        <v>69</v>
      </c>
    </row>
    <row r="26" spans="1:6">
      <c r="A26" s="18" t="s">
        <v>530</v>
      </c>
      <c r="B26" s="19"/>
      <c r="C26" s="19"/>
      <c r="D26" s="19"/>
    </row>
    <row r="27" spans="1:6">
      <c r="A27">
        <v>0</v>
      </c>
      <c r="C27" t="s">
        <v>409</v>
      </c>
      <c r="F27">
        <f>COUNTIF(Sheet1!G:G,"0")</f>
        <v>175</v>
      </c>
    </row>
    <row r="28" spans="1:6">
      <c r="A28">
        <v>1</v>
      </c>
      <c r="C28" t="s">
        <v>411</v>
      </c>
      <c r="F28">
        <f>COUNTIF(Sheet1!G:G,"1")</f>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2026-04-12T00:43:20Z</dcterms:modified>
</cp:coreProperties>
</file>