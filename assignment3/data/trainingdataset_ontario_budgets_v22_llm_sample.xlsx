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04"/>
  <workbookPr defaultThemeVersion="202300"/>
  <mc:AlternateContent xmlns:mc="http://schemas.openxmlformats.org/markup-compatibility/2006">
    <mc:Choice Requires="x15">
      <x15ac:absPath xmlns:x15ac="http://schemas.microsoft.com/office/spreadsheetml/2010/11/ac" url="/Users/saramurphy/Documents/GitHub/text-analysis-public-university-llm/assignment3/data/"/>
    </mc:Choice>
  </mc:AlternateContent>
  <xr:revisionPtr revIDLastSave="0" documentId="13_ncr:1_{3CE9C857-885E-A143-AFEC-284BA432F732}" xr6:coauthVersionLast="47" xr6:coauthVersionMax="47" xr10:uidLastSave="{00000000-0000-0000-0000-000000000000}"/>
  <bookViews>
    <workbookView xWindow="9140" yWindow="720" windowWidth="30160" windowHeight="19660" xr2:uid="{FB597964-1960-7349-B80F-395C3D8D9DDC}"/>
  </bookViews>
  <sheets>
    <sheet name="Sheet1" sheetId="1" r:id="rId1"/>
    <sheet name="Sheet2"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8" i="3" l="1"/>
  <c r="F27" i="3"/>
  <c r="F24" i="3" l="1"/>
  <c r="F23" i="3"/>
  <c r="F22" i="3"/>
  <c r="C19" i="3"/>
  <c r="C17" i="3"/>
  <c r="C15" i="3"/>
  <c r="C12" i="3"/>
  <c r="A12" i="3"/>
  <c r="C8" i="3"/>
  <c r="B8" i="3"/>
  <c r="A8" i="3"/>
  <c r="D8" i="3" l="1"/>
</calcChain>
</file>

<file path=xl/sharedStrings.xml><?xml version="1.0" encoding="utf-8"?>
<sst xmlns="http://schemas.openxmlformats.org/spreadsheetml/2006/main" count="2271" uniqueCount="915">
  <si>
    <t>document</t>
  </si>
  <si>
    <t>ID</t>
  </si>
  <si>
    <t>text</t>
  </si>
  <si>
    <t>university</t>
  </si>
  <si>
    <t>year</t>
  </si>
  <si>
    <t>order</t>
  </si>
  <si>
    <t>total para</t>
  </si>
  <si>
    <t>queens_2019</t>
  </si>
  <si>
    <t>queens_2018</t>
  </si>
  <si>
    <t>queens_2017</t>
  </si>
  <si>
    <t>queens_2017_1</t>
  </si>
  <si>
    <t>Queen's University</t>
  </si>
  <si>
    <t>province</t>
  </si>
  <si>
    <t>ON</t>
  </si>
  <si>
    <t>treatment group</t>
  </si>
  <si>
    <t>treatment period</t>
  </si>
  <si>
    <t>Almost 94%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</si>
  <si>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has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</si>
  <si>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In 2015-16, a funding model review was undertaken by the Ministry of Advanced Education and Skills Development (MAESD). The review consultation paper, released in April 2015, stated that the $3.5 billion invested by the provincial government would “remain stable”, which is to say it was not projected to increase in the foreseeable future. In 2016-17, MAESD began the implementation of the recommendations from the report that proposed a framework under which future grant funding should be more strongly linked to outcomes, rather than solely to enrolment. This resulted in the creation of three funding “bins” for universities: An enrolment bin which is linked to enrolment, a quality and differentiation bin which has outcomes based metrics linked to it, and a special purposes bin which contains targeted grants for initiatives such as disability supports, French language, clinical programs etc. </t>
  </si>
  <si>
    <t>For the three-year planning period to 2019-20,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pressing. The pension solvency issue is also being addressed to ensure long term financial sustainability. </t>
  </si>
  <si>
    <t>In addition, all institutions were requested to move to approving tuition fees two years ahead to facilitate the implementation of net-tuition billing. As a result, in March 2017, the Board of Trustees approved two years of tuition increases for 2017-18 and 2018-19. We were required to maintain a reduced rate of increase across all programs to accommodate the institution-wide cap. We are unable to charge 5% in the professional programs and remain within the institutional cap. In moving to a two year fee setting structure MAESD adjusted the tuition compliance requirements and provided Universities with the ability of submitting the tuition compliance once for both years if the fee increases across all eligible programs were identical for both years.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</si>
  <si>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over the next several years. </t>
  </si>
  <si>
    <t>queens_2017_2</t>
  </si>
  <si>
    <t>queens_2017_3</t>
  </si>
  <si>
    <t>queens_2017_6</t>
  </si>
  <si>
    <t>queens_2017_8</t>
  </si>
  <si>
    <t>queens_2017_9</t>
  </si>
  <si>
    <t>queens_2018_1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</si>
  <si>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 </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</si>
  <si>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 </t>
  </si>
  <si>
    <t>For the three-year planning period to 2020-21, the University is committed to balanced budgets, with flexibility in the form of a contingency fund, increased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 </t>
  </si>
  <si>
    <t>The Ministry has not yet announced what the tuition framework will be over the second and third year of this budget planning time frame. However, the budget continues to assume the same tuition framework will continue which limits tuition fee growth to an institutional average of 3%. Unviersities continue to await an announcement on the future of the new tuition framework. </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</si>
  <si>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 </t>
  </si>
  <si>
    <t>queens_2018_2</t>
  </si>
  <si>
    <t>queens_2018_6</t>
  </si>
  <si>
    <t>queens_2018_7</t>
  </si>
  <si>
    <t>queens_2018_9</t>
  </si>
  <si>
    <t>queens_2019_1</t>
  </si>
  <si>
    <t>queens_2020</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</si>
  <si>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</si>
  <si>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continue to remain strong.</t>
  </si>
  <si>
    <t>For the three-year planning period to 2021-22,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</si>
  <si>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third year of this budget planning
time frame. Consequently, this budget assumes a continuation of the 2020-21 tuition framework of a
0% increase for funding-eligible programs. Universities continue to await an announcement on the
future of the new tuition framework.</t>
  </si>
  <si>
    <t>The University’s strategic framework promotes the vision of Queen’s University as the Canadian
research-intensive university with a transformative student learning experience. The guiding policies of
the framework address the two key features of the quintessential balanced academy, the student
learning experience and research prominence, while paying appropriate attention at the same time to
the need for increased internationalization and financial sustainability. The framework will guide
academic, and thus financial, priorities.</t>
  </si>
  <si>
    <t>queens_2019_2</t>
  </si>
  <si>
    <t>queens_2019_5</t>
  </si>
  <si>
    <t>queens_2019_6</t>
  </si>
  <si>
    <t>queens_2019_7</t>
  </si>
  <si>
    <t>Almost 96% of revenue in the Operating budget is mostly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</si>
  <si>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</si>
  <si>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For the three-year planning period to 2022-23,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</si>
  <si>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The Ministry in January 2019 announced the tuition framework for 2019-20 and 2020-21; however, it
has not yet announced what the tuition framework will be for the second year of this budget planning
time frame. Consequently, this budget assumes a continuation of the 2020-21 tuition framework of a
0% increase for funding-eligible programs. Universities continue to await an announcement on the
future of the new tuition framework.</t>
  </si>
  <si>
    <t>queens_2020_5</t>
  </si>
  <si>
    <t>queens_2020_6</t>
  </si>
  <si>
    <t>queens_2020_8</t>
  </si>
  <si>
    <t>queens_2020_9</t>
  </si>
  <si>
    <t>queens_2021</t>
  </si>
  <si>
    <t>queens_2021_1</t>
  </si>
  <si>
    <t>Almost 97% of revenue in the Operating budget is mainly derived from student enrolment in the form
of Operating grants from the government (base Operating grant plus many smaller targeted funding
envelopes) and student tuition. Much of this revenue stream is directed and regulated by government,
with limited flexibility for universities to increase revenue.</t>
  </si>
  <si>
    <t>Provincial grant revenue, although presenting with some certainty over the next few years, is still
financially limiting for the University as the maximum grant to be received will be maintained at the
2019-20 level until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 The amount of funding at-risk in
the performance-based envelope will increase from 25% of sector-wide grant revenue in 2020-21 to
60% by 2024-25 by shifting funding from the enrolment envelope into the performance-based
envelope. Although this at-risk funding was intended to begin in 2020-21, the ministry announced the decoupling of funding from the performance against metrics for at least the first two years of the
SMA3 period (2020-21 &amp; 2021-22).</t>
  </si>
  <si>
    <t>For the three-year planning period to 2023-24,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 The long term financial sustainability of
the pension plan is also being addressed.</t>
  </si>
  <si>
    <t>queens_2021_2</t>
  </si>
  <si>
    <t>queens_2021_4</t>
  </si>
  <si>
    <t>queens_2021_5</t>
  </si>
  <si>
    <t>queens_2022</t>
  </si>
  <si>
    <t>queens_2022_1</t>
  </si>
  <si>
    <t>Provincial grant revenue is financially limiting for the University because the maximum grant will be
maintained at the 2019-20 level until, at a minimum, 2024-25. The enrolment corridor will be
maintained but will combine both undergraduate and graduate enrolment while ensuring the grant
revenue in the enrolment envelope will not reduce if enrolment remains within +/- 3% of the
enrolment mid-point set based on the actual enrolment for 2019-20. Applying the enrolment corridor
for each institution allows the government to cap how many domestic students it will fund through the
operating grant portion. The university is expected to adhere to the enrolment corridor based on a
rolling average. Any sustained growth above the mid-point does not result in additional provincial
grant funding for those students but does result in additional tuition revenue. Recently, Queen’s has
planned for careful growth above the mid-point in select, high-demand areas.</t>
  </si>
  <si>
    <t>As part of SMA3, the performance-based envelope will be linked to ten metrics with differing weights
for each metric to be set by each individual institution. The funding in the performance-based envelope
will be at-risk unless the targets, set through a calculated methodology based on past average
experience in each metric, are continually met.</t>
  </si>
  <si>
    <t>The province provided a number of announcements late in fiscal 2021-22 which are outlined in the
Government Grant section of this report. These announcements defer the at-risk funding linked to
SMA3, provide additional funding for undergraduate and postgraduate medical spaces, and confirm
the tuition framework for 2022-23.</t>
  </si>
  <si>
    <t>For the three-year planning period to 2024-25, the University is committed to balanced budgets,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</si>
  <si>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March 23, 2022, the provincial government announced the tuition framework applicable for only percent. As a result, the University will apply a five percent increase to tuition fees for domestic out-ofprovince
incoming direct-entry undergraduate students only. Due to the system and administrative
changes required to identify the out-of-province students, the budget presented here does not reflect
the impact of any such increases.
2022-23 which continues to restrict flexibility for the University by freezing tuition fees for domestic
funding-eligible programs at 2019-20 levels for Ontario students. However, the province will provide
institutions the ability to increase tuition fees for domestic out-of-province students by up to five</t>
  </si>
  <si>
    <t>queens_2022_2</t>
  </si>
  <si>
    <t>queens_2022_3</t>
  </si>
  <si>
    <t>queens_2022_4</t>
  </si>
  <si>
    <t>queens_2022_5</t>
  </si>
  <si>
    <t>queens_2022_6</t>
  </si>
  <si>
    <t>queens_2022_7</t>
  </si>
  <si>
    <t>queens_2023</t>
  </si>
  <si>
    <t>queens_2023_1</t>
  </si>
  <si>
    <t>Almost 96%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</si>
  <si>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had limited funding increases to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</si>
  <si>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Subsequent to the budget being approved by the Board of Trustees, the University imposed a hiring
freeze in May 2023 for full-time operating budget positions. This temporary measure will have an
immediate impact by reducing the University’s projected 2023-24 deficit and providing a starting point
to explore other cost containment options. The University is committed to achieving a balanced budget
by 2025-26.</t>
  </si>
  <si>
    <t>Provincial grant revenue is financially limiting for the University because the maximum grant will be
maintained at the 2019-20 level until, at a minimum, 2024-25.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</si>
  <si>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SMA3, the performance-based envelope is linked to ten metrics with differing weights for
each metric set by each individual institution. The funding in the performance-based envelope is at-risk
unless the targets, set through a calculated methodology based on past average experience in each
metric, are continually met.</t>
  </si>
  <si>
    <t>For the three-year planning period to 2025-26, the University is committed to balanced budgets, with continued support for key functions in the Shared Services, all balanced by ensuring that sufficient
incremental revenue remains in the Faculties to support the academic and research missions of the
University. The need to diversify revenue remains important.
flexibility in the form of a contingency fund, continued investment in infrastructure renewal, and</t>
  </si>
  <si>
    <t>On March 2, 2023, the provincial government announced the tuition framework applicable for only
2023-24 which continues to restrict flexibility for the University by freezing tuition fees for domestic
funding-eligible programs at 2019-20 levels for Ontario students. However, the province will provide
institutions with the ability to increase tuition fees for domestic out-of-province students by up to five
per cent. As a result, the University will apply a five per cent increase to tuition fees for year-one and
year-two domestic out-of-province direct-entry undergraduate students only. In addition, the tuition
framework provided for the ability to increase tuition fees by up to 7.5% for up to three programs
whose tuition fees were on average anomalous to comparator programs in the province. As the tuition
anomaly provision was announced late in the process, the budget presented here does not reflect the
impact of the additional revenue that will materialize from the tuition anomaly provision.</t>
  </si>
  <si>
    <t>queens_2023_2</t>
  </si>
  <si>
    <t>queens_2023_3</t>
  </si>
  <si>
    <t>queens_2023_4</t>
  </si>
  <si>
    <t>queens_2023_5</t>
  </si>
  <si>
    <t>queens_2023_7</t>
  </si>
  <si>
    <t>queens_2023_8</t>
  </si>
  <si>
    <t>queens_2024</t>
  </si>
  <si>
    <t>queens_2024_1</t>
  </si>
  <si>
    <t>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</si>
  <si>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Recent public policy has limited funding increases for enrolment growth and further substantial
funding for enrolment growth is unlikely in the future. The change in public policy is due to changes in
demographics in the province and subsequent, current or forecasted declining application rates at
some universities. Conversely, applications to Queen’s remain strong.</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</si>
  <si>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reduce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</si>
  <si>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After a period of decoupling funding from the performance metrics, the ministry re-introduced the
funding linked to SMA3 metrics for 2023-24 and 2024-25, but at lower rates than were originally
contemplated; this now places 10 per cent of funding at-risk for 2023-24 and 25 per cent at-risk for
2024-25 (confirmed by the ministry on February 27, 2024). The university continues to be in a good
position to perform well on most of the metrics, however the budget does allow for some revenue
reduction to accommodate for potential revenue loss experienced through the annual evaluation.
On January 5, 2024 the ministry confirmed that at steady state, Queen’s University will be allocated 34
new undergraduate and 40 new postgraduate positions as part of the expansion of medical education
in Ontario. This enrolment and associated grant revenue is outside of the corridor and performancebased
funding envelopes and is incorporated into the enrolment plans and operating budget for 2024-
25.</t>
  </si>
  <si>
    <t>For the three-year planning period, the university is committed to prudent stewardship of funds, with incremental revenue remains in the Faculties to support the academic and research missions of the
university. The need to diversify revenue remains important.
flexibility in the form of a contingency fund, continued investment in infrastructure renewal, and
continued support for key functions in the shared services, all balanced by ensuring that sufficient</t>
  </si>
  <si>
    <t>On February 27, 2024, the provincial government announced the tuition framework applicable for the
next three years, which continues to restrict flexibility for the university by freezing tuition fees for
domestic funding-eligible programs at 2019-20 levels for Ontario students for at least three more
years. However, the province will provide institutions with the ability to increase tuition fees for
domestic out-of-province students by up to five per cent. As a result, the university will apply a five per
cent increase to tuition fees for year-one, year-two and year-three domestic out-of-province directentry
undergraduate students only.
Additionally, the tuition framework continues to provide for the ability to increase tuition fees by up to
7.5 per cent for three programs whose tuition fees are on average anomalous to comparator programs
in the province.</t>
  </si>
  <si>
    <t>Over the summer and fall in 2023, all units (both shared services and faculties/schools) planned their
budgets and reductions required to meet the financial scenario of having their allocations cut. The
funding that was cut from their allocations was held in a Deficit Mitigation Fund to help determine
what areas were most critically in need and unable to mitigate the cuts in budget. As a result of this
planning exercise, shared services demonstrated plans to achieve structural balance by 2025-26,
however, the faculties/schools are unlikely to achieve structural balance by 2025-26 mostly due to the
significant impact of lost revenue and cost escalation in the Faculty of Arts &amp; Science (FAS). As a result,
the entire deficit mitigation fund will be allocated to FAS, along with a portion of the university fund,
by way of unallocated funds set aside for future commitment and a reduction in the transfers to capital
that were initially earmarked for future capital needs linked with the priorities set through the Capital
Investment Priorities.</t>
  </si>
  <si>
    <t>queens_2024_2</t>
  </si>
  <si>
    <t>queens_2024_3</t>
  </si>
  <si>
    <t>queens_2024_4</t>
  </si>
  <si>
    <t>queens_2024_5</t>
  </si>
  <si>
    <t>queens_2024_6</t>
  </si>
  <si>
    <t>queens_2024_7</t>
  </si>
  <si>
    <t>queens_2024_8</t>
  </si>
  <si>
    <t>queens_2025</t>
  </si>
  <si>
    <t>queens_2025_1</t>
  </si>
  <si>
    <t>Approximately 94% of revenue in the operating budget is derived from student enrolment in the form
of operating grants from the government (base operating grant plus many smaller targeted funding
envelopes) and student tuition. Much of this revenue stream is directed and regulated by the
government, with limited flexibility for universities to increase revenue.</t>
  </si>
  <si>
    <t>Provincial grant revenue is financially limiting for the university because the maximum grant will be
maintained at the 2019-20 level until, at a minimum, 2025-26. The enrolment corridor will be
maintained but combines both undergraduate and graduate enrolment while ensuring the grant
revenue in the enrolment envelope will not be reduced if enrolment remains above the lower band of
the +/- 3% of the enrolment mid-point set based on the actual enrolment for 2016-17 for
undergraduate enrolment and 2019-20 for graduate enrolment. The university is expected to remain
above the mid-point of the corridor based on a rolling five-year average. Any sustained growth above
the mid-point does not result in additional provincial grant funding for those students but does result
in additional tuition revenue. Recently, Queen’s has experienced growth above the mid-point,
predominantly in high-demand areas.</t>
  </si>
  <si>
    <t>As part of SMA4 the performance-based envelope will be linked to eight metrics with differing weights
for each metric set by each individual institution. A portion of the funding in the performance-based
envelope is at risk unless the targets, set through a calculated methodology based on past average
experience in each metric, are continually met.</t>
  </si>
  <si>
    <t>The ministry will continue with approximately 25% of the government grant funding linked to SMA4
metrics, with the expectation that the percentage will increase by 5% per year. The university
continues to be in a good position to perform well on most of the metrics, however the budget does
allow for some revenue reduction to accommodate for potential revenue loss experienced through the
annual evaluation.</t>
  </si>
  <si>
    <t>For the three-year planning period, the university is committed to prudent stewardship of funds, with
flexibility in the form of a contingency fund, continued investment in infrastructure renewal, and
continued support for key functions in the Shared Services, all balanced by ensuring that sufficient
incremental revenue remains in the Faculties to support the academic and research missions of the
university. The need to diversify revenue remains important.</t>
  </si>
  <si>
    <t>On February 27, 2024, the provincial government announced the tuition framework applicable for the 2026-27. However, the province did allow institutions to increase tuition fees for domestic out-ofprovince
students by up to five per cent. As a result, the university will apply a 5% increase to tuition
fees throughout the planning cycle for out-of-province direct-entry undergraduate students only.
Additionally, the tuition framework continues to provide for the ability to increase tuition fees by up to
7.5% for three programs whose tuition fees are on average anomalous to comparator programs in the
province. The three programs reach their maximum approved tuition value during the three-year
budget horizon.
next three years, which continues to restrict flexibility for the university by freezing tuition fees for
domestic funding-eligible programs at 2019-20 levels for Ontario students for at least until the end of</t>
  </si>
  <si>
    <t>Over the summer, units planned their budgets and reductions required to meet the financial scenario
of having their allocations frozen or cut. The funding that was cut from their allocations was held in a
Deficit Mitigation Fund. As a result of this planning exercise, shared services demonstrated plans to
achieve structural balance by 2025-26, along with most of the faculties/schools, except for the Faculty
of Arts and Science which was unable to achieve structural balance mostly due to the continued impact
of lost revenue and cost escalation. As a result, the entire Deficit Mitigation Fund allocated to FAS,
along with a portion of the Transition Fund (University Fund).</t>
  </si>
  <si>
    <t>queens_2025_2</t>
  </si>
  <si>
    <t>queens_2025_3</t>
  </si>
  <si>
    <t>queens_2025_4</t>
  </si>
  <si>
    <t>queens_2025_6</t>
  </si>
  <si>
    <t>queens_2025_7</t>
  </si>
  <si>
    <t>queens_2025_8</t>
  </si>
  <si>
    <t>uoft_2017</t>
  </si>
  <si>
    <t>University of Toronto</t>
  </si>
  <si>
    <t>The 2016 year experienced an improvement in the global economy with the US economy expected to grow over the next two years. The Bank of Canada Monetary Policy report released in January 2017 sees ongoing constraints on the growth in economic activity in Canada through 2017, with modest growth in real GDP, export growth limited by the recent appreciation of the Canadian dollar relative to the US dollar, and CPI inflation expected to be around 2%. While Ontario’s economy has continued to grow in the uncertain global environment, the Province continues to run a deficit budget, projected at $4.2 billion in their 2016 fall economic outlook, imposing pressure on all provincially funded sectors.</t>
  </si>
  <si>
    <t>The Province is also engaging with universities and colleges in a funding-formula review designed to support the new differentiation framework. While the current funding model for universities is primarily enrolment driven, the new funding formula is designed to focus on accomplishing three key objectives:
1. Improving student outcomes;
2. Driving differentiation by linking funding to SMAs; and
3. Providing stability to institutions through a formula which provides predictable funding and supports enrolment planning during a period of projected demographic change and enrolment decline.</t>
  </si>
  <si>
    <t>Transition to the new funding formula in 2017-18 is designed to ensure that no university will see changes to core funding levels as a result of the transition. Beyond that, changes will be gradual and subject to negotiation between each university and MAESD via Strategic Mandate Agreements.</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</si>
  <si>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1.0% relative to January 2016, slightly less than the provincial total of 1.5%. Total University of Toronto applications for all choices increased 3.0%, compared to a system total increase of 2.7%. In the non-Ontario high school category, application numbers do not become fully meaningful until later in the spring. System upgrades at OUAC (the provincial application processing centre) this year have also resulted in processing delays for these applications, which make year-over-year comparisons difficult at this point in time. However, initial indications suggest strong growth in this pool for the University of Toronto.</t>
  </si>
  <si>
    <t>The University met its master’s enrolment target in 2016-17 and there is demand for another 1,000 provincially-funded spaces over the next five years. Doctoral enrolment (for provincially funded spaces) has held constant this year relative to last, however divisions plan for growth about 500 more domestic student spaces. Many divisions continue to push for advocacy with the province for increasing the number of funded international PhD spaces, currently only at thirty eight.</t>
  </si>
  <si>
    <t>The University of Toronto is independently committed to student aid and is guided by the 1998 Governing Council policy on accessibility, which predates the government’s framework, and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</si>
  <si>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At the University of Toronto approximately 55% of full time domestic undergraduate students and 23% of full time domestic graduate students receive support from the provincial needs-based assistance program (OSAP). Within that population many students also receive funding from the University’s need-based financial aid program, called University of Toronto Advanced Planning for Students (UTAPS). When taking all of these grant and bursary programs (not loans) into consideration, the portion of total tuition paid by OSAP-eligible students, on average in 2014-15 (the year the university last completed the study) was 51% of the posted rate. There has been a 2.1% increase of students with OSAP debt graduating from direct-entry programs since 2010-11; however, the average OSAP debt of these students decreased over the same period by 3%. The combination of these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</si>
  <si>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the institutional cost of research, and graduate student support.</t>
  </si>
  <si>
    <t>The Canada Research Chairs program introduced in 2000-01 provides salary and research support for outstanding university researchers on a competitive basis. Research chairs are awarded to each university based on its share of research funding by the federal granting councils. The University experienced a decline in the number of CRC chairs several years ago but the trend is reversing as we increase our share in tri-council funding competitions. Since the CRC program was introduced, inflation has reduced the effective value of Chair funding by over 25%. An appropriate adjustment to government funding is long overdue.</t>
  </si>
  <si>
    <t>As a long-standing subject of government advocacy, universities have been requesting that the federal government recognize the full cost of research in its research funding policy, with a 40% rate as a minimum target for the indirect costs. The government began to provide institutional costs of research funding in 2003-04 through what is now called the Research Support Fund (RSF), with an effective rate for the University of Toronto now at 17.3%. This is currently contributing just over $20 million to the University’s operating budget, and continues to be considerably short of the actual institutional cost of research, estimated at over 50% at the University of Toronto. A doubling of the federal RSF rate would bring us to $40 million, putting us somewhat closer to our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</si>
  <si>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The support for graduate students has not kept pace with the rapid growth in graduate enrolment.</t>
  </si>
  <si>
    <t>uoft_2017_2</t>
  </si>
  <si>
    <t>uoft_2017_6</t>
  </si>
  <si>
    <t>uoft_2017_8</t>
  </si>
  <si>
    <t>uoft_2017_10</t>
  </si>
  <si>
    <t>uoft_2017_11</t>
  </si>
  <si>
    <t>uoft_2017_14</t>
  </si>
  <si>
    <t>uoft_2017_15</t>
  </si>
  <si>
    <t>uoft_2017_17</t>
  </si>
  <si>
    <t>uoft_2017_19</t>
  </si>
  <si>
    <t>uoft_2017_20</t>
  </si>
  <si>
    <t>uoft_2017_21</t>
  </si>
  <si>
    <t>uoft_2018</t>
  </si>
  <si>
    <t>Ontario’s economy has continued to grow in the uncertain global environment. The Public Accounts of Ontario indicate that the actual 2016-17 deficit was $1.0 billion, down from $10.3 billion in 2014-15. According to the 2017 fall economic outlook
4, the Province continues to focus on balancing the budget, and maintaining that balance through 2019–20. Spending restraint continues to impose pressure on all provincially-funded sectors.</t>
  </si>
  <si>
    <t>In 2013, the Province of Ontario released its differentiation policy framework with the goal of shifting the focus away from funding based primarily on enrolment growth, reducing unnecessary duplication, and ensuring institutional mandates align with government priorities. The differentiation framework is operationalized through a Strategic Mandate Agreement for each institution, which “outlines the role the University currently performs in Ontario’s postsecondary education system and how it will build on its current strengths to achieve its vision and help to drive system-wide objectives and government priorities.” Future funding is expected to be increasingly directed towards achievement of excellence metrics, rather than enrolment numbers. This is a welcome change for the University of Toronto and reflects the University’s long-term advocacy for differentiation.</t>
  </si>
  <si>
    <t>Effective 2017-18, the Province has implemented a new funding formula to support this differentiation policy framework. The new formula is designed to focus on accomplishing three key objectives: 1) improving student outcomes; 2) driving differentiation by linking funding to SMAs; and 3) providing stable, predictable funding while supporting enrolment planning during this period of projected demographic change and enrolment decline.</t>
  </si>
  <si>
    <t>Transition to the new funding formula in 2017-18 is designed to ensure that no university will see changes to core funding levels as a result of the transition. In future years, changes will be gradual and subject to negotiation between each university and MAESD via Strategic Mandate Agreements.</t>
  </si>
  <si>
    <t>In October 2017, the University signed a new Strategic Mandate Agreement (SMA2) with the Province for the period 2017-2020. This is the second multi-year agreement developed under the differentiation policy framework for post-secondary education, and re-confirms the university’s leadership role in research and innovation in Ontario.</t>
  </si>
  <si>
    <t>The University continues to attract very high quality students. Entering averages of undergraduate students are rising each year across all three campuses and are carefully monitored as an indicator of the academic quality of our students. The University of Toronto’s first-choice applications from Ontario high school students increased by 2.7% relative to January 2017, compared to an average increase of 1.6% for the other research-intensive Ontario universities (McMaster, Ottawa, Queen’s, Waterloo, Western), and an average decline of 1.8% for all other universities combined. Total University of Toronto applications for all choices increased 4.4%, compared to a system total increase of 5.4%. In the non-Ontario high school category, application numbers do not become fully meaningful until later in the spring.</t>
  </si>
  <si>
    <t>The University of Toronto is independently committed to student aid, and is guided by the 1998 Governing Council Policy on Accessibility, which will continue to drive our funding for needs-based student aid. The policy contains the following Statement of Principle:
“No student offered admission to a program at the University of Toronto should
be unable to enter or complete the program due to lack of financial means.”</t>
  </si>
  <si>
    <t>The proportion of students graduating from direct-entry programs with OSAP debt remains relatively stable, at 49.2% of graduates in 2016-17 versus 49.4% of graduates in 2011-12. The average amount of OSAP debt at graduation has increased by 1.4% in real terms over the same period. The combination of University and provincial student financial aid programs enhances access to the University’s excellent education opportunities for a wide array of students.</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</si>
  <si>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</si>
  <si>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The Naylor report recommends a 40% rate as a target for funding of indirect costs. Increases to the Research Support Fund announced in federal budgets 2015 and 2016 have increased the rate slightly to 18.9%, but this remains considerably short of the actual institutional cost of research, estimated at over 50% at the University of Toronto. A doubling of the federal RSF rate would bring us to $45 million, putting us somewhat closer to AAU competitors and would have a significant impact on allowing the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</si>
  <si>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</si>
  <si>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uoft_2018_3</t>
  </si>
  <si>
    <t>uoft_2018_5</t>
  </si>
  <si>
    <t>uoft_2018_6</t>
  </si>
  <si>
    <t>uoft_2018_7</t>
  </si>
  <si>
    <t>uoft_2018_8</t>
  </si>
  <si>
    <t>uoft_2018_14</t>
  </si>
  <si>
    <t>uoft_2018_17</t>
  </si>
  <si>
    <t>uoft_2018_19</t>
  </si>
  <si>
    <t>uoft_2018_21</t>
  </si>
  <si>
    <t>uoft_2018_22</t>
  </si>
  <si>
    <t>uoft_2018_24</t>
  </si>
  <si>
    <t>uoft_2018_25</t>
  </si>
  <si>
    <t>uoft_2019</t>
  </si>
  <si>
    <t>The government is committed to returning the Province to
balanced budgets on a modest, reasonable and pragmatic
timetable. The University anticipates that this spending restraint
will impose significant pressure on all provincially-funded sectors.</t>
  </si>
  <si>
    <t>The SMA2 also allocated 10% of operating grant revenue
($65 million in 2018–19)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Although funding in
the differentiation envelope is revenue-neutral throughout the
period of SMA2, it is anticipated that a greater portion of future
funding will be directed towards achievement of accountability
metrics, rather than enrolment numbers. The University is
engaged in consultation with the Province on the design of
metrics and funding mechanisms that will be included in the
third Strategic Mandate Agreement (SMA3) beginning in 2020.</t>
  </si>
  <si>
    <t>Funding from the federal government is provided to universities
primarily to support research and is not generally part of the
University’s operating budget. However, it interacts with the
University’s operating budget in three important areas: Canada
Research Chairs, funding for the indirect costs of research,
and graduate student support.</t>
  </si>
  <si>
    <t>In April 2017, a panel led by UofT President Emeritus David research. The University incurs roughly $0.55 in operating
costs related to each $1.00 in direct research expenditures,
and recovers a portion of these costs from restricted research
funds based on the indirect cost rate specified in each grant.
Naylor issued the final report of Canada’s Fundamental Science
Review (the Naylor Report). The Naylor report recommended
a 40% rate as a target for funding of the indirect costs of</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</si>
  <si>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</si>
  <si>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</si>
  <si>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is facing increasing financial pressure, with a 2017, the President and Provost established an advisory group
to consider how the University might broaden its funding 2017, the President and Provost established an advisory group
to consider how the University might broaden its funding
sources to provide it with a strong financial basis going forward.
sources to provide it with a strong financial basis going forward.
declining portion of operating revenues coming from provincial
operating grants and constrained tuition and enrolment
frameworks. Our commitment to being an internationally
significant research university requires us to think creatively
about how we might fund our mission and aspirations. In fall</t>
  </si>
  <si>
    <t>The advisory group will articulate a set of principles to guide
recommendations regarding alternative funding sources and,
after consultation and review of a broad range of options, will
recommend a limited set of strategies that the University might
pursue. Work of the advisory group is ongoing, and a report
is expected by the end of the 2018–19 academic year.</t>
  </si>
  <si>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</si>
  <si>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uoft_2019_4</t>
  </si>
  <si>
    <t>uoft_2019_7</t>
  </si>
  <si>
    <t>uoft_2019_9</t>
  </si>
  <si>
    <t>uoft_2019_10</t>
  </si>
  <si>
    <t>uoft_2019_11</t>
  </si>
  <si>
    <t>uoft_2019_12</t>
  </si>
  <si>
    <t>uoft_2019_13</t>
  </si>
  <si>
    <t>uoft_2019_14</t>
  </si>
  <si>
    <t>uoft_2019_15</t>
  </si>
  <si>
    <t>uoft_2019_16</t>
  </si>
  <si>
    <t>uoft_2020</t>
  </si>
  <si>
    <t>pres_external</t>
  </si>
  <si>
    <t>pres_exp</t>
  </si>
  <si>
    <t>prov_external</t>
  </si>
  <si>
    <t>prov_exp</t>
  </si>
  <si>
    <t>The government remains committed to returning the Province to balanced budgets by 2023, in a way that allows for critical infrastructure investments and ensures public services continue to be supported. The University anticipates that spending restraint will impose significant pressure on all provincially-funded sectors. </t>
  </si>
  <si>
    <r>
      <t>The second Strategic Mandate Agreement</t>
    </r>
    <r>
      <rPr>
        <sz val="5"/>
        <color rgb="FF211D1E"/>
        <rFont val="Helvetica"/>
        <family val="2"/>
      </rPr>
      <t>5</t>
    </r>
    <r>
      <rPr>
        <sz val="9"/>
        <color rgb="FF211D1E"/>
        <rFont val="Helvetica"/>
        <family val="2"/>
      </rPr>
      <t>, covering the period 2017-2020, introduced the concept of performance based funding within the existing Provincial operating grant envelope. The agreement notionally re-directed 10% of operating grant revenue ($65 million for the University of Toronto) to a differentiation envelope tied to performance in priority areas such as student experience; innovation, economic development and community engagement; research excellence and impact; access and equity; and innovative teaching. This was a welcome change for the University of Toronto and reflected the University’s long-term advocacy for differentiation. Funding in the differentiation envelope was not at risk for the period of SMA2.</t>
    </r>
  </si>
  <si>
    <t>While the Government will determine the indicators and the targets, institutions can decide the distribution of total funding among the metrics, and will be measured against their own past performance, not against other institutions. Specific targets will be finalized by the end of March 2020. </t>
  </si>
  <si>
    <t>In April 2017, a panel led by UofT President Emeritus David Naylor issued the final report of Canada’s Fundamental Science Review (the Naylor Report). The Naylor Report recommended a 40% rate as a target for funding of the indirect costs of research. The University incurs roughly $0.55 in operating costs related to each $1.00 in direct research expenditures, and recovers a portion of these costs from restricted research funds based on the indirect cost rate specified in each grant.</t>
  </si>
  <si>
    <t>The Federal Budget 2018 included significant new investments in research, including $235 million in new annual granting council funding, as well as $58.8 million for indirect costs via the Research Support Fund — a marginal indirect cost rate of 25%. Federal Budget 2018 also included a significant new investment in the Canada Research Chairs program. The Government expects the granting councils to target new funding to early-career researchers whose diversity better represents Canada’s population, which could result in up to 250 additional Chairs for early career researchers by 2020–21. While the value of these Chairs does not entirely cover salary and benefit costs, they make an important contribution to the University’s operating budget and have a significant impact on the University’s ability to recruit and retain outstanding scholars. </t>
  </si>
  <si>
    <t>The University is facing increasing financial pressure, with a declining portion of operating revenues coming from provincial operating grants and constrained tuition and enrolment frameworks. The University’s commitment to being an internationally significant research university requires creative solutions to fund its mission and aspirations. In Fall 2017, the President and Provost established an advisory group to consider how the University might broaden its funding sources to provide it with a strong financial basis going forward. </t>
  </si>
  <si>
    <r>
      <t>In the spring of 2019, the advisory group issued its final report</t>
    </r>
    <r>
      <rPr>
        <sz val="5"/>
        <color rgb="FF211D1E"/>
        <rFont val="Helvetica"/>
        <family val="2"/>
      </rPr>
      <t>6</t>
    </r>
    <r>
      <rPr>
        <sz val="9"/>
        <color rgb="FF211D1E"/>
        <rFont val="Helvetica"/>
        <family val="2"/>
      </rPr>
      <t>. The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t>
    </r>
  </si>
  <si>
    <t>Concurrent with the work of the Advisory Group, the University began a planning exercise to consider how it might leverage its significant real estate assets to not only develop amenities to support the academic mission, but to grow the portion of the University’s operating budget from “other” revenue. The end result of this planning exercise was the adoption of the Four Corners Strategy, which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This new revenue stream is not yet reflected in the long range budget assumptions.</t>
  </si>
  <si>
    <t>uoft_2020_2</t>
  </si>
  <si>
    <t>uoft_2020_5</t>
  </si>
  <si>
    <t>uoft_2020_6</t>
  </si>
  <si>
    <t>uoft_2020_9</t>
  </si>
  <si>
    <t>uoft_2020_11</t>
  </si>
  <si>
    <t>uoft_2020_12</t>
  </si>
  <si>
    <t>uoft_2020_13</t>
  </si>
  <si>
    <t>uoft_2020_14</t>
  </si>
  <si>
    <t>uoft_2020_15</t>
  </si>
  <si>
    <t>uoft_2020_16</t>
  </si>
  <si>
    <t>uoft_2020_17</t>
  </si>
  <si>
    <t>pres_new</t>
  </si>
  <si>
    <t>prov_new</t>
  </si>
  <si>
    <t>uoft_2021</t>
  </si>
  <si>
    <t>The Ontario post-secondary education system operates under a differentiation policy framework². The framework is operationalized through a series of institutional Strategic Mandate Agreements, which specify the role of each university in the system and how each will build on institutional strengths to drive system-wide objectives and government priorities.</t>
  </si>
  <si>
    <t>Over the course of 2019, the Council of Ontario Universities worked with the Ministry of Colleges and Universities to introduce mechanisms to the SMA3 performance-based funding formula that increase predictability and minimize volatility for institutions. For funding purposes, each university is measured against its own past performance, not against other institutions. Targets are established formulaically, taking into consideration past performance and the variability of results in recent years. Each target includes a range of allowable performance outcomes, with partial funding provided if performance falls below the allowable performance range.</t>
  </si>
  <si>
    <t>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</si>
  <si>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On October 6, 2020, the Ontario government announced an investment of $19 million to fund mental health supports for postsecondary students in 2020-21, an increase of $3 million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</si>
  <si>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beginning in 2019-20, and a freeze at that level for 2020-21. Tuition paid by international students was unaffected. The compounding effect of this two-year framework has a long-lasting impact, and now represents a reduction of $113 million in domestic tuition fee revenue for 2021-22 relative to the previous long
range budget guidelines that assumed the former tuition
framework of 3% annual average fee increases would remain
in place. At this time, no domestic fee framework has been
announced for the 2021-22 fiscal year. The University
has conservatively assumed an extension of the existing
framework, including a freeze for the 2021-22 budget year.
This one-year extension of the domestic tuition fee freeze
would further reduce tuition fee revenue by $26 million
in 2021-22 relative to the University’s previous long range
budget plan.</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</si>
  <si>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</si>
  <si>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outstanding university researchers on a competitive basis.
Research chairs are awarded to each university based on
its share of research funding by the three federal granting
councils: the Canadian Institutes of Health Research
(CIHR), the Natural Sciences and Engineering Research
Council Canada (NSERC), and the Social Sciences and
Humanities Research Council of Canada (SSHRC). The
University of Toronto has the country’s largest allocation of
CRCs, with over 300 Chairs spread across three campuses
and nine fully affiliated hospitals. These Chairs make
an important contribution to the University’s operating
budget and have a significant impact on the University’s
ability to recruit and retain outstanding scholars. Since the
CRC program was introduced, inflation has reduced the
effective value of Chair funding by over 40%. An appropriate
adjustment to the value of these awards is long overdue.
in 2000-01 contributes to salary and research support for</t>
  </si>
  <si>
    <t>Most research sponsored by NSERC, SSHRC and CIHR
funding programs generates indirect cost funding from
the federal Research Support Fund (RSF) and the
recently introduced Incremental Project Grant (IPG). The
University of Toronto’s effective rate of federal indirect costs
recovered from these programs was approximately 21% in
2019-20.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</si>
  <si>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</si>
  <si>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</si>
  <si>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 range budget assumptions.</t>
  </si>
  <si>
    <t>uoft_2021_6</t>
  </si>
  <si>
    <t>uoft_2021_8</t>
  </si>
  <si>
    <t>uoft_2021_9</t>
  </si>
  <si>
    <t>uoft_2021_12</t>
  </si>
  <si>
    <t>uoft_2021_13</t>
  </si>
  <si>
    <t>uoft_2021_15</t>
  </si>
  <si>
    <t>uoft_2021_16</t>
  </si>
  <si>
    <t>uoft_2021_18</t>
  </si>
  <si>
    <t>uoft_2021_19</t>
  </si>
  <si>
    <t>uoft_2021_20</t>
  </si>
  <si>
    <t>uoft_2021_21</t>
  </si>
  <si>
    <t>uoft_2021_22</t>
  </si>
  <si>
    <t>uoft_2022</t>
  </si>
  <si>
    <t>According to the Ontario Budget released in March 20214 and follow up November 2021 Fall Economic Statement5 the Government is not planning any inflationary increases to the University’s operating grant over the next three years. One-time funding has been set aside to support colleges and universities under significant financial pressure from the pandemic, although the University is unlikely to qualify for support given our financial position.</t>
  </si>
  <si>
    <t>In the Fall Economic Statement, the Government announced an investment of $27.9 million in funding for mental health supports for postsecondary students in 2021-22, representing an $8.7 million increase over the prior year. The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announcement and continues to advocate for additional
investments to meet the pressing need for access to mental
health resources.</t>
  </si>
  <si>
    <t>On January 17, 2019, the Ontario government announced
a 10 per cent cut to domestic tuition fees for 2019-20,
and a freeze at that level for 2020-21. The freeze was
subsequently extended for one year to 2021-22 on April 30,
2021. Tuition paid by international students was unaffected.
The compounding effect of this three-year framework has
a long-lasting impact, and now represents a reduction
of $139 million in domestic tuition fee revenue for 2022-
23 relative to the previous long-range budget guidelines
that assumed continuation of the previous framework of 3%
annual average fee increases.</t>
  </si>
  <si>
    <t>In 2021-22, the Government introduced a new policy as defined under the OSAP definitions, could be increased
by up to 3% while fees for Ontario residents would
remain frozen. Given the lateness of the announcement
of the fee framework, coming at the start of the Summer
2021 session, the University opted to not implement
differentiated fees for 2021-22. However, if this policy
continues, the University will proceed with establishing
differentiated fees for non-Ontario resident domestic
students, with a 3% increase to fees for all undergraduate
programs in 2022-23.
allowing for differentiated fees for Out of Province domestic
students. Fees for non-Ontario resident domestic students,</t>
  </si>
  <si>
    <t>Funding from the federal government is provided to
universities primarily to support research and is not generally
part of the University’s operating budget. However, federal
funding interacts with the University’s operating budget in
three important areas: Canada Research Chairs, funding for
the indirect costs of research, and graduate student support.</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</si>
  <si>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nine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t>
  </si>
  <si>
    <t>Most research sponsored by NSERC, SSHRC and CIHR
funding programs generates indirect cost funding from the
federal Research Support Fund (RSF) and the Incremental
Project Grant (IPG). The University of Toronto’s effective rate
of federal indirect costs recovered from these programs was
approximately 20% in 2020-21,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 intensive divisions to close the
gap on their structural deficits. Without a change in the
funding formula, each additional dollar of research funding
places a higher burden on the University’s operating funds.</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</si>
  <si>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t>
  </si>
  <si>
    <t>However, neither federal nor provincial government support
for graduate students has kept pace with the rapid growth
in graduate enrolment, placing a higher demand on faculty
member research grants and the operating budget.</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</si>
  <si>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</si>
  <si>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Several projects
are now underway in various stages of planning, design, and
construction. This new revenue stream is not yet reflected in the
long-range budget assumptions.</t>
  </si>
  <si>
    <t>uoft_2022_8</t>
  </si>
  <si>
    <t>uoft_2022_10</t>
  </si>
  <si>
    <t>uoft_2022_11</t>
  </si>
  <si>
    <t>uoft_2022_14</t>
  </si>
  <si>
    <t>uoft_2022_16</t>
  </si>
  <si>
    <t>uoft_2022_17</t>
  </si>
  <si>
    <t>uoft_2022_19</t>
  </si>
  <si>
    <t>uoft_2022_21</t>
  </si>
  <si>
    <t>uoft_2022_22</t>
  </si>
  <si>
    <t>uoft_2022_24</t>
  </si>
  <si>
    <t>uoft_2022_25</t>
  </si>
  <si>
    <t>uoft_2022_26</t>
  </si>
  <si>
    <t>uoft_2022_27</t>
  </si>
  <si>
    <t>uoft_2022_28</t>
  </si>
  <si>
    <t>uoft_2022_29</t>
  </si>
  <si>
    <t>queens_2020_10</t>
  </si>
  <si>
    <t>The Ministry remains committed to maintaining the 2016-17 funding level for all universities and will
roll-in the graduate growth over 2016-17 actually achieved as at the end of 2019-20. The 2020-21
budget assumes full funding of graduate grant based on achieving the projected growth targets. The
Ministry will continue with the enrolment corridor funding methodology which would ensure the grant
revenue in the enrolment envelope remains constant if enrolment remains within +/- 3% of the
enrolment mid-point to be set based on the actual enrolment for 2019-20 (current set at the 2016-17
level). The performance-based envelope will be linked to ten metrics with differing weights for each
metric to be set by each individual institution. The funding in the performance-based envelope will be
at risk assuming the targets set through a calculated methodology based on past average experience in
each metric is continually met. The amount of funding at-risk in the performance-based envelope will
increase from 25% of total grant revenue in 2020-21 to 60% by 2024-25 by shifting funding from the
enrolment envelope into the performance-based envelope. Although this at-risk funding was intended
to begin in 2020-21, the ministry has decided to decouple the linkage of performance on the metrics to
funding for two years in 2022-23.</t>
  </si>
  <si>
    <t>TOTALS</t>
  </si>
  <si>
    <t>LOW</t>
  </si>
  <si>
    <t>MEDIUM</t>
  </si>
  <si>
    <t>HIGH</t>
  </si>
  <si>
    <t>TOTAL</t>
  </si>
  <si>
    <t>uoft_2023</t>
  </si>
  <si>
    <t>uoft_2023_6</t>
  </si>
  <si>
    <t>Demand for the University’s programs continues to be very strong with deep domestic and international undergraduate applicant pools for Fall 2022. After the exceptionally high intake in 2021, the University had planned on a slightly smaller direct entry undergraduate intake for 2022. Actual full-time intake came in about 3.8% lower than planned (or 620 students on a 16,449 target), although still about 3.8% higher than in 2020. This year, the Federal Government faced significant challenges in processing student permit applications given a large increase in volumes across the country. Over the summer, the University worked closely with Immigration, Refugees &amp; Citizenship Canada (IRCC) to reduce the impact on our students as much as possible. Ultimately, approximately 150 of our incoming students were forced to defer their admission to the winter or next fall which, anecdotally, appears to be significantly better than experienced at some other universities and colleges who have signaled deferral rates of 30% and even higher. The University will continue to work with Universities Canada and IRCC on opportunities to improve the student permit process for next year.</t>
  </si>
  <si>
    <t>uoft_2023_12</t>
  </si>
  <si>
    <t>uoft_2023_14</t>
  </si>
  <si>
    <t>Under the SMA3 performance-based funding formula, each university will be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Province has defined ten performance metrics for funding purposes as noted in the accompanying tables. The University has allocated its performance-based funding envelope among the ten metrics and may re-weight the metrics each year in response to changing priorities.</t>
  </si>
  <si>
    <t>uoft_2023_15</t>
  </si>
  <si>
    <t>In recognition of the potential impact of the COVID-19 pandemic on metrics, the Government suspended activation of the performance-based funding framework for the first three years of the SMA3 period and has committed to reviewing this annually. Under the current plan, the performance-based funding framework will be activated in year four on only a portion of the Differentiation Envelope, beginning with 10% of total funding in 2023-24 and increasing to 25% in 2024-25. The University exceeded all of its metrics targets in the first two years of the SMA3 evaluation period and does not anticipate any reductions to funding if/when the performance-based framework is activated.</t>
  </si>
  <si>
    <t>uoft_2023_19</t>
  </si>
  <si>
    <t>In addition, the Government has committed $124.7 million over three years to significantly increase funding for nursing clinical operations at colleges and universities. Under this initiative, the University’s allocation for nursing clinical funding will roughly triple to $1.1 million per year, which will help with operating costs for running these programs. We are hopeful that the Government will continue funding at this level beyond the initial three-year commitment. And the University continues to advocate for increased clinical funding in other program areas, in particular dentistry where the essential in-house clinics require significant subsidies from other operating revenues.</t>
  </si>
  <si>
    <t>uoft_2023_23</t>
  </si>
  <si>
    <t>For 2022-23, the Government renewed their commitment to increase funding support for mental health services at colleges and universities by $4.8 million on top of the $10.5 million in on-going funding. This funding supports campus-based mental health services, access to the Good2Talk helpline for professional counselling, information, and mental health referrals for post-secondary students, and the development of new partnerships and mental health resources to build a connected and comprehensive mental health system in Ontario. The University welcomes this commitment and continues to advocate for additional continuing investments to meet the pressing need for access to mental health resources to complement the University’s increased investments in this area. </t>
  </si>
  <si>
    <t>uoft_2023_26</t>
  </si>
  <si>
    <t>Unfortunately, it appears that the Provincial Government will again extend the freeze on domestic tuition fees for Ontario residents for another year. The cumulative impact of the 10% cut and now four-year freeze is a $195 million reduction in annual operating revenue to the University in 2023-24 compared to the 3% average framework in place prior to 2019-20. Our domestic fees continue to be lower than they were in 2018-19 and after inflation, our fee for Arts &amp; Science programs is lower than it was in 1999. </t>
  </si>
  <si>
    <t>uoft_2023_27</t>
  </si>
  <si>
    <r>
      <t xml:space="preserve">This decision is especially disappointing given the current high inflation environment and the Ontario Auditor General’s November 2022 </t>
    </r>
    <r>
      <rPr>
        <i/>
        <sz val="9"/>
        <color theme="1"/>
        <rFont val="Helvetica"/>
        <family val="2"/>
      </rPr>
      <t>Value for Money Audit on Financial Management in Ontario Universities</t>
    </r>
    <r>
      <rPr>
        <i/>
        <vertAlign val="superscript"/>
        <sz val="6"/>
        <color theme="1"/>
        <rFont val="Helvetica"/>
        <family val="2"/>
      </rPr>
      <t xml:space="preserve">6 </t>
    </r>
    <r>
      <rPr>
        <sz val="9"/>
        <color theme="1"/>
        <rFont val="Helvetica"/>
        <family val="2"/>
      </rPr>
      <t xml:space="preserve">and </t>
    </r>
    <r>
      <rPr>
        <i/>
        <sz val="9"/>
        <color theme="1"/>
        <rFont val="Helvetica"/>
        <family val="2"/>
      </rPr>
      <t>Special Report on Laurentian University</t>
    </r>
    <r>
      <rPr>
        <i/>
        <vertAlign val="superscript"/>
        <sz val="6"/>
        <color theme="1"/>
        <rFont val="Helvetica"/>
        <family val="2"/>
      </rPr>
      <t xml:space="preserve">7 </t>
    </r>
    <r>
      <rPr>
        <sz val="9"/>
        <color theme="1"/>
        <rFont val="Helvetica"/>
        <family val="2"/>
      </rPr>
      <t>that both highlighted the adverse financial impact on Ontario universities of the Government’s decision to reduce and freeze domestic tuition. The long-range plans continue to assume a return to a 3% framework after next year. </t>
    </r>
  </si>
  <si>
    <t>uoft_2023_28</t>
  </si>
  <si>
    <t>In 2021-22, the Government introduced a new policy allowing for differentiated fees for Out of Province domestic students. Given the lateness of the announcement of the fee framework, coming at the start of the Summer 2021 session, the University opted to not implement differentiated fees for 2021-22. However, the University proceeded with establishing differentiated fees for non-Ontario resident domestic students in 2022-23, with a 3% increase to fees for all undergraduate programs while fees for Ontario residents remained frozen under the framework. For 2023-24, the University is planning on a 5% increase to non-Ontario resident domestic fees in undergraduate programs, consistent with the framework. </t>
  </si>
  <si>
    <t>uoft_2023_29</t>
  </si>
  <si>
    <t>While the budget plan assumes a freeze to domestic Ontario resident tuition fees for next year, there is a small possibility that the Government could make a late announcement providing some flexibility on domestic tuition fees for 2023-24. Given the constraints that a continued freeze would put on budget resources to address pressures on expenses, the University must be able to use any flexibility provided. To position us to respond to a late announcement, the University is proposing an alternative set of tuition fee schedules that assume a 3% increase to Ontario resident domestic tuition fees in the 2023-24 Tuition Fee Report. </t>
  </si>
  <si>
    <t>uoft_2023_30</t>
  </si>
  <si>
    <t>If the Government does make a late announcement allowing this flexibility, this alternate set of tuition fees would be implemented in 2023-24, subject to any limitations in the framework. The change would increase revenue to the University by approximately $15 million, which would be allocated across divisions through the University’s budget model. </t>
  </si>
  <si>
    <t>uoft_2023_31</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</si>
  <si>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 </t>
  </si>
  <si>
    <t>uoft_2023_32</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</si>
  <si>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330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48%. An appropriate adjustment to the value of these awards is long overdue. </t>
  </si>
  <si>
    <t>uoft_2023_33</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</si>
  <si>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57%.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t>
  </si>
  <si>
    <t>uoft_2023_34</t>
  </si>
  <si>
    <t>The Federal government supports graduate students by providing fellowships on a competitive basis. Although these funds do not flow through the University’s budget, they provide indirect budget relief to the academic divisions by freeing up funds that would otherwise have to be used for graduate student support. Similarly, the Provincial Government provides support through Ontario Graduate Scholarships and the QEII Graduate Scholarships in Science and Technology. However, neither federal nor provincial government support for graduate students has kept pace with the rapid growth in graduate enrolment, placing a higher demand on faculty member research grants and the operating budget. </t>
  </si>
  <si>
    <t>uoft_2023_35</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</si>
  <si>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 </t>
  </si>
  <si>
    <t>uoft_2023_36</t>
  </si>
  <si>
    <r>
      <t>In 2019, the final report of the Alternative Funding Sources Advisory Group</t>
    </r>
    <r>
      <rPr>
        <vertAlign val="superscript"/>
        <sz val="6"/>
        <color theme="1"/>
        <rFont val="Helvetica"/>
        <family val="2"/>
      </rPr>
      <t xml:space="preserve">8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9 </t>
    </r>
    <r>
      <rPr>
        <sz val="9"/>
        <color theme="1"/>
        <rFont val="Helvetica"/>
        <family val="2"/>
      </rPr>
      <t>includes recommendations to enhance and expand the University’s lifelong learning offerings through initiatives such as a Lifelong Learning Community of Practice and micro-credentials. </t>
    </r>
  </si>
  <si>
    <t>uoft_2023_37</t>
  </si>
  <si>
    <t>The University has seized another such opportunity with the adoption of the Four Corners Strategy, which will leverage the University’s real estate assets to deliver amenities to support the academic mission and simultaneously grow revenue from sources other than enrolment. The Four Corners Strategy sets an ambitious goal of generating $50 million in operating funding per year by 2033 through the development of roughly 3.5 million square feet of new space devoted to campus services, amenities, office, and retail spaces. The funding will be invested directly in the research and teaching mission, likely through a targeted Strategic Fund. </t>
  </si>
  <si>
    <t>uoft_2023_38</t>
  </si>
  <si>
    <t>Current projects in various stages of planning, design, and construction include a new residence at Spadina and Sussex currently under construction, a new residence on Harbord in development, the Site 1 Gateway project at Bloor and Spadina with faculty, staff and student family housing, and the Schwartz Reisman Innovation Campus (SRIC). </t>
  </si>
  <si>
    <t>uoft_2024</t>
  </si>
  <si>
    <t>uoft_2024_3</t>
  </si>
  <si>
    <t>On January 22, 2024, the Federal Government announced a two-year framework to cap new international student permits to the number expiring each year, which will result in an estimated 35% reduction in new permits nationally and a 50% reduction for Ontario because of a new distribution framework linked to population. Permits for graduate studies are exempted from the cap. These changes are focused on addressing abuses in the system by particular actors and are not intended to adversely impact universities such as the University of Toronto. We are working with all levels of government to ensure that the allocation of permits recognizes institutions like U of T (which uphold rigorous and transparent recruitment and admissions processes, and offer robust student supports) and addresses the problem where the challenges lie. </t>
  </si>
  <si>
    <t>uoft_2024_4</t>
  </si>
  <si>
    <t>The Federal Government continues to face significant challenges in timely processing of student permit applications given the large increase in volumes across the country in recent years. This past year, the University along with Universities Canada and other peer universities has worked with Immigration, Refugees &amp; Citizenship Canada (IRCC) to develop a new Recognized Institution Framework that will create a new, separate pathway for student permit processing for “recognized” institutions. We expect this to significantly improve the experience for our students and reduce time to approval when it is implemented. </t>
  </si>
  <si>
    <t>uoft_2024_8</t>
  </si>
  <si>
    <t>The impact of post-Bill 124 compensation decisions is a dominating factor in this year’s budget plan. </t>
  </si>
  <si>
    <t>uoft_2024_11</t>
  </si>
  <si>
    <t>In response, divisions have had to review their hiring plans, contingencies, capital plans, and other priorities. It will take several years for divisions to fully absorb this extraordinary increase in base costs, which will limit funding available for other priorities. </t>
  </si>
  <si>
    <t>uoft_2024_12</t>
  </si>
  <si>
    <t>In March 2023, the Ontario Government announced the creation of a new Blue-Ribbon Panel (BRP) to provide advice to the Ministry of College &amp; Universities on how to help keep the postsecondary education sector financially strong and focused on providing the best student experience possible. The Panel published their final report in November 20232 with a number of key recommendations that could have a significant impact on the University’s budget, including:
• Unfreeze domestic tuition with a 5% increase to undergraduate programs and 8% for professional programs. Future increases linked to CPI.
• Immediate 10% increase in operating grant funding and then linked to CPI.
• Fungibility between undergraduate and graduate spaces within the enrolment corridor.
• Consider funding enrolment growth to meet demand.
• A note from the Panel’s Chair to deregulate tuition at the University of Toronto in recognition of its pre-eminence and long-standing commitment to access.</t>
  </si>
  <si>
    <t>uoft_2024_14</t>
  </si>
  <si>
    <t>The BRP’s recommended 10% increase would represent about $65 million in additional critical revenue to the University. As we wait for the Government to respond to this recommendation, the budget plan does not assume additional operating grant revenue beyond the amount to offset the domestic tuition freeze. If the Ontario Budget includes an increase, the additional revenue would be allocated to divisions through the University’s budget model to support their highest priorities. </t>
  </si>
  <si>
    <t>uoft_2024_15</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</si>
  <si>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 </t>
  </si>
  <si>
    <t>uoft_2024_17</t>
  </si>
  <si>
    <t>uoft_2024_18</t>
  </si>
  <si>
    <t>In recognition of the potential impact of the COVID-19 pandemic on metrics, the Government suspended activation of the performance-based funding framework for the first three years of the SMA3 period and has reduced the amount of funding that will be linked to performance metrics. In 2023-24, the framework was activated with 10% of funding linked to the metrics. This will increase to 25% in 2024-25. The University exceeded all of its metrics targets in the first four years of the SMA3 evaluation period and does not anticipate any reductions to funding in the future. </t>
  </si>
  <si>
    <t>The SMA3 also sets out a multi-year enrolment plan. In response to Ontario’s changing demographics, the University and the Province have agreed to hold constant the level of domestic undergraduate enrolment at the University of Toronto over the period of the agreement. The University will be eligible for full enrolment funding provided it maintains a five-year average enrolment within ±3% of its target. This excludes separately funded enrolment expansions in nursing and the Scarborough Academy of Medicine &amp; Integrated Health discussed later in this document. </t>
  </si>
  <si>
    <t>uoft_2024_21</t>
  </si>
  <si>
    <t>In May 2022, the Government announced new expansion funding for the Scarborough Academy of Medicine and Integrated Health (SAMIH) that will be located at the University of Toronto Scarborough (UTSC) campus. SAMIH will be a collaboration between UTSC, the Temerty Faculty of Medicine, the Lawrence S. Bloomberg Faculty of Nursing, and the Leslie Dan Faculty of Pharmacy. It will serve as a hub for undergraduate health education and health professional training. </t>
  </si>
  <si>
    <t>uoft_2024_29</t>
  </si>
  <si>
    <t>Unfortunately, it appears that the Government will again extend the domestic tuition freeze for a fifth year to 2024-25, resulting in a $15 million impact to the University’s plans for next year that assumed a modest 3% increase to Ontario resident tuition. In their public statements, the Government has also indicated that they will support colleges and universities through the freeze. As a result, the 2024-25 Budget assumes increased operating grant funding of $15 million to offset the financial impact of the extension of the freeze. Consistent with the Frameworks in place since 2021-22, the University is planning on a 5% increase to Non-Ontario Resident domestic tuition in undergraduate programs in 2024-25. </t>
  </si>
  <si>
    <t>uoft_2024_31</t>
  </si>
  <si>
    <t>uoft_2024_32</t>
  </si>
  <si>
    <t>uoft_2024_33</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</si>
  <si>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342 Chairs spread across three campuses and fourteen fully affiliated hospitals (the next largest university allocation of CRCs is 110).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53%. An appropriate adjustment to the value of these awards is long overdue. </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</si>
  <si>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59%. While this investment is welcome, a doubling of the Federal RSF rate would bring the University somewhat closer to the rate of indirect cost funding among research- intensive institutions in the Association of American Universities (AAU). This would have a significant impact by allowing research-intensive divisions to close the gap on their structural deficits. Without a change in the funding formula, each additional dollar of research funding places a higher burden on the University’s operating funds. </t>
  </si>
  <si>
    <t>uoft_2024_38</t>
  </si>
  <si>
    <t>uoft_2024_39</t>
  </si>
  <si>
    <t>uoft_2024_40</t>
  </si>
  <si>
    <r>
      <t>In 2019, the final report of the Alternative Funding Sources Advisory Group</t>
    </r>
    <r>
      <rPr>
        <vertAlign val="superscript"/>
        <sz val="6"/>
        <color theme="1"/>
        <rFont val="Helvetica"/>
        <family val="2"/>
      </rPr>
      <t xml:space="preserve">4 </t>
    </r>
    <r>
      <rPr>
        <sz val="9"/>
        <color theme="1"/>
        <rFont val="Helvetica"/>
        <family val="2"/>
      </rPr>
      <t>articulated several potential sources of revenue-generation that take advantage of some of the University’s key strengths: its capacity to create and disseminate knowledge, its real estate holdings and physical infrastructure, and its significant financial capital. One example of actions undertaken following the report was the establishment of The Advisory Group on Lifelong Learning Opportunities established by the Provost. The group’s June 2021 report</t>
    </r>
    <r>
      <rPr>
        <vertAlign val="superscript"/>
        <sz val="6"/>
        <color theme="1"/>
        <rFont val="Helvetica"/>
        <family val="2"/>
      </rPr>
      <t xml:space="preserve">5 </t>
    </r>
    <r>
      <rPr>
        <sz val="9"/>
        <color theme="1"/>
        <rFont val="Helvetica"/>
        <family val="2"/>
      </rPr>
      <t>includes recommendations to enhance and expand the University’s lifelong learning offerings through initiatives such as a Lifelong Learning Community of Practice and micro-credentials. </t>
    </r>
  </si>
  <si>
    <t>uoft_2024_41</t>
  </si>
  <si>
    <t>Current projects in various stages of planning, design, and construction include the Oak House residence at Spadina and Sussex scheduled to open in 2024-25, a new residence on Harbord in development, the Site 1 Gateway project at Bloor and Spadina with faculty, staff and student family housing, and the Schwartz Reisman Innovation Campus (SRIC) East. </t>
  </si>
  <si>
    <t>uoft_2025</t>
  </si>
  <si>
    <t>uoft_2025_1</t>
  </si>
  <si>
    <t>Approximately 86% of the University’s operating revenue is
related to enrolment through student fees and operating
grants. Demand for the University’s programs continues to
be very strong with overall enrolment breaking the 100k
mark at 102,431 undergraduate and graduate students
enrolled in 91,425 FTEs of course activity in Fall 2024, a
2,593 FTE increase over the previous year.</t>
  </si>
  <si>
    <t>uoft_2025_2</t>
  </si>
  <si>
    <t>We continue to see strong domestic and international
applicant pools to our direct-entry undergraduate
programs, with growth of 3.4% in the incoming class to
17,022 in Fall 2024, though 1.4% below the plan for this
year, which had assumed a bit more growth. Domestic
demand was particularly strong with intake 733 above
target. Unfortunately, a challenging recruitment
environment contributed to lower than planned
international intake at 978 below target. On a year-over
year-basis, international intake was 6% below Fall 2023;
certainly not ideal but a much better result than the
double-digit percent decreases reported by many other
Ontario universities this year.</t>
  </si>
  <si>
    <t>uoft_2025_3</t>
  </si>
  <si>
    <t>Retention of upper-year students continues to bounce
back from the dip seen at the end of the pandemic. This
exceeded the conservative assumptions in the budget plan
and offset the lower than planned intakes. As a result,
overall undergraduate enrolment exceeded the budget plan
by 1.3% with positive variances in both domestic and
international enrolment.</t>
  </si>
  <si>
    <t>uoft_2025_4</t>
  </si>
  <si>
    <t>On January 22, 2024, the Federal Government introduced
a new cap on international student permits for 2024 aimed
at reducing the number of new permits issued nationally by
35%. For 2024, the cap was administered through a
restriction in the number of permit applications reviewed
for undergraduate studies from out of country applicants.
These applicants now required a Provincial Attestation
Letter (PAL) from a limited pool managed by each Province
in order to be considered for a study permit. Graduate
students were exempted from the cap. In 2024, the
University received sufficient PALs to meet our targets,
however, the new process created significant uncertainty in
international markets that likely impacted demand and
contributed to the lower than planned intake this year.</t>
  </si>
  <si>
    <t>uoft_2025_5</t>
  </si>
  <si>
    <t>As part of this initiative, the Federal Government also
changed eligibility for post-graduate work permits (PGWP)
for college programs, making graduates from public-private
partnerships ineligible for a PGWP. This had a major
impact on demand for those programs and Ontario
colleges used only about half of their allocation of PALs this
year. In contrast, the University used all of our 2024
allocation of PALs.</t>
  </si>
  <si>
    <t>uoft_2025_6</t>
  </si>
  <si>
    <t>In September 2024, the Government announced a further
10% reduction in international permits for 2025 and
extended the new PAL requirement to graduate students
and in-country international undergraduate applicants (ie.
those who enrolled in and are applying from Canadian high
schools). Our PAL allocation for 2025 should be sufficient
to meet our targets although we are requesting additional
PALs from the Ministry if they become available in order to
provide some flexibility if conversion rates decrease.
However, this new requirement adds a further complication
for students applying to attend the University, which is not
the target of these policy changes.</t>
  </si>
  <si>
    <t>uoft_2025_7</t>
  </si>
  <si>
    <t>The Federal Government continues to face significant
challenges in timely processing of student permit
applications given the large increase in volumes across the
country in recent years. The University of Toronto along
with Universities Canada and other peer universities
continues to advocate with Immigration, Refugees &amp;
Citizenship Canada (IRCC) for the introduction of a new
Recognized Institution Framework that will create a new,
separate pathway for student permit processing for
“recognized” institutions. This would significantly improve
the experience for our students and reduce time to
approval.</t>
  </si>
  <si>
    <t>uoft_2025_16</t>
  </si>
  <si>
    <t>The Ontario post-secondary education system operates
under a differentiation policy framework that is
operationalized through a series of bilateral Strategic
Mandate Agreements. These agreements specify the role
of each university in the system and how each will build on
institutional strengths to drive system-wide objectives and
government priorities.</t>
  </si>
  <si>
    <t>uoft_2025_18</t>
  </si>
  <si>
    <t>The SMA performance-based funding framework will be
linked to 25% of operating grant funding provided to the
University in 2025-26 and 2026-27 and then increase
annually to 40% by 2029-30. Under the framework, each
university is measured against its own past performance,
not against other institutions. As Canada’s leading
research-intensive university, performance-based funding
allows the University to benchmark its strengths in areas
such as innovation, research funding, and graduate
employment, and have funding reflect its achievements in
these areas. The University exceeded all of its metrics
targets under SMA3 and does not anticipate any
reductions to funding under SMA4.</t>
  </si>
  <si>
    <t>uoft_2025_23</t>
  </si>
  <si>
    <t>Unfortunately, the Government did not follow the Panel’s
recommendations to unfreeze domestic tuition and
instead, has extended the current freeze until at least
2026-27. While the additional operating grant funding is
very welcome, it essentially offsets the additional revenue
that would have been generated under a modest 3%
tuition increase framework.</t>
  </si>
  <si>
    <t>uoft_2025_26</t>
  </si>
  <si>
    <t>In 2022-23, the Government introduced flexibility to
increase non-Ontario domestic tuition by 5% per year – a
helpful change but limited in impact as this applies to just
a small portion of the University’s domestic enrolment.</t>
  </si>
  <si>
    <t>uoft_2025_28</t>
  </si>
  <si>
    <t>In 2024-25, total revenue from domestic enrolment (tuition
and grants) was less than it was in 2018-19 in nominal
dollars, without adjusting for inflation. However, this is
beginning to change. Tuition from the higher than planned
domestic enrolment and the new Financial Sustainability
funding should put next year’s domestic-related revenues
just over where they were in 2018-19 next year. It is critical
that this growth continues given the uncertainties with the
international recruitment markets.</t>
  </si>
  <si>
    <t>uoft_2025_30</t>
  </si>
  <si>
    <t>In 2022-23, the Government announced $124.2 million
over three years to significantly increase funding for
nursing clinical operations at colleges and universities.
Under this initiative, the University’s allocation for nursing
clinical funding roughly tripled to $1.1 million per year,
which has helped with operating costs for running these
programs. We are optimistic that the Government will
extend this important funding support beyond 2024-25,
but they have not yet committed to this as of the writing of
this report. The University also continues to advocate for
increased clinical funding in other program areas, in
particular dentistry, where the essential in-house clinics
require significant subsidies from other operating revenues.</t>
  </si>
  <si>
    <t>uoft_2025_35</t>
  </si>
  <si>
    <t>Funding from the Federal Government is provided to
universities primarily to support investigator-driven
research and is not generally part of the University’s
operating budget. However, federal funding interacts with
the University’s operating budget in three important areas:
Canada Research Chairs, funding for the indirect costs of
research, and graduate student support.</t>
  </si>
  <si>
    <t>uoft_2025_36</t>
  </si>
  <si>
    <t>The Canada Research Chairs (CRC) program introduced in
2000-01 contributes to salary and research support for
outstanding university researchers on a competitive basis.
Research chairs are awarded to each university based on
its share of eligible tri-agency research funding (the
Canadian Institutes of Health Research – CIHR; the
Natural Sciences and Engineering Research Council
Canada – NSERC; and the Social Sciences and Humanities
Research Council of Canada – SSHRC). The University of
Toronto has the country’s largest allocation of CRCs, with
341 Chairs spread across three campuses and fifteen fully
affiliated hospitals. Given that Chairholder salary is an
eligible and common budget element, these Chairs make
an important contribution to the University’s operating
budget. They also have a significant impact on the
University’s ability to recruit and retain outstanding
scholars. However, since the CRC program was
introduced, inflation has reduced the effective value of
Chair funding by over 69%. An appropriate adjustment to
the value of these awards is long overdue.</t>
  </si>
  <si>
    <t>uoft_2025_37</t>
  </si>
  <si>
    <t>Most research sponsored by NSERC, SSHRC and CIHR
funding programs generates funding to support indirect
costs from the federal Research Support Fund (RSF) and
the Incremental Project Grant (IPG). The University of
Toronto’s effective rate of federal indirect costs recovered
from these programs has averaged around 20% over the
last decade, relative to the University’s average indirect
cost rate of over 60%. However, in 2024, the Federal
Government announced a multi-year plan to increase
funding for the IPG program for research-intensive
institutions like the University of Toronto. This very
welcome increase is anticipated to substantially increase
Budget Report 2025-26 11 University of Toronto
total indirect costs of research funding from the Federal
Government.</t>
  </si>
  <si>
    <t>uoft_2025_38</t>
  </si>
  <si>
    <t>The Federal Government supports graduate students by
providing student scholarships on a competitive basis.
Although these funds do not flow through the University’s
operating budget, they provide indirect budget relief to the
academic divisions by freeing up funds that would
otherwise have to be used for graduate student support. In
July 2024, the Federal Government announced that it
would increase tri-agency doctoral scholarships to $40,000
and masters scholarships to $27,000, a significant
investment to support students.</t>
  </si>
  <si>
    <t>The University faces increasing financial pressure as a
result of constrained provincial tuition and enrolment
frameworks and real value decreases in provincial
operating grants. The University’s commitment to being an
internationally significant research university requires
creative solutions to fund its mission and aspirations.</t>
  </si>
  <si>
    <t>In 2019, the final report of the Alternative Funding Sources
Advisory Group4 articulated several potential sources of
revenue generation that take advantage of some of the
University’s key strengths: its capacity to create and
disseminate knowledge, its real estate holdings and
physical infrastructure, and its significant financial capital.
One example of actions undertaken following the report
was the Provost’s establishment of the Advisory Group on
Lifelong Learning Opportunities5. The group’s June 2021
report includes recommendations to enhance and expand
the University’s lifelong learning offerings through initiatives
such as a Lifelong Learning Community of Practice and
micro-credentials. In 2024-25, the Provost announced the
appointment of Professors Erica Walker, Dean of OISE, and
Catherine Chandler-Crichlow, Dean of the School of
Continuing Studies as Provostial Advisors on Lifelong
Learning to build on the Advisory Group’s work to leverage
the expertise and systems of the School of Continuing
Studies and other centres of excellence around the
University to expand U of T’s reach into the lifelong
learning space.</t>
  </si>
  <si>
    <t>The University has seized another such opportunity with
the adoption of the Four Corners Strategy, which will
leverage the University’s real estate assets to deliver
facilities and services to support the academic mission and
simultaneously grow revenue from sources other than
enrolment. Given the challenging interest rate environment
of the last few years, new developments have proceeded at
a slower pace than originally planned. However, the Four
Corners Strategy is anticipating initiating annual
contributions to the operating budget towards academic
priorities over the course of the five-year plan, starting with
a $5 million contribution in 2026-27, in addition to interest
payments to the operating budget on internally issued
mortgages used for Four Corners capital construction.</t>
  </si>
  <si>
    <t>uoft_2025_43</t>
  </si>
  <si>
    <t>Current projects in various stages of planning, design, and
construction include: the Oak House residence at Spadina
and Sussex, scheduled to open for September 2025; a new
residence on Harbord Street in development; the Site 1
Gateway project at Bloor and Spadina with faculty, staff
and student family housing; and, the Schwartz Reisman
Innovation Campus (SRIC) East. In addition, the University
is planning a major expansion of up to 5,000 units of
student housing on the St. George campus with private
partners over the next decade.</t>
  </si>
  <si>
    <t>PART 1</t>
  </si>
  <si>
    <t>uoft_2025_44</t>
  </si>
  <si>
    <t>uoft_2025_45</t>
  </si>
  <si>
    <t>uoft_2025_46</t>
  </si>
  <si>
    <t>In April 2017, a panel led by UofT President Emeritus David Naylor issued the final report of Canada’s Fundamental Science Review (the Naylor Report). The report recommended changes to the Canada Research Chair program, and proposed a significant increase in the funding for the indirect costs of research. </t>
  </si>
  <si>
    <t>PART 2 NEW</t>
  </si>
  <si>
    <t>class_binary</t>
  </si>
  <si>
    <t>class_intensity</t>
  </si>
  <si>
    <t>High</t>
  </si>
  <si>
    <t>PART 3</t>
  </si>
  <si>
    <t>Low</t>
  </si>
  <si>
    <t xml:space="preserve">Low </t>
  </si>
  <si>
    <t>Medium</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</si>
  <si>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The University of Toronto’s Strategic Mandate Agreement
confirms its leadership role in research and innovation in Ontario.</t>
  </si>
  <si>
    <t>The Ontario post-secondary education system operates under a differentiation policy framework. The framework is operationalized through a series of institutional Strategic Mandate Agreements, which specify the role of each University in the system and how they will build on institutional strengths to drive system-wide objectives and government priorities. </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</si>
  <si>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is the
establishment of The Advisory Group on Life Long Learning
Opportunities7 established by the Provost.</t>
  </si>
  <si>
    <t>The Ontario post-secondary education system operates under a differentiation policy framework. The framework is operationalized through a series of institutional Strategic Mandate Agreements, which specify the role of each university in the system and how each will build on institutional strengths to drive system-wide objectives and government priorities.</t>
  </si>
  <si>
    <t>In 2019, the final report of the Alternative Funding Sources
Advisory Group articulated several potential sources
of revenue-generation that take advantage of some of
the University’s key strengths: its capacity to create and
disseminate knowledge, its real estate holdings and physical
infrastructure, and its significant financial capital. Each of the
proposed strategies is underpinned by overarching principles
that are committed to protecting the University’s reputation,
building a pipeline of new ideas, increasing physical capacity
and financial flexibility at the institution-level to support
divisional collaboration, and ensuring transparent incentives
and risk assessment for alternative funding sources. One
example of actions undertaken following the report was the
establishment of The Advisory Group on Lifelong Learning
Opportunities established by the Provost. The group’s June
20218 report includes recommendations to enhance and
expand the University’s lifelong learning offerings through
initiatives such as a Lifelong Learning Community of Practice
and micro-credentials.</t>
  </si>
  <si>
    <r>
      <t>The Ontario post-secondary education system operates under a differentiation policy framework</t>
    </r>
    <r>
      <rPr>
        <vertAlign val="superscript"/>
        <sz val="6"/>
        <color theme="1"/>
        <rFont val="Helvetica"/>
        <family val="2"/>
      </rPr>
      <t xml:space="preserve"> </t>
    </r>
    <r>
      <rPr>
        <sz val="9"/>
        <color theme="1"/>
        <rFont val="Helvetica"/>
        <family val="2"/>
      </rPr>
      <t>that is operationalized through a series of bilateral Strategic Mandate Agreements. These agreements specify the role of each university in the system and how each will build on institutional strengths to drive system-wide objectives and government priorities. </t>
    </r>
  </si>
  <si>
    <t>uoft_2024_34</t>
  </si>
  <si>
    <t>class_rd</t>
  </si>
  <si>
    <t>Class Resource Dependence</t>
  </si>
  <si>
    <t>low resource dependence attitude</t>
  </si>
  <si>
    <t>no resource dependence content</t>
  </si>
  <si>
    <t>high resource dependene attitude</t>
  </si>
  <si>
    <t>class</t>
  </si>
  <si>
    <t>class_2</t>
  </si>
  <si>
    <t>windsor_2019</t>
  </si>
  <si>
    <t>University of Windsor</t>
  </si>
  <si>
    <t>windsor_2019_5</t>
  </si>
  <si>
    <t>The impact to the University’s Budget, if any, is unknown at this time but may affect enrolment or add pressures to the financial support provided to students through the operating budget.</t>
  </si>
  <si>
    <t>windsor_2019_6</t>
  </si>
  <si>
    <t>The Student Choice Initiative guidelines require that incidental fees charged by universities to support clubs, student societies, and programs that fall outside of the provincial framework for compulsory fees will be required to have an opt-out option for students. The ability to opt out must be presented to students before paying fees for that semester. Besides the logistics of being able to make the changes to our systems necessary to make this available to students in time for registration, there will not be a significant effect on the University’s Budget.</t>
  </si>
  <si>
    <t>windsor_2025</t>
  </si>
  <si>
    <t>windsor_2025_1</t>
  </si>
  <si>
    <t>Financial sustainability is critical to fulfilling the University of Windsor’s academic mission, serving our communities, and advancing the commitments and priorities outlined in our strategic plan, Aspire. The University has a long history of fiscal prudence, consistently presenting balanced budgets through strategic enrolment planning and cost management. However, sustaining this practice has become increasingly difficult. Canada is experiencing unprecedented social and economic pressures and change, affecting nearly every sector – including postsecondary education.</t>
  </si>
  <si>
    <t>windsor_2025_2</t>
  </si>
  <si>
    <t>As a result, we must enter a new “Era of Reimagining” at the University of Windsor—one that demands strategic decisions. Maintaining the status quo is not an option; adapting to this reality requires both immediate actions and long-term strategies.</t>
  </si>
  <si>
    <t>windsor_2025_4</t>
  </si>
  <si>
    <t>At the same time as the IRCC changes took place, geopolitical tensions between Canada and other
countries intensified. As a result, Canada’s reputation as a primary study destination suffered, especially
in India – the country from which UWindsor has historically recruited the majority of international
students. This has resulted in a decrease in international student enrolment. The IRCC caps alone are
expected to result in a loss of more than $600M in 2025/26 for Ontario’s colleges and universities.1</t>
  </si>
  <si>
    <t>windsor_2025_5</t>
  </si>
  <si>
    <t>UWindsor is in a vulnerable position—both literally and figuratively—due to factors that set us apart
from our peers. In recent years, UWindsor has diversified its international student population by
incrementally growing high-priority graduate programs while maintaining academic standards. As of Fall
2024, 25% of our full-time students hailed from outside Canada. This constituted about 29% of the
University’s operating budget revenue.</t>
  </si>
  <si>
    <t>windsor_2025_6</t>
  </si>
  <si>
    <t>We are also the most regionally dependent university in Ontario, with 76% of our domestic
undergraduate students coming from the Windsor-Essex and Chatham-Kent regions, the highest
proportion among all Ontario universities.</t>
  </si>
  <si>
    <t>windsor_2025_7</t>
  </si>
  <si>
    <t>This student enrolment demographic enables us to support local and global communities by cultivating a
talent pipeline that drives knowledge and economic growth. But it also means that local communities
feel the ripple effects of any challenges the institution faces. It also renders UWindsor more susceptible
to the effects of changes in international student enrolment, with any fluctuations having immediate
budgetary impact.</t>
  </si>
  <si>
    <t>windsor_2025_8</t>
  </si>
  <si>
    <t>UWindsor’s ability to generate additional revenue from domestic tuition is currently constrained.
Tuition rates have largely been frozen since 2019/20, following a sector-wide 10% reduction, with no increases permitted through 2026/27. At the same time, the provincially mandated enrolment corridor limits access to operating grants for students admitted above the funded midpoint, despite these students requiring full instructional and support services. Together, these policies have stalled growth in UWindsor’s most flexible revenue stream for more than six years.</t>
  </si>
  <si>
    <t>windsor_2025_9</t>
  </si>
  <si>
    <t>Direct government-based operating funding remains the only other major source of revenue for the University’s operating budget. While minor year-over-year increases in total operating revenue have occurred, these have been due to time-limited special purpose grants and do not reflect sustained public investment in institutional operations.</t>
  </si>
  <si>
    <t>windsor_2025_10</t>
  </si>
  <si>
    <t>In 2024/25, UWindsor received $9.3M in one-time funding through the Province’s Postsecondary Education Sustainability Fund (PSESF), introduced in response to the recommendations of the Blue-Ribbon Panel on Postsecondary Financial Sustainability. This included $2.8M in across-the-board support (equivalent to 3% of base funding) and an additional $6.5M in in top-up funding. Detailed information about the PSESF is included in a later section. It is important to note that while this funding provided important short-term relief in a period of fiscal constraint, it does not form part of the University’s base operating grant and carries no commitment beyond the current fiscal year.</t>
  </si>
  <si>
    <t>windsor_2025_11</t>
  </si>
  <si>
    <t>Inclusion of this temporary funding starting in the 2024/25 fiscal year reflected a system-wide recognition of growing financial pressures in Ontario’s postsecondary sector. However, the structural limitations facing universities — flat base funding, frozen tuition, and corridor restrictions — remain unresolved, underscoring the need for long-term solutions and sustainable investment.</t>
  </si>
  <si>
    <t>windsor_2025_12</t>
  </si>
  <si>
    <t>In addition to limited revenue growth opportunities, the University’s reserves are modest, though we have seen growth in recent years. While efforts have been made in the last five years to build up the reserves, there is no option to fund material base deficits through use of one-time reserve funds.</t>
  </si>
  <si>
    <t xml:space="preserve">High </t>
  </si>
  <si>
    <t>windsor_2025_13</t>
  </si>
  <si>
    <t>The situation is further compounded by rising expenses, including higher costs for personnel, operational expenditures, and service agreements. Approximately 75% of UWindsor’s operating budget is allocated to people-related expenses. Adding to these challenges are inflation-driven expense increases across various other areas, including IT licensing, cybersecurity, subscriptions, renovations, maintenance, utilities, and supplies.</t>
  </si>
  <si>
    <t>windsor_2025_14</t>
  </si>
  <si>
    <t>In 2024/25, UWindsor faced an initial $8.4M gap between revenues and expenses when planning the operating budget. The Budget Balancing Committee established in the prior year identified $5.6M in cost-saving measures, yet a $2.8M base deficit remained. That deficit was fully offset by one-time provincial funds supported by the Ministry of Colleges, Universities, Research, Excellence and Security (MCURES) Post-Secondary Education Sustainability Fund, allowing a balanced budget to be presented to the Board of Governors last spring.</t>
  </si>
  <si>
    <t>windsor_2025_15</t>
  </si>
  <si>
    <t>For 2025/26, UWindsor is expecting a further decline in tuition revenue from international students which, coupled with the 2024/25 base deficit, has required transformational actions on behalf of the campus community to ensure our long-term financial sustainability.</t>
  </si>
  <si>
    <t>carleton_2019</t>
  </si>
  <si>
    <t>Carleton University</t>
  </si>
  <si>
    <t>carleton_2019_2</t>
  </si>
  <si>
    <t>There has been a lot of change and transition in the 2018-2019 academic year with the arrival of
our new President, confirmation of new deans and department heads, and our Provost and Vice-
President (Academic). The university’s $300-million capital campaign also came to a successful
conclusion. Externally, a new provincial government was installed at Queen’s Park, which is
expected to impact regulations and funding models.</t>
  </si>
  <si>
    <t>carleton_2019_5</t>
  </si>
  <si>
    <t>The SMA2 gathers information on system-wide and institutional initiatives grouped under the broad
themes of: a) student experience, b) innovation in teaching and learning excellence, c) access and
equity, d) research excellence and impact, and e) innovation, economic development, and
community engagement. The previous government had indicated that performance metrics could
have a financial impact in SMA3, starting in 2021, currently representing up to 8% of total provincial
grant funding for Carleton.</t>
  </si>
  <si>
    <t>carleton_2019_7</t>
  </si>
  <si>
    <t>Although Carleton is presently in good financial health, maintaining a balanced
operating budget within the new provincial funding model will become increasingly challenging.</t>
  </si>
  <si>
    <t>carleton_2020</t>
  </si>
  <si>
    <t>carleton_2020_4</t>
  </si>
  <si>
    <t>In parallel, during the Fall of 2019, Carleton began the process of negotiating a renewed Strategic
Mandate Agreement (SMA3) with the Ministry of Colleges and Universities (MCU) of Ontario. SMA3
is aligned with the MCU’s funding model reform and introduces a performance/outcomes-based
grant in a differentiation funding envelope. While the document is essentially finalized, it has
indeterminately been put on hold by the Province due to the current public health crisis. It is now
doubtful that it will come into play for 2020-21.</t>
  </si>
  <si>
    <t>carleton_2020_5</t>
  </si>
  <si>
    <t>Although Carleton is presently in good financial health, maintaining a balanced operating budget
under the new provincial funding model, when it becomes operational, could become increasingly
challenging. The following sections of this report describe the actions taken to support continued
growth and further success at Carleton while continuing to maintain financial sustainability.</t>
  </si>
  <si>
    <t>carleton_2021</t>
  </si>
  <si>
    <t>carleton_2021_2</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</si>
  <si>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2021-22 are based on a modest decline in first-year undergraduate student intake for the coming year, a fixed annual operating grant for the foreseeable future and compulsory cost increases that exceed annual revenue growth projections caused primarily by increases in compensation-related expenses.</t>
  </si>
  <si>
    <t>carleton_2021_4</t>
  </si>
  <si>
    <t>Carleton’s operating budget projects total revenue and expenses of $514.9 million for fiscal year 2021-22. This represents an increase of $12.5 million from the $502.4 million 2020-21 budget. The change is mainly attributable to international tuition fee increases ranging from 0% to 8% and flow-through of undergraduate international students. Domestic tuition fees for 2021-22 are planned to remain fixed at the 2019-20 level. These fees were reduced by 10% from those in 2018-19. The provincial government has yet to release an updated Tuition Fee Framework for post-secondary education institutions in Ontario.</t>
  </si>
  <si>
    <t>carleton_2021_6</t>
  </si>
  <si>
    <t>As the university works toward achieving these goals, we continue to emphasize and support initiatives that promise to increase and diversify external revenue sources and those that work to identify cost containment opportunities in the long term.</t>
  </si>
  <si>
    <t>carleton_2021_7</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</si>
  <si>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 have been encouraged to use existing carry forward funds to support initiatives aimed at addressing our budget priorities. The aim to draw on unit-level reserves was reinforced through conservative budget allocations in 2021-22. This has resulted in a total of $8.6 million in base funding invested through new faculty positions ($0.1 million toward a new librarian position, $1.7 million in replacement positions, and $0.8 million in benefit costs), new continuing professional staff positions ($1.5 million), improvements to Carleton’s IT infrastructure ($1.9 million), additional student support ($1.5 million), inflationary costs ($0.9 million) and other strategic initiatives ($0.2 million). As part of Carleton’s financial risk mitigation strategy, a one-time $6.8 million “strategic set aside” has been recommended for investment in future initiatives and to address unexpected income shortfall over the planning horizon.</t>
  </si>
  <si>
    <t>windsor_2019_8</t>
  </si>
  <si>
    <t>windsor_2019_9</t>
  </si>
  <si>
    <t>The University used this funding (approximately $1.3M annually) to help service the debt related to capital expansion to 2026/27. The cancellation of the program requires the operating budget to absorb this unexpected expense beginning in 2019/20.</t>
  </si>
  <si>
    <t>On April 12, 2019, UWindsor received a memo from the Ministry of Training, Colleges and Universities (MTCU) announcing the cancellation of the Graduate Enrolment Expansion Capital Program as of 2019/20. Grant payments were initiated in 2007/08 and were expected to continue for 20 years to support the infrastructure required to accommodate the government’s planned expansion of funded graduate spaces in Ontario.</t>
  </si>
  <si>
    <t>windsor_2019_10</t>
  </si>
  <si>
    <t>The Ontario Government’s budget introduced on April 11, 2019 noted changes to the next Strategic Mandate Agreement with Ontario Universities. The budget document says:
Through the next round of SMAs, Ontario will become a national leader in outcomes-based funding by tying 60 per cent to performance by the 2024-25 academic year. The first year of these new agreements will tie 25 per cent of funding to performance outcomes, and this proportion will increase annually by increments of 10 per cent for three years and 5 per cent in the last year until it reaches a steady state of 60 per cent in 2024-25... The overall number of metrics will also be reduced from 38 for colleges and 28 for universities to 10 for each sector. These 10 metrics align with the government’s priorities in skills and job outcomes, and economic and community impact. Institutions will have the flexibility to weigh the metrics that best reflect their differentiated strategic goals and will be measured against their own targets based on historical performance. These changes will reduce the reporting burden for institutions while supporting sustainability through a focus on institutional strengths and differentiation. (p. 187)</t>
  </si>
  <si>
    <t>carleton_2022</t>
  </si>
  <si>
    <t>carleton_2022_1</t>
  </si>
  <si>
    <t>Carleton's 2022-2023 operating budget supports the uhinversity's plans for the coming year and recommends the resource allocations required to execute those plans. It also reflects the university's alignment of its strategic planning, risk assessments and annual planning activities. The primary goal of this budget, as determined by the Strategic Integrated Planning Committee, is to advance the three directions of our Stategic Integrated Plan: Share Knowledge, Shape the Future, Serve Ottawa, Serve the World; and Strive for Wellness, Strive for Sustainability. As the university works toward achieving these goals, we continue to emphasize and support initiatives that promise to increase and diversity external revenue sources and those that work to identify cost containment opportunities in the long term.</t>
  </si>
  <si>
    <t>carleton_2022_2</t>
  </si>
  <si>
    <t>We have identified a number of challenges as we strive to achieve our strategic goals while maintaining a balanced budget. These include the anticipation of a continued freeze on domestic tuition, a fixed operating grant, requirements for improvements in technology and It security, a large deferred maintenance obligation, financial pressure created by annual compensation increases and changes in recruitment and enrolment strategies among Ontario post-secondary institutions. budget assumptions for 2022-23 are based on flat first-year undergraduate student and domestic graduate student intake for the coming year, a fixed annual operating grant for the forseeable future and compulsory cost increases that exceed annual revenue growth projections caused primarily by increases in compensation-related expensesand inflation.</t>
  </si>
  <si>
    <t>Carleton's operating budget projects total revenue and expenses of $521 million for fiscal year 2022-23. This represents an increase of $6million from the $515 million 2021-22 budget. The change is mainly attributable to internatinoal tuition fee increases and flow-through of undergraduate students. Domestic 2022-23 tuition fees for Ontario residents will remain fixed at the 2019-20 level. These fees were reduced by 10% from those in 2018-19. the provincial government has permitted domestic tuition fees for out-of-province students to increase by 3% in 2021-22 and 5% in 2022-23.</t>
  </si>
  <si>
    <t>In consideration of the revenue constraints posed by the enrolment mix and projections (a cautious scenario representing a 3% decline in first-year undergraduate intake from 2020-21 levels), the current tuition fee framework, Strategic Mandate Agreement and increasing base expenditures, Resource Planning Committees (RPCs) have been encouraged to use existing carry forward funds to support initiatives aimed at addressing our budget priorities. The aim to draw on unit-level reserves was reinforced through conservative budget allocations in 2022-23. This has resulted in a total of $1.5 million in base funding invested into RPcs through new faculty positions ($0.4 million), new professional staff positions ($0.5 million), faculty allocations via the Enrolment-Linked Budget Allocation (ELBA) model ($0.5 million), and straegic and operational initiatives ($0.1 million)</t>
  </si>
  <si>
    <t>carleton_2022_5</t>
  </si>
  <si>
    <t>carleton_2022_7</t>
  </si>
  <si>
    <t>carleton_2023</t>
  </si>
  <si>
    <t>The post-secondary education sector in Ontario currently faces a number of challenges as we collectively strive to achieve our strategic goals while maintaining balanced operating budgets. Presenting balanced operating budgets have become increasingly difficult due to factors such as a continued freeze on domestic tuition for Ontario resident students, a fixed operating grant, material deferred maintenance liabilities, annual compensation increases and changes in recruitment and enrolment patterns. Despite these challenges, we are able to present a balanced operating budget for 2023-24.</t>
  </si>
  <si>
    <t>Despite significant impact posed by the COVID-19 pandemic, including international student visa processing delays experienced in 2022-23, we remain confident that a return to in-person recruitment, our reputational enhancement efforts, combined with signals that international student visa processing issues have been resolved, will bring modest growth in enrolment and associated tuition revenue for 2023-24. This is driven by a planned gradual increase in domestic undergraduate and international graduate student intake along with a partial bounce-back in international undergraduate intake.</t>
  </si>
  <si>
    <t>The impact of a continued domestic tuition fee freeze presents challenges to the university and each of its Resource Planning Committees (RPCs). Adjustments to RPC budgets will include some combination of changes to faculty and staff hiring plans, deferral of capital projects, and fewer investments in service improvements and new initiatives.</t>
  </si>
  <si>
    <t>Though Carleton is presently in good financial health, critical environmental factors continue to place pressure on maintaining a balanced budget. This budget represents investments geared toward accomplishing our goals while also ensuring we continue to maintain financial sustainability.</t>
  </si>
  <si>
    <t>carleton_2023_3</t>
  </si>
  <si>
    <t>carleton_2023_4</t>
  </si>
  <si>
    <t>carleton_2023_5</t>
  </si>
  <si>
    <t>carleton_2023_10</t>
  </si>
  <si>
    <t>carleton_2024</t>
  </si>
  <si>
    <t>The post-secondary education sector in Ontario faces numerous challenges as we collectively strive to achieve our goals while maintaining balanced operating budgets. The Council of Ontario Universities has stated: “At least 10 of the province’s 23 publicly assisted universities are now projecting budget deficits [in 2023-24] totaling $175 million, with that number expected to rise to $273 million in 2024-25.”1 This estimate was provided before the repeal of Bill 124, which will have the effect of materially increasing the projected sector-wide budget deficit. These deficits are driven by acute regulatory and policy changes on the part of government which are beyond the control of universities.</t>
  </si>
  <si>
    <t>Unfortunately, the provincial government has decided again to extend the freeze of domestic tuition for Ontario residents. The Ministry recently clarified that this freeze will extend into the next three fiscal years, or through to 2026-27. The impact of the 10% tuition fee cut in 2019-20 and subsequent freeze, up to and including 2023-24, totals an estimated $190 million in cumulative lost tuition revenue for Carleton. This also translates to a reduction in annual lost tuition revenue of approximately $55 million in 2024-25 and onward when compared to the framework in place before 2019-20.</t>
  </si>
  <si>
    <t>Additionally, the sector remains in a corridor model with respect to its operating grant from the Ministry of Colleges and Universities, meaning little opportunity exists for Ministry-provided operating grants to grow with enrolment. In March 2024, however, Carleton received a one-time grant of $7.2 million from the provincial government for unfunded growth in the STEM disciplines, along with an increase of 3%/2%/2% in the operating grant for 2024-25, 2025-26, and 2026-27, respectively. It is not clear whether these increases will become permanent or will be limited only to a three-year term.</t>
  </si>
  <si>
    <t>Prior to the pandemic, enrolment had been steadily and consistently increasing year over year for more than a decade, driven by growth in intake at both the undergraduate and graduate levels. In the fall of 2020, Carleton experienced a decline in new domestic first-year students, followed by a few consecutive years of decline in new first-year international students starting in 2021. The Fall 2023 term intake of new students saw the new domestic first-year student cohort at 87% of the peak intake year (2017), and the new international first-year student cohort stood at 61% of the comparable peak year for that cohort (2018). Successive years of declines have, and will continue, to flow through enrolment levels, affecting tuition revenue. Fortunately, the provincial grant has not been at risk during this period as we have been at or above the funded midpoint in the corridor model.</t>
  </si>
  <si>
    <t>For intake assumptions in 2024-25, we are pleased to see increases in domestic student interest but are also mindful of the financial situation of Ontario universities in general which will precipitate greater competition for domestic students. We have projected modest increases in domestic intake, therefore, both at the undergraduate and graduate levels. Given current geopolitical events coupled with new government regulations and process changes, we anticipate challenges with new international student cohort sizes. We have seen declines in application numbers at both the undergraduate and graduate levels. Caps on international student numbers exempt graduate students and given that demand is growing in some programs geared to international graduate students, we anticipate that the impact won’t be as significant at the graduate level as at the undergraduate level, although we are seeing declines in international graduate student applications at both levels. At the undergraduate level, while all efforts are being made to mitigate losses, the concern for 2024-25 is particularly acute as confusion and delays in processing visas may have significant implications.</t>
  </si>
  <si>
    <t>The University’s single largest operating expenditure is salary and benefits, representing approximately 76% of operating budget spend. As a result, the repeal of Bill 124 is projected to have a material financial impact on the University. Many peer institutions have finalized their approach to addressing the wage issues for faculty and staff post-Bill 124 and a process is now underway at Carleton to settle this issue.</t>
  </si>
  <si>
    <t>For 2023-24, based on our financial outlook at that time, the University mandated a 2% across-the-board cut for all resource planning committees (RPCs). In response to the increasing financial pressure facing the University, driven by mainly exogenous factors, a mandated 3% across-the-board cut was communicated as part of the 2024-25 operating budget process. This decision will level a differential impact on each RPC, depending on program mix and RPC revenue sources. Adjustments to RPC plans will differ based on local priorities but will include some combination of changes to faculty and staff hiring plans, deferral of capital projects, and fewer investments in service improvements and new initiatives.</t>
  </si>
  <si>
    <t>The result is a budgeted operating deficit of $26 million for 2024-25. The long-range financial outlook projects that 6% in annual RPC base budget cuts may be required between now and 2028-29 to balance the University’s operating budget should no new opportunities for revenue growth present themselves.</t>
  </si>
  <si>
    <t>Structural financial stability may come, however, not only through prudent spending and base budget cuts, but also through focused efforts to increase our revenues. Opportunities exist in the mid-term to see: (a) our new programs reach steady state; (b) a full bounce back in international enrolment; (c) the MEng Practice program bringing additional targeted international enrolment; (d) increases in domestic enrolments; and (e) MCU operating grant increases potentially set as permanent, or base, increases. Should these programmatic and regulatory changes be realized by 2028-29, they would have the effect of substantially reducing the projected $80 million base budget deficit.</t>
  </si>
  <si>
    <t>carleton_2024_2</t>
  </si>
  <si>
    <t>carleton_2024_3</t>
  </si>
  <si>
    <t>carleton_2024_4</t>
  </si>
  <si>
    <t>carleton_2024_5</t>
  </si>
  <si>
    <t>carleton_2024_6</t>
  </si>
  <si>
    <t>carleton_2024_7</t>
  </si>
  <si>
    <t>carleton_2024_9</t>
  </si>
  <si>
    <t>carleton_2024_10</t>
  </si>
  <si>
    <t>carleton_2024_11</t>
  </si>
  <si>
    <t>carleton_2025_1</t>
  </si>
  <si>
    <t>carleton_2025</t>
  </si>
  <si>
    <t>Carleton’s 2025-26 operating budget signals a year of financial instability. Since the Ontario government introduced a corridor model for distributing the operating grant in 2017, events such as the 10% domestic tuition fee cut in 2019-20 and subsequent ongoing freeze, the repeal of Bill 124, diplomatic tensions, and policy changes on international student visas imposed by Immigration, Refugees and Citizenship Canada have had a cumulative and deleterious impact on Carleton’s financial position. From a $44 million base operating budget surplus presented in 2018-19, the University now presents a $32 million base operating budget deficit for 2025-26.</t>
  </si>
  <si>
    <t>carleton_2025_2</t>
  </si>
  <si>
    <t>When assessing the financial health of the institution, the leadership team focuses its long-range financial planning on its base budget projection, which communicates the structural financial position of the institution. In 2024-25, the University budgeted a base operating deficit of $32 million, with term-limited investment income improving the fiscal result to a $26 million reported deficit. The base operating deficit is projected to remain flat in 2025-26, despite cutting $24 million in base expenditure budget for the coming year. This result highlights the current plight of Ontario universities: a sector marked by slow and constrained capacity to change coping with a rapidly evolving and unpredictable external environment. During 2024-25, the two most significant structural changes impacting Carleton University’s finances are the decline in international student intake and the retroactive application of Bill 124 salary adjustments. These events have a material flowthrough effect in 2025-26 and onward.</t>
  </si>
  <si>
    <t>The University had planned for a 25% and 10% reduction in undergraduate and graduate international students, respectively, in 2024-25 due to the impairment of Canada’s brand as a destination for international education, along with the operational losses incurred because of a delayed introduction of Provincial Attestation Letter requirements. Actual international intake in 2024-25, however, was materially lower in undergraduate and graduate students than in 2023-24. Early application data lead us to anticipate this trend will continue into 2025-26 with a projected additional 50% international undergraduate student decline and 10% international graduate student decline against 2024-25 levels. These declines continue an international student enrolment trend that began several years ago. In 2024-25, the University registered a 72% drop in international undergraduate student intake since our peak of more than 800 students in the fall of 2018. Compared to fall 2020, our undergraduate international intake has dropped 70%. Based on current projections, we are expecting as of Fall 2025 to have dropped by 86% from the peak in 2018.</t>
  </si>
  <si>
    <t>The repeal of Bill 124 also had a material financial impact on the University both in terms of retroactive salary payments and ongoing salary commitments. Salaries and benefits are the University’s largest operating expenditure, representing over 75% of operating budget expenditures. The Bill 124 salary adjustment, coupled with collective agreement-driven increases, exacerbate the structural budget challenges the University faces as increases in salaries continue to outpace revenue growth. Other financial pressures include the continued expansion of deferred maintenance obligations and an aging Enterprise Resource Planning system.</t>
  </si>
  <si>
    <t>A positive financial outcome for the University, however, occurred through an announcement made recently by the Ministry of Colleges, Universities, Research Excellence and Security (MCURES). On March 24, 2025, the Ministry announced an annual investment of $150M beginning in 2025-26 to support the continued delivery and enhancement of science, technology, engineering and mathematics (STEM) programming at Ontario’s colleges and universities. The allocation rewards institutions where enrolment has increased above the level funded in Strategic Mandate Agreement 3 (SMA3), while also providing support to all institutions that provide STEM programming in the province to help them retain existing STEM enrolments. For Carleton, this will result in $7.8 million in additional, ongoing provincial funding. Additionally, Postsecondary Education Sustainability Fund top-up monies are being allocated to institutions based on their updated financial health risk ratings. Carleton has received a medium risk rating, which will result in a one-time 3.5% increase to our operating funding, or $5.9 million.</t>
  </si>
  <si>
    <t>As revenues decrease and salary costs increase, the University has undertaken a spending reduction campaign across all Resource Planning Committees. The University has reduced its base spending by $30 million through introduction of a Voluntary Retirement Incentive Program (VRIP), reducing general and administrative spending, and making changes to class sizes and offerings. The University is reviewing the impact of staff reductions in areas where mission critical services are located and will make hiring decisions as needed. Inevitably, these budget reductions will impact service levels.</t>
  </si>
  <si>
    <t>Despite these significant efforts, the long-range financial outlook is clear: more organizational restructuring is required to restore financial stability. Continued attention to these priorities will be required to stem the depletion of university resources and the challenge to continue operating as a going concern. Organizational restructuring may begin as early as the current fiscal year. The operating budget presented for approval, however does not include an estimate for the impact of possible restructuring.</t>
  </si>
  <si>
    <t>carleton_2025_3</t>
  </si>
  <si>
    <t>carleton_2025_4</t>
  </si>
  <si>
    <t>carleton_2025_5</t>
  </si>
  <si>
    <t>carleton_2025_6</t>
  </si>
  <si>
    <t>carleton_2025_9</t>
  </si>
  <si>
    <t>Low versus High Resource Dependence</t>
  </si>
  <si>
    <t>lakehead_2021</t>
  </si>
  <si>
    <t>lakehead_2021_2</t>
  </si>
  <si>
    <t>The global context in which we operate remains complex. The impact of COVID-19 continues to evolve. We also continue to operate in a provincial environment focused on fiscal austerity. Universities across Ontario, including Lakehead University, are facing a number of challenges that threaten achievement of long-term enrolment targets. These challenges include changes to how universities are funded within the province of Ontario with an increasing proportion of funding tied to ten performance metrics, evolving demographics in the regions we serve, in some cases a declining post-secondary age population, while the need for reskilling in the current workforce is increasing, and provincial competition continues to grow. These pressures are expected to continue into the future, while Lakehead University continues to strive towards the goal of achieving optimal enrolment over the coming years.</t>
  </si>
  <si>
    <t>lakehead_2021_3</t>
  </si>
  <si>
    <t>Lakehead University’s commitment to continued financial sustainability is evidenced by strong financial performance metrics, sound governance and strong financial management. As required by the Board of Governors, Lakehead University continues to present a balanced operating budget. The budget planning process for 2021-22 fully reflects the integrated budget development model that was launched in 2015-16 following significant consultation to inform a transparent, consultative and accountable integrated budgeting process. Despite significant financial changes and enrolment pressures, Lakehead has continued to respond to mitigate funding shortfalls.</t>
  </si>
  <si>
    <t>lakehead_2021_4</t>
  </si>
  <si>
    <t>In addition to the significant funding challenges that Lakehead has managed, the 2021-22 budget also responds to the extraordinary circumstances of the global pandemic. The 2021-22 budget continues to demonstrate budget caution to ensure that Lakehead remains financially sustainable and viable moving through and beyond the next fiscal year. The strongest strategies to offset funding challenges remain strong program delivery and recruitment efforts combined with ongoing increases in domestic and international student enrolment with further growth projected in subsequent years.</t>
  </si>
  <si>
    <t>Lakehead University</t>
  </si>
  <si>
    <t>lakehead_2022</t>
  </si>
  <si>
    <t>As required by the Board of Governors, Lakehead University presents a balanced operating budget. The budget planning process for 2022-23 fully reflects our integrated budget development model and exhibits a transparent, consultative and accountable integrated budgeting process. Despite significant financial changes and enrolment pressures, Lakehead has been able to mitigate funding shortfalls.</t>
  </si>
  <si>
    <t>lakehead_2022_5</t>
  </si>
  <si>
    <t>lakehead_2023</t>
  </si>
  <si>
    <t>The global context in which we operate continues to remain complex. As we recover from
the impacts of COVID-19 on our operations, most notably through some recovery in
enrolment, we continue to manage financial pressures including a continued freeze on
domestic tuition rates, significant inflationary pressures, and an increasingly competitive
post-secondary environment.</t>
  </si>
  <si>
    <t>On October 12, 2023, the Board of Governors approved a provisional $5.284M operating
budget deficit for 2023-24 while work continues concurrently with the development of an
action plan that mitigates the University's structural deficit and ongoing advocacy with
government.</t>
  </si>
  <si>
    <t>To ensure that Lakehead remains financially sustainable and viable moving through and
beyond the next fiscal year, the 2023-24 budget continues to demonstrate budget caution.
The 2023-24 budget offers a blueprint to manage the fiscal year so that each
faculty/department has a budget foundation to work within. Budget adjustments may
continue into the winter months, depending on enrolment and other financial pressures.
The strongest strategies to offset immediate and longer-term funding challenges remain
strong program delivery combined with proactive recruitment and retention efforts of both
domestic and international student enrolment.</t>
  </si>
  <si>
    <t>lakehead_2023_2</t>
  </si>
  <si>
    <t>lakehead_2023_3</t>
  </si>
  <si>
    <t>lakehead_2023_4</t>
  </si>
  <si>
    <t>lakehead_2024_1</t>
  </si>
  <si>
    <t>lakehead_2024</t>
  </si>
  <si>
    <t>As we plan for the upcoming 2024-25 fiscal year, the global context in which we operate continues to remain complex. Most notable is the significant disruption to international enrolment resulting from changes to federal immigration policy, capping of international undergraduate student visa approvals, and changes to the post-graduate work permit requirements. Lakehead also remains impacted by financial pressures including a continued freeze on domestic tuition rates, and a competitive post-secondary environment.</t>
  </si>
  <si>
    <t>lakehead_2024_2</t>
  </si>
  <si>
    <t>In 2023, in response to the sector-wide financial sustainability challenges, the province struck a Blue Ribbon Panel. While the panel acknowledged the structural challenges facing the sector and made recommendations for significant increases to tuition and grant funding, the government’s response has focused more on operational efficiencies.</t>
  </si>
  <si>
    <t>In February 2024, the government announced $1.3 billion in new funding over the next 3 years. This announcement was welcome news; however, analysts have indicated it represents about 20% of what was needed to stabilize the sector, well short of the Panel’s recommendations.</t>
  </si>
  <si>
    <t>Lakehead University's commitment to financial sustainability continues to be evidenced by strong financial performance metrics, sound governance, and strong financial management. Advocacy efforts with the provincial government have and will continue as we stress the unique position of Lakehead as the only comprehensive university in the north.</t>
  </si>
  <si>
    <t>The budget planning process for 2024-25 fully reflects our integrated budget development model and exhibits a transparent, consultative, and accountable integrated budgeting process. While a structural deficit still exists, the addition of one-time targeted sustainability funding, resulting from the $1.3 billion funding announcement, has contributed to a balanced budget.</t>
  </si>
  <si>
    <t>lakehead_2024_3</t>
  </si>
  <si>
    <t>lakehead_2024_4</t>
  </si>
  <si>
    <t>lakehead_2024_5</t>
  </si>
  <si>
    <t>lakehead_2025_1</t>
  </si>
  <si>
    <t>lakehead_2025</t>
  </si>
  <si>
    <t>Similar to the prior fiscal year, the external environment for the post-secondary education sector remains complex. Last year’s disruption to international enrolment resulting from changes to federal immigration policy continues to be a factor.</t>
  </si>
  <si>
    <t>lakehead_2025_2</t>
  </si>
  <si>
    <t>Development of the 2025/26 budget has been impacted significantly by these changes, most notably the capping of international student visa approvals, which have expanded to include graduate students. Lakehead is experiencing declines in applications due to the reputational damage these policy changes have caused combined with the perceived hostility of the Canadian government towards international students. Lakehead also remains impacted by a continued freeze on domestic tuition rates, and a highly competitive post-secondary environment. As a northern university, Lakehead is disproportionately affected by these external forces.</t>
  </si>
  <si>
    <t>In February 2024, the government announced $1.3 billion in new funding for a 3-year period. This announcement was welcome news; however, analysts have indicated it represents about 20% of what was needed to stabilize the sector, well short of the Blue Ribbon Panel’s recommendations. The Blue Ribbon Panel was struck in 2023 by the province in response to the sector-wide financial sustainability challenges.</t>
  </si>
  <si>
    <t>The addition of one-time targeted sustainability funding, resulting from the $1.3 billion funding announcement in 2024, contributed to a balanced budget for Lakehead in 202425; however, for 2025/26, Lakehead’s portion of the Post Secondary Education Sustainability Fund (PSESF) Top-up funding, which is a component of the $1.3 billion, was reduced to nearly half for 2025/26.</t>
  </si>
  <si>
    <t>The reduction to the PSESF Top-up funding in combination with the decline in international student enrolment has been unexpected and has placed exceptional pressure on budget development.</t>
  </si>
  <si>
    <t>Lakehead University's commitment to financial sustainability continues to be evidenced by strong financial performance metrics, sound governance and strong financial management. Advocacy efforts with the provincial government have continued and will continue as we stress the unique position of Lakehead as the only comprehensive university in the north.</t>
  </si>
  <si>
    <t>lakehead_2025_3</t>
  </si>
  <si>
    <t>lakehead_2025_4</t>
  </si>
  <si>
    <t>lakehead_2025_5</t>
  </si>
  <si>
    <t>lakehead_2025_6</t>
  </si>
  <si>
    <t>laurier_2025</t>
  </si>
  <si>
    <t>laurier_2025_1</t>
  </si>
  <si>
    <r>
      <t>The assumptions and estimates included in the 2025/26 Operating, Ancillary and Capital budgets are based on the information available to management at the time of preparation</t>
    </r>
    <r>
      <rPr>
        <sz val="11"/>
        <color rgb="FFFF0000"/>
        <rFont val="Calibri"/>
        <family val="2"/>
      </rPr>
      <t xml:space="preserve">. </t>
    </r>
    <r>
      <rPr>
        <sz val="11"/>
        <color theme="1"/>
        <rFont val="Calibri"/>
        <family val="2"/>
      </rPr>
      <t>Post-secondary institutions in Canada are facing sector-wide challenges, with continued revenue constraints and significant inflationary pressures contributing to growing financial risks. Universities across Ontario are facing increased scrutiny on fiscal performance through the Ministry of Colleges, Universities, Research Excellence and Security (MCURES) Financial Accountability Framework. </t>
    </r>
  </si>
  <si>
    <t>laurier_2025_2</t>
  </si>
  <si>
    <t>Successfully navigating this difficult environment will require highly disciplined and effective financial management as the university considers both the short-term horizon as articulated in the fiscal year budget and long-term sustainability as depicted in the multi-year budget projections.</t>
  </si>
  <si>
    <t>laurier_2025_4</t>
  </si>
  <si>
    <t>Notwithstanding this recent infusion of government grant funding, Laurier remain in a structural deficit position, with a modest deficit slated to increase rapidly over the next five years even if tuition is permitted to increase in 2027/28 and beyond. Significant constraints on revenue continue in the short term, including an ongoing general freeze in domestic tuition rates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required to succeed in a highly competitive sector.</t>
  </si>
  <si>
    <t>laurier_2025_5</t>
  </si>
  <si>
    <t>Alongside a challenging revenue outlook, increased scrutiny of universities’ financial performance continues through the MCURES University Financial Accountability Framework. The Framework consists of the five financial health indicators previously reported by Ontario Universities and incorporates debt ratios and the institution’s credit rating into an overall risk assessment. While Laurier’s 2023/24 financial performance resulted in a “low” risk assessment, a significant contributing factor to this assessment was the occurrence of one-time financial impacts such as real estate transactions (reinvested in capital) and the 23/24 one-time-only STEM funding. Without these transactions, Laurier’s performance would have yielded a less favourable risk assessment rating. 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</si>
  <si>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Wilfrid Laurier University</t>
  </si>
  <si>
    <t>laurier_2024_1</t>
  </si>
  <si>
    <t>laurier_2024</t>
  </si>
  <si>
    <t>The assumptions and estimates included in the 2024/25 Operating, Ancillary and Capital budgets are based on the information available to management at the time of preparation. Post-secondary institutions in Canada are facing sector-wide challenges, with continued revenue constraints and significant inflationary pressures contributing to growing financial risks. Universities across Ontario are facing increased scrutiny on fiscal performance through a recently announced MCU Financial Accountability Framework and a series of value-for-money audits by the Auditor General.</t>
  </si>
  <si>
    <t>Laurier is now in a structural deficit position, as the university faces significant constraints on revenue including an ongoing general freeze in domestic tuition rates, modest temporary increases to government grant, and a federal cap on international study permits for undergraduate students. The limitations on revenue mean that Laurier will not be able to keep pace with rising operating costs, make the appropriate level of investments in facilities renewal and information technology systems, or invest in strategic initiatives and programs to succeed in a highly competitive sector.</t>
  </si>
  <si>
    <t>Alongside a challenging revenue outlook, increased scrutiny of Universities’ financial performance was confirmed as the Ministry of Colleges and Universities introduced the University Financial Accountability Framework. The Framework consists of the five financial health indicators previously reported by Ontario Universities and incorporates debt ratios and the institution’s credit rating into an overall risk assessment. Laurier’s 2022/23 financial performance resulted in a “low” risk assessment, however, a significant contributing factor to this assessment was the occurrence of one-time real estate transactions – without these transactions, Laurier’s performance would have yielded a less favourable risk assessment rating.</t>
  </si>
  <si>
    <t>With the current structural deficit position Laurier must continue efforts to prioritize key investments with consideration for growth, revenue generation, cost containment, and spending to increase priority services and programs while demonstrating the ability to safeguard its fiscal health through Framework risk assessment results.</t>
  </si>
  <si>
    <t>In February 2024, Laurier received $11.6 million of funding for the 2023/24 fiscal year as part of the province’s funding approach to stabilize colleges and universities while maintaining a tuition freeze for Ontario students. This funding was provided specifically for STEM program costs for enrolments above currently funded levels. This one-time funding enables Laurier to offset $11.6 million in budgeted expenditures incurred during the 2023/24 year and contribute to a stabilization fund to mitigate future deficits. While this provides some limited, short-term deficit mitigation, without sustained and predictable funding Laurier will continue to be challenged with a growing structural deficit.</t>
  </si>
  <si>
    <t>laurier_2024_2</t>
  </si>
  <si>
    <t>laurier_2024_3</t>
  </si>
  <si>
    <t>laurier_2024_4</t>
  </si>
  <si>
    <t>laurier_2024_5</t>
  </si>
  <si>
    <t>laurier_2024_6</t>
  </si>
  <si>
    <t>laurier_2023_1</t>
  </si>
  <si>
    <t>laurier_2023</t>
  </si>
  <si>
    <t>The 2023/24 budget anticipates a full return to on-campus operations following multiple years of pandemic-driven budget assumptions. In recent years, the organization has been successful in mitigating the cumulative fiscal impacts of tuition cuts, grant and tuition freezes, pandemic-related public health restrictions, and challenges affecting sector efforts in internationalization. The provincial government has recently announced a blue-ribbon panel, composed of business and academic leaders, that will provide advice and recommendations related to sector financial stability beyond 2023/24. For 2023/24, funding constraints are continuing, with a continued tuition freeze for most Ontario students and fixed operating grant funding.</t>
  </si>
  <si>
    <t>With financial challenges escalating, the sector is also subject to increased scrutiny resulting from recent auditor general value-for-money audits. While annual operating budget plans are critical to financial sustainability, the assessment of comprehensive fiscal health inclusive of capital planning, reserve considerations, and debt capacity, will be needed to support Laurier’s significant upcoming growth initiatives. Laurier is poised to embark upon a number of exciting initiatives which will contribute to its strategic mandate and success in a highly competitive sector. The prioritization and focus on key investments with consideration for revenue generation, cost containment and spending to increase priority services and programs, will be critical in optimizing limited resources and safeguarding Laurier’s financial health – key principles in the development of the 2023/24 Budget.</t>
  </si>
  <si>
    <t>laurier_2023_2</t>
  </si>
  <si>
    <t>The assumptions and estimates included in the 2023/24 Operating and Ancillary budgets are based on the information available to management at the time of preparation. Post-secondary institutions in Canada are facing sector-wide challenges; the cumulative impact of tuition cuts, grant and tuition freezes, COVID-19 pandemic impacts and significant inflationary pressures have contributed to growing financial risks. Universities across Ontario are facing increased scrutiny on fiscal performance and a greater focus on financial health indicators is expected as part of the province’s overall performance management framework. This will require demonstration of effective financial planning which considers the short-term needs articulated in a fiscal year budget, as well as longer term strategies that tie into strategic priorities and capital planning. Throughout our history, the strength of the Wilfrid Laurier University community has allowed us to capitalize on opportunities and prevail over challenges to become a comprehensive, multi-campus institution focused on excellence in academics, a student experience second to none, and growing research enterprise. The 2023/24 budget builds upon those strengths as the university embarks on a number of efforts which will contribute to its continued success.</t>
  </si>
  <si>
    <t>Beyond pandemic recovery, Laurier is faced with frozen Ontario tuition and grant values, increasing building renewal needs, continued investment in information technology systems, compounding inflationary pressures and funding requirements for investment in strategic initiatives and programs to succeed in a highly competitive sector.</t>
  </si>
  <si>
    <t>Prioritization and a focus on key investments, with consideration for growth strategies, revenue generation, cost containment and spending to increase priority services and programs will be critical to optimize limited resources and safeguard Laurier’s fiscal health.</t>
  </si>
  <si>
    <t>Financial sustainability is a critical enabler that will equip Laurier with the financial strength and capacity to achieve its strategic objectives. Financial sustainability refers to the balance between the revenues available to institutions to support their academic activities and the expenses they incur in delivering their mission.</t>
  </si>
  <si>
    <t>laurier_2023_5</t>
  </si>
  <si>
    <t>laurier_2023_6</t>
  </si>
  <si>
    <t>laurier_2023_8</t>
  </si>
  <si>
    <t>laurier_2023_9</t>
  </si>
  <si>
    <t>laurier_2022</t>
  </si>
  <si>
    <t>Laurier is poised to embark upon a number of exciting initiatives which will contribute to its success in a highly competitive sector. Consideration of financial decisions must be made in the context of the organization’s strategic mandate, as well as the full financial picture inclusive of capital, reserves, debt, and operating and ancillary services budgets. The Financial Sustainability Project, initiated in fall 2021, will strengthen capabilities in maintaining an up-to-date understanding of this full financial picture. The prioritization and focus on key investments with consideration for revenue generation, cost containment and spending to increase priority services or programs will be critical in optimizing limited resources and safeguarding Laurier’s financial health and has served as key principles in the development of the 2022/23 Budget.</t>
  </si>
  <si>
    <t>laurier_2022_2</t>
  </si>
  <si>
    <t>In this multi-year approach, continued efforts to address a structural deficit are needed to lay the groundwork for Laurier to succeed in a post-pandemic world. Beyond pandemic recovery, Laurier is faced with frozen tuition and grant values, increasing capital infrastructure needs, continued investment in information technology systems, compounding inflationary pressures and funding requirements for investment in strategic initiatives and programs to succeed in a highly competitive sector.</t>
  </si>
  <si>
    <t>Prioritization and a focus on key investments, with consideration for growth strategies, revenue generation, cost containment and spending to increase key services and programs will be critical to optimize limited resources and safeguard the organization’s fiscal health. </t>
  </si>
  <si>
    <t>laurier_2021_4</t>
  </si>
  <si>
    <t>laurier_2021_6</t>
  </si>
  <si>
    <t>laurier_2021</t>
  </si>
  <si>
    <t>laurier_2019</t>
  </si>
  <si>
    <t>The Operating Budget is developed with a focus on ensuring resources are devoted to high impact strategic priorities and are aligned with the institutional mission. In light of policy changes governing tuition fees, it is increasingly important to ensure that resource allocation reflects the strategic direction of the institution, while exercising spending constraint.</t>
  </si>
  <si>
    <t>Discussions regarding future Strategic Mandate Agreements are ongoing and may affect funding levels.</t>
  </si>
  <si>
    <t>The Provincial Government announced the withdrawal of capital funding for the Milton campus. Laurier’s capital allocation had been slated at $90 million. Despite this, Laurier remains committed to expanding into Milton and enhancing its multi-campus presence.</t>
  </si>
  <si>
    <t>laurier_2019_8</t>
  </si>
  <si>
    <t>laurier_2019_14</t>
  </si>
  <si>
    <t>laurier_2019_15</t>
  </si>
  <si>
    <t>waterloo_2023</t>
  </si>
  <si>
    <t>waterloo_2023_1</t>
  </si>
  <si>
    <t xml:space="preserve">Last Spring, the Board of Governors approved the University’s 2023/24 operating budget. At the time, we committed to providing an extraordinary Fall operating budget update because we knew that it was going to be a challenging financial year. Now that we have some critical pieces of information, I have provided an update to Senate and the Board of Governors, and can provide an update to our community.  </t>
  </si>
  <si>
    <t>There are several ongoing systemic factors that have affected the University’s operating budget this year and that will affect future budgets:
The provincial government imposed a 10 per cent domestic tuition cut in 2019 which was then followed by an ongoing freeze on tuition fees for domestic Ontario students. These measures have brought domestic tuition rates down to the level they were in 2014/15 and have reduced the University’s revenue by an estimated &gt;$250 million over the past five-year period.
Provincial government funding is restricted to a set number of domestic students. Over the last 10 years, the province’s basic operating grant per domestic student for the University has been frozen. This translates to a $22 million gap in grants as a result of enrolment corridor-based caps in total grant funding for domestic students.
The province has imposed numerous unfunded and under-funded mandates around student and community supports.
The lack of federal government commitment to taking action in response to longstanding calls to provide better support for the real indirect costs of research, and for research graduate students, has put increased pressure on the operating budgets of research-intensive universities.
A global pandemic and a number of geopolitical issues have impacted student mobility and enrolment, creating uncertainties that make enrolment management and budget forecasting challenging.
Evolving inflationary and market volatility have increased the costs of goods and services across the board.</t>
  </si>
  <si>
    <t>waterloo_2023_2</t>
  </si>
  <si>
    <t>The University started the fiscal year with a $4 million operating budget deficit. We knew when the Board approved this budget that there were additional points of uncertainty that we anticipated would have in-year impacts on the operating budget.</t>
  </si>
  <si>
    <t>This uncertainty includes changes to our enrollment. Current projections indicate incremental growth in domestic student enrolment with a smaller decrease in international student enrolment that is consistent with the trend over the last three years. This trend is unsustainable and causes instability when planning for international student enrolment and financial planning.</t>
  </si>
  <si>
    <t xml:space="preserve">Rising inflation rates have caused general expense pressures with the increased costs of goods and services. Interest rates have risen and have resulted in a $5 million increase in interest income projections for 2023/24. </t>
  </si>
  <si>
    <t>The recent faculty salary adjustment and the staff salary adjustment prompted by the changes to Bill 124 have resulted in a base salary increase and one-time payments for all eligible employees. The base salary increases translate to approximately $16 million (salary and benefits) annual recurring expense, and the lump sum payments amount to an additional $8 million one-time expense, both applicable in the current budget year.</t>
  </si>
  <si>
    <t>The Government of Ontario formed a Blue-Ribbon Panel to examine the financial sustainability of the post-secondary sector. The panel’s report has not yet been released, nor has the government provided a response to it. Therefore, it is unlikely that the outcome of the report will lead to any incremental revenue impacts of any outcomes related to BRP until the 2024/25 budget year.</t>
  </si>
  <si>
    <t>The Fall budget update estimates that our overall operating budget shortfall is $15 million this year. As was communicated at the time of the budget approval, the University will cover this shortfall using central reserve funds. However, this approach is unsustainable on an ongoing basis.</t>
  </si>
  <si>
    <t>We expect cost pressures, constraints, and uncertainty on key revenue drivers to continue. Without further University actions and transformative changes to the current Ontario university funding environment, our operating budget deficit would grow significantly in the coming years.</t>
  </si>
  <si>
    <t>Balancing the fiscal year 2024/25 and future years budgets will require a multi-faceted approach and a commitment to working together as One University. As we await action on the items that are currently being deliberated by the government, there will be difficult decisions to make. We will apply new measures to manage operating budget pressures in order to support our academic and research mission, as well as key priorities of the University. This will include a variety of approaches to reduce expenses in certain areas, and reallocate resources to other initiatives and priorities, to optimize spending and streamline operations.</t>
  </si>
  <si>
    <t>Earlier this year, we shared with you that the University faced a $75 million operating budget deficit for 2024/2025. Despite decades of pragmatic and careful financial management, pressures on the entire post-secondary sector mean Waterloo is facing significant financial challenges now and in the years ahead. </t>
  </si>
  <si>
    <t>waterloo_2023_3</t>
  </si>
  <si>
    <t>waterloo_2023_4</t>
  </si>
  <si>
    <t>waterloo_2023_5</t>
  </si>
  <si>
    <t>waterloo_2023_6</t>
  </si>
  <si>
    <t>waterloo_2023_7</t>
  </si>
  <si>
    <t>waterloo_2023_8</t>
  </si>
  <si>
    <t>waterloo_2023_9</t>
  </si>
  <si>
    <t>University of Waterloo</t>
  </si>
  <si>
    <t>waterloo_2024_1</t>
  </si>
  <si>
    <t>waterloo_2024</t>
  </si>
  <si>
    <t>waterloo_2023_10</t>
  </si>
  <si>
    <t xml:space="preserve">This year, we are managing the $75 million budget deficit by reducing ongoing spending by $42 million centrally and in our faculties and academic support units. The remainder of the deficit is being covered in year only using one-time contributions from central funds and from faculties and academic support units.  </t>
  </si>
  <si>
    <t>waterloo_2024_2</t>
  </si>
  <si>
    <t xml:space="preserve">The pressures affecting our budget do not show any signs of easing up. With fewer international students enrolling, a freeze on domestic tuition, no big increases in government grants, and rising salary and benefit costs, we need to keep finding ways to reduce spending to balance the budget. </t>
  </si>
  <si>
    <t>waterloo_2024_3</t>
  </si>
  <si>
    <t xml:space="preserve">Recently, it’s become clear that international student enrolment might continue to drop due to new government policies. We’ve also heard from government that domestic tuition and grant funding will stay frozen until at least 2027/2028. This means we won’t get extra tuition or government grants to cover rising costs. All universities in our province are facing similar challenges. </t>
  </si>
  <si>
    <t>waterloo_2024_4</t>
  </si>
  <si>
    <t xml:space="preserve">We know that many units have taken difficult steps to reduce spending to work within lower budgets. Thank you to all of you who have made a contribution to help us save money by working more efficiently and re-prioritizing your work.   </t>
  </si>
  <si>
    <t>waterloo_2024_5</t>
  </si>
  <si>
    <t xml:space="preserve">We are approaching the mid-year point for our annual operating budget. Over the next month, the annual operating budget update will be going to the appropriate Governance Committees for review, and we will focus on planning for the 2025/2026 budget. We must keep looking for efficiencies and cost savings across the university. </t>
  </si>
  <si>
    <t xml:space="preserve">We know that achieving financial sustainability will require difficult decisions in the months and years ahead. We also know that across-the-board budgets cuts will not be an effective way to achieve the savings we need to make while also optimizing our ability to deliver on our key operational missions.  </t>
  </si>
  <si>
    <t>waterloo_2024_6</t>
  </si>
  <si>
    <t>waterloo_2024_7</t>
  </si>
  <si>
    <t>waterloo_2025</t>
  </si>
  <si>
    <t>waterloo_2025_1</t>
  </si>
  <si>
    <t>We are writing to update you on our development of a three-year plan to return to a balanced budget. We have recently shared high-level information on our strategy with finance committees of Senate and Board and now want to update the wider community.</t>
  </si>
  <si>
    <t>s you know, for many years the University has carefully stewarded our finances, and focused on fulfilling our core mission and giving everyone who comes to learn, live and work at Waterloo a high-quality experience.</t>
  </si>
  <si>
    <t>However, the conditions that created our budget difficulties do not show signs of improving. We expect existing revenue constraints on provincial government grants and domestic tuition rates, and uncertainties related to international enrolments to persist through our planning period of the next three years. Indeed, that is what we have been led to expect by government.</t>
  </si>
  <si>
    <t>Keeping focused on our shared vision for Waterloo’s future is crucial to making good choices now. Achieving the vision of Waterloo at 100, and managing our current situation, demands that we be guided by our values. We must continue to think differently, act with purpose and work together on solutions.</t>
  </si>
  <si>
    <t xml:space="preserve">At the heart of our three-year plan will be an effort to reduce duplication and improve efficiency, including through recent and ongoing reviews of units (portfolios of the Vice-President, Research and International, the Associate Vice-President, Academic, and the Associate Vice-President, Graduate Studies and Postdoctoral Affairs, and the Plant Operations unit) and functions (Communications and Marketing, Finance, IT). As these reviews are completed in the coming weeks, we will start similar reviews of other administrative areas. As part of these processes we are seeking to obtain appropriate benchmark data on administrative operations to compare to peer institutions. </t>
  </si>
  <si>
    <t>Though we have important work underway on seeking new sources of revenue, strategic enrolment management, and will soon start with leadership from academic colleagues to look at future-focused design and delivery of academic programs, this work cannot address the near-term challenge we face.</t>
  </si>
  <si>
    <t>It is a reality that our plan must include a reduction in the number of people who work at the University over the next three years. Salaries and benefits are the majority of our expenses. We must find ways to change what we do and how we do it, and this will mean the discontinuation of some roles. Actions like our hiring freeze are already helping us to save money while evaluating which empty positions need to be filled and which can be reconsidered or restructured.</t>
  </si>
  <si>
    <t>The University is a large, complex organization, so role reductions will differ on a unit-by-unit basis based on organizational need. There is no single action we can take to achieve the necessary reductions. We expect a wide range of activities will help us make the changes we need over the next three years. As we refine our strategy, we will continue to be guided by our desire to treat all our hard-working employees with respect and concern in difficult circumstances.</t>
  </si>
  <si>
    <t>waterloo_2025_2</t>
  </si>
  <si>
    <t>waterloo_2025_3</t>
  </si>
  <si>
    <t>waterloo_2025_4</t>
  </si>
  <si>
    <t>waterloo_2025_5</t>
  </si>
  <si>
    <t>waterloo_2025_6</t>
  </si>
  <si>
    <t>waterloo_2025_7</t>
  </si>
  <si>
    <t>waterloo_2025_8</t>
  </si>
  <si>
    <t>western_2025</t>
  </si>
  <si>
    <t>western_2025_1</t>
  </si>
  <si>
    <t>The recently completed planning process leads us forward to the final year of the 3-year budget/planning cycle – spanning the period 2023-24 through 2025-26. In the summer of 2022, our Faculties and Support Units submitted Academic and Operational Plans in alignment with our strategic plan – and the priorities in those plans have formed the basis for the 3-year university plan.</t>
  </si>
  <si>
    <t>western_2025_2</t>
  </si>
  <si>
    <t>At this point in time, as we reach the end of the current fiscal year, we are on target to be very close to the net position initially projected for 2024-25. The Operating Reserve at the end of the current year is projected to be $50.7 million – compared to the budgeted figure of $51.5 million.</t>
  </si>
  <si>
    <t>Looking ahead to 2025-26, we have developed the University budget with the following general assumptions regarding revenues:
 Under the Provincial Government’s corridor-based block-grant funding system, our overall core
on-going provincial grants will remain frozen at the 2016-17 level.
 The Province’s tuition framework rolled back domestic tuition rates by 10% in 2019-20 and the
rates were kept constant (at the reduced levels) in 2020-21 through 2024-25. Government has confirmed that domestic tuition rates for Ontario students will remain frozen for 2025-26 and 2026- 27 – making it a total of 8 years of no change to domestic tuition rates.
 A year ago, the Federal Government introduced a policy/approach to limit study permits for undergraduate international students who would come to Canada from outside the country. That policy has now been updated to include all undergraduate students (both coming from outside the country and from within Canada) as well as all international graduate students. Our enrolment
   Page 1 of 48
Western University: 2025-26 Operating and Capital Budgets March 31, 2025
 planning includes our best assessment of the impact of the Federal Government’s policy. We are projecting reductions in both undergraduate and graduate international enrolments – which will result in a decline in tuition revenue in 2025-26.
 Enrolments are the primary driver of operating revenues. For budgetary purposes, our first-year class for 2025-26 is expected to be about 6,500 students (which includes about 580 international students). The graduate enrolment plan is the aggregate of the plans developed by the Faculties – which is a reduction of about 130 students largely due to lower international enrolments resulting from the Federal Government policy. Total full-time enrolment (undergraduate and graduate) is projected to decrease by about 620 – of which 560 is on the international component.
 In late February 2024, the Provincial Government announced time-limited funding investment in Ontario’s Universities – spanning the period 2023-24 through 2026-27. Western’s estimated allocation for 2025-26 of $14.2 million (an increase of $5.8 million over 2024-25) has been incorporated into our operating revenue projections.</t>
  </si>
  <si>
    <t>In summary, over 85% of our Operating Revenues derive from enrolment-related revenues. As a result of external factors – i.e. frozen base operating grants, frozen domestic tuition, and international enrolment declines – our revenues in the near term are projected to decline. Therefore, we will need to be disciplined and prioritize our expenditures in support of our highest priorities – in alignment with our Strategic Plan.</t>
  </si>
  <si>
    <t>At Western, our integrated approach to planning serves us well. We continue to focus our budget planning on our strategic priorities. Our approach to enrolment planning allows us to make significant enhancements to the quality of education and the educational experience we offer our students:
 Recruitment of outstanding undergraduate students is a high priority. The average entering grade
of our incoming class in the fall of 2023 was 90.9%, well above the Ontario average.
 Over 92% of our first-year students continue into their second year. Our retention rates are amongst
the highest in Canada and much higher than at our peer institutions in the United States.
 Graduation rates of our undergraduate students have been steadily increasing, and they are currently much higher than the average of peer universities in Canada and the United States. Nearly 85% of Western’s 2018-19 entering cohort graduated within 6 years – again, well above our peer
institutions across Canada.
 We are continuing to invest in our recruitment efforts to grow international undergraduate
enrolments while also diversifying home country and program destination. At present, about 7.5% of our undergraduate enrolment is international. Our Strategic Plan aspires to reach 20% international undergraduate students. Our strategies to increase international enrolments include: increased direct in-country recruitment activities, expansion of agents, on-line recruitment initiatives, expansion of recruitment awards, and housing guarantees. Even with these initiatives, our undergraduate international enrolments (which peaked in 2020-21) have been on a declining trend – due to the impacts of COVID-19, increased global competition, changing political landscapes around the world, and the recent introduction of study permit limits by the federal government. We need to continue our efforts and also explore new strategies/opportunities.
 Expansion of graduate enrolments in areas of demand and capacity continues to be a strategic priority at Western. In the current year, full-time graduate students comprise about 19% of total full-time enrolment.</t>
  </si>
  <si>
    <t>We remain committed to building on the substantive gains we have made in the areas of student quality, educational quality, and student experience. Going forward, we will continue to manage our resources and target them towards the priorities identified in our Strategic Plan.</t>
  </si>
  <si>
    <t>western_2025_3</t>
  </si>
  <si>
    <t>western_2025_4</t>
  </si>
  <si>
    <t>western_2025_5</t>
  </si>
  <si>
    <t>western_2025_6</t>
  </si>
  <si>
    <t>Western University</t>
  </si>
  <si>
    <t>mcmaster_2025</t>
  </si>
  <si>
    <t>McMaster University continues to demonstrate strong financial stewardship in a period of significant challenges.
Through prudent planning, careful resource management, and the dedication of Faculties, departments, and
administrative units, the University continues to maintain financial stability while advancing its academic and
research mission.</t>
  </si>
  <si>
    <t>For 2024/25, the Operating Fund—which supports academic faculties and central operations—is projecting a
nearly balanced budget, with a modest $1.9 million surplus that includes one-time strategic investments. The
following year, in 2025/26, there is a projected deficit of $18.2 million due to continued cost pressures; however,
sufficient appropriation balances are available to cover this shortfall, maintain budgetary stability, and invest in
key strategic initiatives.</t>
  </si>
  <si>
    <t>Looking at the broader picture, McMaster’s consolidated results for 2024/25 are expected to produce a net surplus of
$25.7 million despite lower investment income. A higher consolidated surplus of $64.7 million is budgeted for 2025/26.</t>
  </si>
  <si>
    <t>The recent announcement (April 2025) from the Ministry of Colleges, Universities, Research Excellence and Security
(MCURES) of a $150 million annual investment in science, technology, engineering, and mathematics (STEM)
programs offers welcome support. McMaster’s share of $21.8 million annual funding helps counterbalance ongoing
revenue constraints stemming from the continued domestic tuition freeze, caps on international enrolment, and
uncertain investment returns.</t>
  </si>
  <si>
    <t>The University remains committed to advancing its strategic mission. Investments continue in priority research areas
such as electric vehicles, infectious diseases, and nuclear medicine, alongside initiatives that equip students with
vital digital skills.</t>
  </si>
  <si>
    <t>Strategic investments will continue to be carefully aligned with McMaster’s financial capacity and the desire to
maintain its AA (stable) credit rating. The University’s key financial health indicator—debt per student full-time
equivalent—remains stable at approximately $12,000. However, any prolonged deterioration in this metric could place
downward pressure on the rating.</t>
  </si>
  <si>
    <t>The University is preparing for continued financial challenges, given financial pressures and uncertainty within
our geopolitical environment, including tariffs. While provincial grants have increased, the domestic tuition freeze
through 2026/27 and policy changes affecting international enrolment will limit revenue growth. In response, the
University is implementing a range of cost-containment strategies, including deferring discretionary spending,
leveraging collaborative procurement, prioritizing hiring for essential roles and re-prioritizing capital investments to
align with strategic goals and available funding, among other efforts.</t>
  </si>
  <si>
    <t>Looking ahead to 2026/27 and 2027/28, McMaster anticipates that ongoing strategic investments and essential
operational costs may need to be supported by accumulated reserves. Forecasts for these years will be refined as
greater clarity emerges around government funding, economic conditions, and cost pressures. The University is also
working on new ways to increase revenues, such as implementing its new international undergraduate recruitment
strategy to enhance tuition revenues, creating a real estate strategy, and increasing revenue from research
partnerships. Continued efforts to identify cost-saving measures and efficiencies will be key to reducing future
budget gaps.</t>
  </si>
  <si>
    <t>In February 2024, the Province announced additional funding to stabilize post-secondary institutions, including one-
time support for STEM enrolment above corridor, capital and research, and mental health. An additional 3% increase
to the operating grant was approved for 2024/25, with 2% increases planned for 2025/26 and 2026/27. This base
grant funding increase is assumed to expire 2027/28. In April 2025, the Province further increased investment in STEM
under Strategic Mandate Agreement, awarding McMaster a $21.8 million annual increase tied to a corridor midpoint
adjustment of 6,884.26 Weighted Grant Units (WGUs).</t>
  </si>
  <si>
    <t>The domestic tuition freeze remains in effect through 2026/27, following a 10% cut in 2019/20. Two programs—
Undergraduate Computer Science and MBA—are eligible for annual tuition increases of up to 7.5% until they reach
the sector average. Out-of-province undergraduate fees can rise up to 5% in 2025/26. A $750 international student
participation tax continues to reduce the University’s operating grant based on enrolment levels.</t>
  </si>
  <si>
    <t>A new undergraduate international student recruitment strategy is in place to enhance tuition revenues following the
decline in international students due to federal visa caps, which was partially offset as domestic student enrolment
was increased over plan in 2024/25. The newly announced operating grant midpoint increase results in additional
funding to be received in 2025/26 and future years for a large portion of the full-time equivalents in excess of the
original provincial corridor.</t>
  </si>
  <si>
    <t>The federal and provincial governments announced increased commitments to scientific research and innovation.
The 2024 federal budget included an increase of $1.8 billion over five years for the Tri-Agencies (CIHR, NSERC and
SSHRC) to support core research grants, and $825 million to increase the number and value of graduate student and
postdoctoral fellowships.</t>
  </si>
  <si>
    <t>Provincially, Ontario allocated $15 million over three years to the Critical Minerals Innovation Fund to support
innovation and research in the exploration, mining, development, production and processing of critical minerals. As
Canada’s preeminent nuclear research institution and with established expertise in critical minerals, McMaster is well
placed to capitalize on these opportunities.</t>
  </si>
  <si>
    <t>The Real Estate, Ancillary Operations, and Partnerships (REAP) department, established in June 2023, is focused on
enhancing current and creating new revenue streams to provide sustainable sources of revenue.</t>
  </si>
  <si>
    <t>Key revenue-generating initiatives include:
•
Maximizing real estate value and public-private partnerships, such as 10 Bay and Lincoln Alexander Hall (expected
to open in September 2026 to ensure a guaranteed residence space for all first-year students).
•
Supporting research commercialization partners and spaces at McMaster Innovation Park, including Fusion
Pharmaceuticals and Enedym Inc., and finding partnership opportunities for OmniaBio building.
•
Breaking ground on a new hotel development at MIP in Spring 2025.</t>
  </si>
  <si>
    <t>As Canada’s nuclear university, McMaster is also exploring expanding radiopharmaceutical capacity to address a
growing market need, with a business plan expected in 2025/26.</t>
  </si>
  <si>
    <t>McMaster remains in the “No Action” risk category under the MCURES financial health metrics, which monitors a
framework of eight financial indicators that measure liquidity, sustainability, and performance to generate a risk
rating of low, medium or high and outlines required actions based on the result.</t>
  </si>
  <si>
    <t>Financial metrics are calculated as part of the budgeting process to ensure ratios are within target ranges and
identify potentially material enterprise risks (see Consolidated Results - Risks to the 2025/26 Budget). All metrics are
within the low-risk range over the planning horizon.</t>
  </si>
  <si>
    <t>mcmaster_2025_1</t>
  </si>
  <si>
    <t>mcmaster_2025_2</t>
  </si>
  <si>
    <t>mcmaster_2025_3</t>
  </si>
  <si>
    <t>mcmaster_2025_4</t>
  </si>
  <si>
    <t>mcmaster_2025_5</t>
  </si>
  <si>
    <t>mcmaster_2025_6</t>
  </si>
  <si>
    <t>mcmaster_2025_7</t>
  </si>
  <si>
    <t>mcmaster_2025_8</t>
  </si>
  <si>
    <t>mcmaster_2025_9</t>
  </si>
  <si>
    <t>mcmaster_2025_10</t>
  </si>
  <si>
    <t>mcmaster_2025_11</t>
  </si>
  <si>
    <t>mcmaster_2025_12</t>
  </si>
  <si>
    <t>mcmaster_2025_13</t>
  </si>
  <si>
    <t>mcmaster_2025_14</t>
  </si>
  <si>
    <t>mcmaster_2025_15</t>
  </si>
  <si>
    <t>mcmaster_2025_16</t>
  </si>
  <si>
    <t>mcmaster_2025_17</t>
  </si>
  <si>
    <t>mcmaster_2025_18</t>
  </si>
  <si>
    <t>McMaster University</t>
  </si>
  <si>
    <t>mcmaster_2024_1</t>
  </si>
  <si>
    <t>mcmaster_2024</t>
  </si>
  <si>
    <t>Over the past year, universities across our province have been grappling
with unprecedented fiscal challenges. All Ontario universities are feeling the
impacts of the provincial government’s freeze on tuition rates and operating
grants, coupled with the decline in revenue from international student
tuition. While the province has provided additional support as a result of the
recommendations of the Blue-Ribbon Panel, more is needed to ensure the
fiscal sustainability of our sector.</t>
  </si>
  <si>
    <t>Given the financially constrained post-secondary environment, all faculties, departments and units
across the university were asked to adjust their budgets to contain costs. While the specific cost-
containment efforts varied from one area to another, each contributed to the overall goal of ensuring
all areas have structurally balanced budgets and the university can continue to deliver on its core
academic and research priorities.</t>
  </si>
  <si>
    <t>This consolidated budget report reflects the results of these efforts: McMaster’s Operating Fund,
which includes faculty and support operations, is projecting a nearly balanced budget of $4.3 million
for 2023/24, including ongoing operations and one-time strategic investments.</t>
  </si>
  <si>
    <t>For the 2024/25 year, the Operating Fund is projecting a $32.3 million net deficit, including ongoing
operations and one-time strategic investments. Adequate appropriation balances are available to
absorb the deficit and put McMaster’s budget in a balanced position. McMaster’s Operating and
Ancillary Budgets Policy allows this use of appropriations.</t>
  </si>
  <si>
    <t>More broadly, McMaster’s projected consolidated results for 2023/24 are balanced, with a net positive
position across all funds (including the Operating Fund above) of $76.8 million. The consolidated
budget for 2024/25, is also in a net positive position of $32.6 million. Accrual adjustments for annual
capital expenditures, asset amortization and pension values are included in these figures.</t>
  </si>
  <si>
    <t>The University continues to advance its strategic priorities, including research excellence in areas such
as electric vehicles, infectious diseases, and nuclear medicine, as well as equipping our students with
vital skills in digital learning and work environments. McMaster remains committed to developing its
research ecosystem through continued investment in McMaster Innovation Park. The Park’s vision,
strategy, governance, and operating structure are being reevaluated to set it up for continued
success.</t>
  </si>
  <si>
    <t>Any further major initiatives will be strategically aligned and dependent on available funding resources
relative to sustaining McMaster’s strong financial credit rating of AA (stable). The key financial health
indicator of debt per student FTE remains at approximately $12,000, and any prolonged deterioration
in this ratio would create downward pressure on the AA (stable) credit rating.</t>
  </si>
  <si>
    <t>Revenues in both the Operating Fund and consolidated results reflect upcoming
challenges. Provincial operating grants have increased slightly, but the in-province domestic tuition
fee framework will remain frozen for 2024/25 through 2026/27. Other external factors (see “Context”
in the next section), including caps on international student permits and domestic enrolment
underfunding, are impacting future revenue projections.</t>
  </si>
  <si>
    <t>As a result of the current revenue expectations, the budget includes cost containment strategies
being implemented across McMaster, including reducing or delaying discretionary expenditures,
saving costs through collaborative contract buying, focusing staff recruitment on growth areas and
McMaster University 2024/25 Consolidated Budget
Executive Summary
6
essential vacancies, and offering some faculty retirement incentives. Planned capital expenditures
have been re-prioritized to achieve strategic goals based on available funding.</t>
  </si>
  <si>
    <t>A summary of the University’s Operating Fund net revenues and expenses is shown below in Figure
1. Net operating revenues have historically exceeded expense growth, mainly due to enrolment
growth and increases in international student participation. The projected trend reflects a decline in
enrolment, with overall structurally balanced annual results and a net deficit after one-time
investments in 2024/25.</t>
  </si>
  <si>
    <t>Given the constrained Ontario post-secondary funding environment, for the future years (2025/26 and
2026/27), one-time strategic investments and essential expenses for continuing operations may need
to be supported by McMaster’s accumulated appropriation balances (reflected in Figure 2 below). The
University expects to improve the budget forecast as further clarity is obtained on international
enrolment targets. Other revenue levers include the outcomes of the Strategic Mandate Agreement
funding corridor negotiations and the realization of alternative revenue streams through the updated
Real Estate Strategy and research commercialization. In addition, continued focus on identifying cost
containment strategies is expected to reduce budget deficits. Based on these factors, an updated
recovery plan and budget position for planning years will be presented to the Board at a future date.</t>
  </si>
  <si>
    <t>mcmaster_2024_2</t>
  </si>
  <si>
    <t>mcmaster_2024_3</t>
  </si>
  <si>
    <t>mcmaster_2024_4</t>
  </si>
  <si>
    <t>mcmaster_2024_5</t>
  </si>
  <si>
    <t>mcmaster_2024_6</t>
  </si>
  <si>
    <t>mcmaster_2024_7</t>
  </si>
  <si>
    <t>mcmaster_2024_8</t>
  </si>
  <si>
    <t>mcmaster_2024_9</t>
  </si>
  <si>
    <t>mcmaster_2024_10</t>
  </si>
  <si>
    <t>mcmaster_2024_11</t>
  </si>
  <si>
    <t>mcmaster_2023</t>
  </si>
  <si>
    <t>mcmaster_2023_1</t>
  </si>
  <si>
    <t>McMaster’s Operating Fund, inclusive of Faculty and support operations, has an ongoing projected
surplus of $17.7 million in 2022/23. However, after strategic and capital investments on a one-time
basis the net loss is projected as $2.8 million. Similarly, in 2023/24 the operating results have a
structural surplus of $8.2 million and a net loss after one-time strategic investments of $29.8 million.</t>
  </si>
  <si>
    <t>McMaster’s projected consolidated results for 2022/23 are structurally balanced with net surplus
across all funds of $44.4 million after capital and accrual basis adjustments of $47.2 million. The
consolidated budget for 2023/24 is also in a surplus position on an accrual basis of $74.2 million after
capital and other adjustments totaling $104.0 million.</t>
  </si>
  <si>
    <t>The refreshed vision and strategic plan enter the third year in 2023/24. The University continues to
advance McMaster’s greatest strategic priority, the Global Nexus for Pandemics and Biological Threats
at McMaster’s Innovation Park (MIP). McMaster will also progress MIP’s development initiative
providing an additional 2.8 million square feet of new and renovated life sciences and
biomanufacturing space. The updated Campus Plan will be introduced to guide campus and off-site
development over the next decade. Major initiatives will be mindful of strategy relative to sustaining
McMaster’s strong financial credit rating of AA (stable).</t>
  </si>
  <si>
    <t>McMaster’s financial health continues to be strong despite developing headwinds. McMaster’s ability
to structurally balance overall and fund strategic and capital priorities demonstrates prudent financial
management instilled by McMaster’s transparent budget model that places fiscal accountabilities
with area leaders. The conservative budget approach continues to serve the University decision-
making as substantial one-time investments are made to achieve strategic priorities in an environment
of limited provincial funding growth opportunities. The key financial health indicator of debt per
student FTE remains slightly below $12,000, and any prolonged deterioration in this ratio would create
downward pressure on the AA (stable) credit rating.</t>
  </si>
  <si>
    <t>Revenues in both the Operating Fund and consolidated results reflect upcoming challenges.
Provincial operating grants and in-province domestic tuition fee framework remain frozen for 2023/24,
however the province has struck a blue-ribbon panel to provide advice for maintaining financial stability
in the post-secondary education sector, which is expected to influence implementation of
performance-based funding in 2024/25. Enrolment demand remains strong but is projected to flatten
– domestic as the over-enrolment returns to corridor levels, and international due to external global
factors. Investment income is expected to be minimal in 2022/23, returning to the long-term average
in 2023/24. However, new revenue opportunities from public-private partnerships will begin to be
realized as the new graduate student residence opens in September 2023, and construction begins
on the Lincoln Alexander Hall undergraduate residence.</t>
  </si>
  <si>
    <t>As a result of the current revenue expectations, the budget reflects a cost containment strategy.
Recruitment will be targeted to growth areas and essential vacancies. Planned capital expenditures
have been re-prioritized to achieve strategic goals based on available funding. The impact of increased
inflation will be offset by savings realized through collaborative contract buying.</t>
  </si>
  <si>
    <t>A summary of the University’s Operating Fund net revenues and expenses is shown below in Figure
1. Net operating revenues have historically exceeded expense growth, due mainly to enrolment
growth and international student participation increases. The projected trend reflects a decline in
enrolment, with overall structurally balanced annual results and a net loss after one-time investments.</t>
  </si>
  <si>
    <t>The 2023/24 budget is structurally balanced, whereas in the planning years one-time investments as
well as essential expenses for continuing operations, given the current Ontario post-secondary
funding environment, may need to be supported by McMaster’s accumulated appropriations balances
reflected in Figure 2 below.</t>
  </si>
  <si>
    <t>On a consolidated basis net revenues are projected to remain above net expenses on an accrual basis
as shown in Figure 3 below. Accrual adjustments add back annual capital expenditures and amortize
assets over useful life periods, as well as adjust for pension and non-pension year-end market close
values.</t>
  </si>
  <si>
    <t>mcmaster_2023_2</t>
  </si>
  <si>
    <t>mcmaster_2023_3</t>
  </si>
  <si>
    <t>mcmaster_2023_4</t>
  </si>
  <si>
    <t>mcmaster_2023_5</t>
  </si>
  <si>
    <t>mcmaster_2023_6</t>
  </si>
  <si>
    <t>mcmaster_2023_7</t>
  </si>
  <si>
    <t>mcmaster_2023_8</t>
  </si>
  <si>
    <t>mcmaster_2023_9</t>
  </si>
  <si>
    <t>mcmaster_2019</t>
  </si>
  <si>
    <t>mcmaster_2019_1</t>
  </si>
  <si>
    <t>The consolidated budget shows a surplus in 2019/20 and the outer planning years, and the Operating
Fund representing 66% of the consolidated budget is structurally balanced. This is achieved despite
funding changes by the Ministry of Training, Colleges and Universities (MTCU), such as the 2019/20
10% domestic tuition cut, and 2020/21 domestic tuition freeze in addition to the domestic enrolment
cap at 2016/17 levels. The Operating Fund will be further affected by MTCU’s recently announced
cancellation of the Medical Doctorate (MD) and Graduate Expansion Grants, removing a total of $52.9
million in capital funding, of which $3.3 million is already committed, with the Operating Fund
potentially being the new funding source for the committed funding. Other changes driven by MTCU
include the 2019/20 implementation of student opt-out fees, predominantly affecting student
associations and threatening the ongoing viability of programs that enhance student life. Finally, the
provincial government will also consider legislative changes affecting individuals who are both
working and collecting a pension; the impacts associated with any subsequent changes are not
factored into this budget.</t>
  </si>
  <si>
    <t>Delivering on McMaster’s Forward w ith Integrity (FWI) vision remains a priority, utilizing prior years’
savings in reserves (appropriations) as well as seed funding from the University Fund. This budget
emphasizes FWI priorities related to delivering an optimal research-focused, student-centred
experience, providing an integrated local-to-global community mindset, with consideration toward
impact and sustainability of the environment we depend on. Plans include investments in research
excellence, as well as technologically enabled pedagogical approaches, career pathways across
programs, and broadening existing community initiatives and partnerships with the City of Hamilton
and beyond.</t>
  </si>
  <si>
    <t>McMaster’s research focus involves the 2019/20 launch of the Brighter World Research Initiative
aimed at raising funds to deliver on the research strategic plan. In addition, McMaster will progress
its research commercialization initiative, building dedicated space to relocate research spin-off
businesses to the McMaster Innovation Park. This space will be co-located with the new government-
supported advanced manufacturing supercluster. In addition, the capacity of the nuclear reactor will
increase to enhance research while balancing other commercial opportunities.</t>
  </si>
  <si>
    <t>In an environment of reduced funding, these initiatives cause expense growth to exceed revenue
growth in the Operating Fund (Figure 1). As a result, appropriations will be substantially reduced over
the budget and planning years (Figure 2). In response to the MTCU funding changes, the University
has increased its attention and targets on diversified international enrolment. Other revenue growth
is in the planning stage and includes increasing professional Masters programs, expanding the use of
campus in the summer, and introducing block chain and micro-credentials using online solutions that
reduce the burden on physical infrastructure.</t>
  </si>
  <si>
    <t>Actual and projected enrolment growth has increased the strain on campus capacity. In 2019/20
McMaster will open the Peter George Centre for Living and Learning (PGCLL) providing over 500
additional undergraduate beds and an additional 36% in classroom capacity. Additional capacity-
enabling projects include building the McLean Center for Learning and Discovery on top of Innis
Library, and two additional residences, including integrated learning and research spaces. One
residence will be for undergraduate students on campus land and include an integrated
intergenerational research space. The other residence will be on McMaster leased land downtown
McMaster University 2019/20 Consolidated Budget
Executive Summary
7
and include integrated learning spaces. Both additional residence projects are public-private
partnerships (P3), whereby McMaster owns or holds the lease on the lands. Further, McMaster
operates, manages and maintains the residences and student life programming the same as any non-
P3 residence. The P3 projects are strategically important capacity initiatives that the University could
not finance on its own. These P3 projects could be at risk if changes are made to existing development
charge exemptions offered to McMaster by the City of Hamilton. Further, other capacity enabling
future projects, not yet committed to, may be cancelled due to MTCU’s recent cancellation of the
expansion grant commitment it made to McMaster for delivering specific increased MD and graduate
enrolment.</t>
  </si>
  <si>
    <t>Inflationary pressures in Ontario affect salary, wages, supplies, and deferred maintenance. MTCU has
announced it will increase deferred maintenance support to those schools in the greatest need. Close
to 70% of McMaster’s buildings are over 40 years old. In 2019/20, the higher education sector will
adopt a more accurate methodology for measuring deferred maintenance that considers functions
within buildings. This is predicted to increase the true cost of deferred maintenance by as much as
30% over the five-year implementation.</t>
  </si>
  <si>
    <t>McMaster will continue to focus on benchmarking data initiatives to target efficiency projects with
the greatest savings potential to allow the academy to grow while holding support services constant.
McMaster has adopted the UniForum annual benchmarking program, which has resulted in significant
savings at other international institutions, and 2019/20 will mark the third year of data collection. In
addition, administrative reviews target opportunities to minimize bureaucracy and streamline
activities. Completed reviews have focused on IT services, research financial administration support,
and in 2019/20 will further focus on human resources support services.</t>
  </si>
  <si>
    <t>Given the above, the consolidated budget is structurally balanced, largely due to investment income
and historic internal reserve strategies to set aside funding for future-oriented obligations. The
consolidated surplus is ideally 10% of revenues per year. The projection for 2018/19 does not achieve
this level due to a 4.5% projected investment return (future years assume a 5.9% return consistent
with McMaster’s historical real return). In 2019/20 and beyond, the consolidated surplus is impacted
by the MTCU tuition framework and the cancellation of capital funding, tightening the spread between
revenues and expenses (Figure 3). Future obligation settlement strategies already in place will be
reviewed for ongoing funding adequacy.</t>
  </si>
  <si>
    <t>The 2021/22 consolidated budget is structurally balanced with a $78.8 million surplus. The operating
fund is structurally balanced with a $42.3 million surplus before one-time expenditures of $47.1 million
planned to advance McMaster’s refreshed vision and strategic plan. The ancillary funds have been
impacted the most by the pandemic due to campus closures with an opening deficit of $8.2 million.
After cost mitigation efforts, the ancillaries 2021/22 budgeted net surplus is $2.7 million based on a
hybrid fall opening.</t>
  </si>
  <si>
    <t>mcmaster_2019_2</t>
  </si>
  <si>
    <t>mcmaster_2019_3</t>
  </si>
  <si>
    <t>mcmaster_2019_4</t>
  </si>
  <si>
    <t>mcmaster_2019_5</t>
  </si>
  <si>
    <t>mcmaster_2019_6</t>
  </si>
  <si>
    <t>mcmaster_2019_7</t>
  </si>
  <si>
    <t>mcmaster_2019_8</t>
  </si>
  <si>
    <t>mcmaster_2021_1</t>
  </si>
  <si>
    <t>mcmaster_2021</t>
  </si>
  <si>
    <t>The budget holds operating grant revenues flat and close to 2016/17 levels and domestic tuition is
budgeted without any inflation. The province announced its domestic tuition framework extension for
2021/22 which may lead to some in-year financial adjustments, with up to 3% inflation allowed for
out of province domestic students. International participation reached over 16% in 2019/20 and is
projected to grow up to 20% with increased diversification over the next decade. International growth
budgeted is reflective of past years realized growth, however application offers are behind past years
confirmation rates. This trend is being monitored with low risk to the net budgeted results due in part
to the delay flexibility around one-time capital investments driven from Faculty level initiatives.</t>
  </si>
  <si>
    <t>Approved capital projects, such as the expansion of the student’s athletics facilities, the McLean
Centre for Collaborative Discovery, research commercialization space, and two public-private
partnership residences are continuing as planned with a net capital expenditure of $90 million in
2021/22. Capital initiatives to support the strategic plan, such as Global Nexus, and other local Faculty
projects to support student experiential learning are included in the budget and planning years. Capital
transfers from the operating fund are included as one-time budgeted allocations confirmed each April
following the fall and winter academic year when final enrolments and annual results are known.</t>
  </si>
  <si>
    <t>The consolidated budget includes additional debt financing of $150 million to support capital and
strategic initiatives associated with McMaster’s strategic plan. The annual interest costs are budgeted
and included in the financial metrics tracked in the Annual Financial Report and reporting to the Board
of Governors. With the additional debt McMaster continues to hold very strong financial health
metrics and is rated above the province as AA stable by DBRS and S&amp;P credit rating agencies.</t>
  </si>
  <si>
    <t>In 2020/21 one Ontario university entered creditor protection due to many factors. The financial health
of this university declined over several years evidenced by the financial metrics tracked and reported
to the province. While the circumstances around this university are very different from the operations
of McMaster, the sectoral impact associated with one university entering creditor protection is not
yet clear. The province has assigned a supervisor and substantial expense cuts have been publicly
announced for this one university. Any further sectoral implications are not yet known. However, the
Ontario universities have offered the province financial health metric thresholds to assist in future
monitoring of each university and to aid in the early detection of financial erosion.</t>
  </si>
  <si>
    <t>McMaster’s enrolment demand has remained strong despite the pandemic. Global reputation and
rankings have continued to assist in attracting the best and brightest students. McMaster has been
instrumental in COVID-19 and personal protective equipment research. Overall, our evidence-based
approach to medicine and the advancement of knowledge supporting health and societal issues,
Executive Summary
6
including mental-health, remain a key strength to the student-centered research-intensive experience
McMaster uniquely offers. This budget and planning years are supported by McMaster’s strength.</t>
  </si>
  <si>
    <t>mcmaster_2021_2</t>
  </si>
  <si>
    <t>mcmaster_2021_3</t>
  </si>
  <si>
    <t>mcmaster_2021_4</t>
  </si>
  <si>
    <t>mcmaster_2021_5</t>
  </si>
  <si>
    <t>mcmaster_2021_6</t>
  </si>
  <si>
    <t>mcmaster_2022_1</t>
  </si>
  <si>
    <t>mcmaster_2022</t>
  </si>
  <si>
    <t>McMaster’s operating fund, inclusive of Faculty and support operations, has an ongoing projected
surplus of $43.6 million in 2021/22. However, after strategic and capital investments on a one-time
basis the net loss is projected as $26.4 million. Similarly, in 2022/23 the operating results have a
structural surplus of $40.2 million and a net loss after one-time strategic investments of $4.7 million.</t>
  </si>
  <si>
    <t>McMaster’s projected consolidated results for 2021/22 are structurally balanced with net surplus
across all funds of $108.1 million after capital and accrual basis adjustments of $134.9 million. The
consolidated budget for 2022/23 is also in a surplus position on an accrual basis of $137.3 million after
capital and other adjustments totaling $142.3 million.</t>
  </si>
  <si>
    <t>On a cash basis both the operating fund and the consolidated results are in deficit positions due mainly
to capital investments. Adjustments are required to report accrual basis accounting results which
translate capital spending into long term assets expensed over capital use periods. McMaster’s ability
to structurally balance and fund strategic and capital priorities demonstrates prudent financial
management instilled by McMaster’s transparent budget model that places fiscal accountabilities
with area leaders who initiate one-time investments to advance the University mission and vision.
McMaster’s budget approach continues to serve the University decision making particularly as the
pandemic has required substantial one-time investments and limited provincial funding growth
opportunities.</t>
  </si>
  <si>
    <t>In 2022/23 the University continues to advance McMaster’s greatest strategic priority the Global
Nexus for Pandemics and Biological Threats at McMaster’s Innovation Park (MIP). McMaster will also
progress MIPs major supercluster development initiative providing an additional 2.8 million square
feet of new and renovated life sciences and biomanufacturing space. Major initiatives will be mindful
of strategic ambitions relative to sustaining McMaster’s strong financial credit rating of AA (Stable).
Overall capital plans are budgeted to resume at pre-COVID levels with several Faculty driven
strategically aligned initiatives.</t>
  </si>
  <si>
    <t>Ancillary operations were hardest hit by pandemic related campus closures and have a 2021/22
projected loss of $3.4 million with total cumulative losses of $7.8 million arising over the pandemic
period. All ancillaries have planned for the resumption of normal pre-COVID activities fall 2022. In
2022/23 ancillaries have a net budgeted surplus of $3.3 million, reducing the net deficit to $4.4 million.
Ancillaries, taken together, will fully address the cumulative deficits by 2024/25.</t>
  </si>
  <si>
    <t>All other funds have sound financial plans to advance McMaster’s strategic priorities, including a
significant focus projects aligned to the United Nations Sustainable Development Goals.</t>
  </si>
  <si>
    <t>McMaster’s enrolment demand has remained strong despite the pandemic. Global reputation and
rankings have continued to assist in attracting the best and brightest students. Overall, McMaster’s
evidence-based approach to medicine and the advancement of knowledge supporting health and
societal issues, including mental-health, remain a key strength to the student-centered research-
intensive experience McMaster uniquely offers. This budget and its planning years are supported by
McMaster’s strength.</t>
  </si>
  <si>
    <t>A summary of the University’s operating fund net revenues and expenses is shown below in Figure
1. Net operating revenues have historically exceeded expense growth, due mainly to enrolment
growth and international student participation increases. The projected trend reduces the net
enrolment growth to 0.5% per year, which translates to structurally balanced annually results and a
net loss after one-time investments.</t>
  </si>
  <si>
    <t>mcmaster_2022_2</t>
  </si>
  <si>
    <t>mcmaster_2022_3</t>
  </si>
  <si>
    <t>mcmaster_2022_4</t>
  </si>
  <si>
    <t>mcmaster_2022_5</t>
  </si>
  <si>
    <t>mcmaster_2022_6</t>
  </si>
  <si>
    <t>mcmaster_2022_7</t>
  </si>
  <si>
    <t>mcmaster_2022_8</t>
  </si>
  <si>
    <t>york_2025</t>
  </si>
  <si>
    <t>york_2025_1</t>
  </si>
  <si>
    <t>This report contains the proposed Budget Plan for the next five fiscal years, 2025-26
to 2029-30, based on the University’s Shared Accountability and Resource Planning
(SHARP) budget model. The Budget Plan is guided by the current financial context and
key long-range assumptions.</t>
  </si>
  <si>
    <t>As captured in Figure 1 below, Ontario’s publicly funded universities are entering the
2025–26 budget cycle under continued financial pressure, shaped by both long-
standing structural challenges and evolving provincial priorities. Most notably, the
Government of Ontario has maintained a domestic tuition freeze since 2019, with no
adjustments for inflation, resulting in a cumulative erosion of real per-student funding
over the past six years. Concurrently, operating grants have remained flat or grown
only modestly, leaving institutions to shoulder the rising costs of salaries, benefits,
infrastructure maintenance, and essential services without commensurate increases in
core revenue streams. Further, the 2025 Ontario Budget did not include any significant
new investments in university base operating grants. Instead, it prioritized targeted
sectoral initiatives, particularly in STEM program expansion, research infrastructure,
healthcare education, micro-credentialing, and workforce alignment. While these
initiatives support important provincial objectives, they do not address the persistent
base funding gap facing all institutions (Ontario Ministry of Finance, 2025; Council of
Ontario Universities, 2025).</t>
  </si>
  <si>
    <t>Recent federal policy changes related to international student permits have introduced
additional significant financial and operational pressures for Canada’s postsecondary
institutions. The Government of Canada’s cap on international student permits, first
announced in January 2024 and further reduced in 2025, has led to a nearly 50%
decrease in approved study permits in 2024 compared to 2023. This includes the
removal of exemptions for master’s and doctoral students.</t>
  </si>
  <si>
    <t>In addition to fiscal constraints, universities face increasing demands to support
student mental health and well-being, expand access for underrepresented groups,
advance reconciliation and equity, and respond to the global climate crisis. Institutions
must also adapt to the lasting impacts of digital transformation and evolving labor
market expectations, which require ongoing investment in technology, pedagogy, and
infrastructure</t>
  </si>
  <si>
    <t>Despite these pressures, York University has continued to demonstrate resilience and
innovation through implementation of a Budget Plan that demonstrates both a
commitment to financial sustainability and academic excellence</t>
  </si>
  <si>
    <t>In this environment, budget planning for 2025–26 must strike a careful balance:
ensuring financial sustainability while protecting the core academic mission and
advancing bold, future-oriented investments. Universities will need to continue
engaging government partners, donors, and external stakeholders to align institutional
goals with societal needs while safeguarding the accessibility, quality, and impact of
Ontario's postsecondary education system. This budget reflects both the constraints
and the opportunities of the current moment—rooted in fiscal responsibility, yet
forward-looking in its commitment to student success, research excellence, and
community impact.</t>
  </si>
  <si>
    <t>york_2025_2</t>
  </si>
  <si>
    <t>york_2025_3</t>
  </si>
  <si>
    <t>york_2025_4</t>
  </si>
  <si>
    <t>york_2025_5</t>
  </si>
  <si>
    <t>york_2025_6</t>
  </si>
  <si>
    <t>York University</t>
  </si>
  <si>
    <t>nipissing_2025</t>
  </si>
  <si>
    <t>nipissing_2024</t>
  </si>
  <si>
    <t>nipissing_2024_1</t>
  </si>
  <si>
    <t>The 2024-2025 budget is foundationally strong and carefully strategic, and its certainties are built upon the work completed, the
decisions made, and results achieved in the previous two budgets. But, not surprisingly, this budget is framed and limited, too, by
fixed, externally imposed, funding constraints and by enrollment projection contingencies and specific government funded
allotments that to date remain unknown and unannounced, respectively.</t>
  </si>
  <si>
    <t>The financial results of fiscal 2022-2023 enabled a desperately needed, albeit limited, shoring up of institutional reserves, at a
time of compromised credit ratings and financial uncertainty for the University. Strategic decisions and priorities embedded in our
integrated planning and budgeting process, which included a retirement incentive plan, increased residence revenues, modest
gains in alternative revenue generation, very successful domestic and international recruitment results, and an unexpected
injection of STEM revenues from the Province led to not only the first balanced budget in ten years but, indeed, an in year
consolidated surplus realized in fiscal 2023-2024. These short strides represent a much-needed change of course towards
financial sustainability in what remains to be a climate of uncertainty based upon ongoing provincial policies of austerity towards
post-secondary education and the unforeseen consequences of federal measures restricting immigration to Canada. Importantly,
these positive fiscal results have also led to an improvement in our DBRS Credit Rating, a reinstatement of our $5M credit facility,
and, finally, a positive shift in our Ministry of Colleges and University's Financial Sustainability Metrics.</t>
  </si>
  <si>
    <t>We trust that our Strategic and Academic Planning processes invoke more certainty through the careful and strategic allocation of
resources and a measured projection of revenues in 2024-2025. Operational and Academic Planning decisions will set the
groundwork for full and consistent program review, annual assessments of academic program viability, and dedicated plans to
increase enrollments and to ensure the stability and success of our dynamic and evolving programming across our faculties in the
arts, humanities, social sciences, sciences, education, and professional studies. At the same time, we shall continue to expect
modest increases in residence revenues and alternative revenue development through food services, ancillary services, event
hosting, extended learning, fundraising, and alumni engagement.</t>
  </si>
  <si>
    <t>Our successful enrollment strategies of 2023-24 predict a strong returning class for 2024-25, tempered by our flat projections of
new enrollments both domestic and international, in part limited by the caps on international students imposed by the federal
government and the tight rates of conversions between applications and registrations levied by the provincial government. We
trust that tuition revenues, relying in the main on returning students, and alternative revenue generation, will offset the ever-
growing inflationary costs and the continuing and compounding effects of the provincial tuition freeze, now in its fifth year, in
addition to the continuing effects of what is essentially a grant freeze within the corridor funding model. 2024-25 will also be
characterized positively by a stabilization in senior leadership positions, by research investments, and a refresh of our Strategic
Enrollment Management plan as we continue to right size the University.</t>
  </si>
  <si>
    <t>While we cannot predict the real costs of the federal imposition of international tuition caps at this point, we will endeavour to
recruit towards our allotted numbers. We cannot predict with any certainty the amount of one-time funding we will receive as a
result of the provincial government’s response to the recommendations of the Blue Ribbon Panel, so we have not factored any
such revenues into the 2024-2025 budget.</t>
  </si>
  <si>
    <t>As stated in the Executive Summary of the 2023-24 budget, our priority is to secure the stability of our institution, including our
short and long term financial well-being evident in our capacity to negotiate long term loans, secure the confidence of our
creditors and potential investors, and to demonstrate our fiduciary responsibility to provincial bodies such as the Treasury Board
and the office of the Auditor General. We will, therefore, dedicate the majority of any in year surpluses to the restoration of our
reserve funds. Given the uncertainties of tuition revenues and the degree of support forthcoming from the Province, it is of
paramount importance to our institution’s future that we increase our reserve funds to at least the peak, if not exceeding, levels
extant in the previous decade. We will continue to invest responsibly and strategically towards our academic mission, while
sustaining our advocacy efforts to the provincial government with respect to appropriate levels of tuition and grant funding
support, and a fair allocation of Northern Grant investments which recognize the valuable contributions of the unique
educational experiences and research contributions of Nipissing University.</t>
  </si>
  <si>
    <t>nipissing_2024_2</t>
  </si>
  <si>
    <t>nipissing_2024_3</t>
  </si>
  <si>
    <t>nipissing_2024_4</t>
  </si>
  <si>
    <t>nipissing_2024_5</t>
  </si>
  <si>
    <t>nipissing_2024_6</t>
  </si>
  <si>
    <t>Nipissing University</t>
  </si>
  <si>
    <t>nipissing_2025_1</t>
  </si>
  <si>
    <t>The 2025-26 Nipissing University budget in general represents another stage towards sustainability and, arguably, the early material
results of implementing the Academic and Operational Plan (APOP) emanating from the Pathways Strategic Plan, and the mobilization
of its strategic elements, including enrolment through Project Integrate. In past years, due specifically to its precarious financial
position, the university has operated and budgeted within the context of extensive external audit and review processes. This year is no
different. As we prepare for the shifting accountabilities and structuring influences of Strategic Mandate Agreement 4 (SMA4), the new
government grant framework, and continued emergence from required organizational changes in response to the Office of the Auditor
General, we also became subject in the past year to new operating efficiencies and governance reviews mandated by the province. In
many respects, such audits reflect the diminishing autonomy of public universities; but we also recognize that embracing the most
appropriate recommendations of such audits and reviews will eventually bring positive outcomes.</t>
  </si>
  <si>
    <t>Without question, the greatest impact upon the 2024-25 and the 2025-26 financial position of the university is, and will be, the
unforeseen consequences of federal government policies in the past year, which have collapsed the market for international students
attending Canadian universities. These actions have directly impacted our 2024-25 financial results and, also, severely limit our
progress towards financial health in 2025-26, notably at a time when we were making significant gains towards improving the
university’s fiscal standing.</t>
  </si>
  <si>
    <t>Thankfully, budget processes are always, in part, beholden to the strengths of internal, comprehensive strategic decision making but,
in the past decade, we have experienced shrinking autonomy in determining how resources are distributed and employed. We have
been more susceptible to the external pressures of funding freezes and one-time investments that reinforce the particular economic
priorities of our provincial government. Without a provincially established, stable funding framework, and a commitment to a
permanent, equitable reallocation of the Northern Grant, we remain unable to chart with assurance a longer-term financial path for the
university. However, we have responded to ensure that we are maximizing the impacts of all government support. We have invested the
government support that we received into our Reserve Funds; as such, our investments have been very targeted and financially
prudent. We have necessarily accepted responsibility for increased alternative revenue streams, and we are taking steps towards
enhancing our academic programs and strategically modifying our structures and administrative processes to better respond to an
academic landscape that has shifted considerably over the past 20 years, one that continues to change markedly in real time. Indeed,
from pandemics, to freezes and cuts during periods of significant cost inflation, to an ever-increasing involvement by government in
university operations, the annual budgeting for Canadian universities has never been more challenging.</t>
  </si>
  <si>
    <t>The 2025-26 budget reflects a continued tuition freeze, a distinct government focus on STEM enrolment, and some support,
characterized as investment in sustainability and, as stated above, a marked decrease in international student enrolment. During this
next fiscal year, we will be working diligently to consider and implement the appropriate recommendations of NOUS Group’s Efficiency
and Accountability Review Report and the governance review of Cheryl Foy of Strategic Governance Consulting Services. We will
continue to implement our Pathways plan through the Academic and Operational Plan (APOP); we will begin to implement the
recommendations forthcoming from an Equity Audit which will steer us towards a more inclusive campus for everyone and assist us to
take steps toward Reconciliation; and, through our annual assessments of program health, we will determine what actions are
required to build sustainable programs. We will continue to generate revenues through residence occupancy, meal plans, event
hosting, the sale of merchandise, and through fundraising. And we will attempt to rebuild our international recruitment capacity, within
the challenging environment which confronts us. We remain optimistic in, and committed towards, confronting these challenges,
buoyed by our newly appraised status of “low action plan” institution, though still at high risk, in part due to careful budgeting and
long-term planning and the investment of government grant funding into our Reserves which now are projected to exceed $15M, a
marked improvement over the past several years.</t>
  </si>
  <si>
    <t>The 2023-2024 budget is best characterized as a realization of significant operational changes invoked during
the 2022-2023 fiscal year, positive shifts in enrolment projections, and successful advocacy towards the
Provincial Government for additional grant support.</t>
  </si>
  <si>
    <t>nipissing_2025_2</t>
  </si>
  <si>
    <t>nipissing_2025_3</t>
  </si>
  <si>
    <t>nipissing_2025_4</t>
  </si>
  <si>
    <t>nipissing_2023_1</t>
  </si>
  <si>
    <t>nipissing_2023</t>
  </si>
  <si>
    <t>For fiscal 2022-23, we initially projected a consolidated budget deficit of $3.2M. The real consequences of the
2022-23 projections, consistent with the previous nine years of deficit results manifested themselves in a lack
of confidence in our financial outlook on the part of KPMG, our external auditor, and TD Bank, our primary
lender. TD Bank requested we sign a General Securities Agreement and withdrew our $5M line of credit.
Subsequent to the audited financial statements for 2022-23 being released, our credit rating was also
downgraded.</t>
  </si>
  <si>
    <t>In the Winter term, 2023, several shifts occurred in our financial projections for year end. In the first instance,
due to residual impacts of the Pandemic, our domestic enrolment missed projections by approximately 200
FTEs; however, these losses were countered by an entering class of 85 international students in the January
cohort. Additionally, and not by preference, a failure to fill various vacant positions on campus resulted in
some savings.</t>
  </si>
  <si>
    <t>At the same time, we advocated for changes in the calculation of additional grants to support our Nursing
programs and received additional funding that was not budgeted for. Most significantly, in March 2023, we
learned that our advocacy efforts with the Province had been successful, leading directly to a one-time
additional Northern Grant of $3.7M. This one-time support was the major factor that enabled us to balance
the projected consolidated results.</t>
  </si>
  <si>
    <t>A balanced projection for 2022-2023 provided a baseline upon which to build the budget for 2023-2024.
As a result of significant improvements in performance across a number of university initiatives,
additional government support in Nursing, and realized cost efficiencies and budget sacrifices absorbed
across all of our units, we are presenting a balanced consolidated budget for the first time in ten years.</t>
  </si>
  <si>
    <t>This balanced budget is the direct result of the tireless efforts of many to achieve performance goals in a
number of areas previously outlined in budget and sustainability discussions with Audit &amp; Finance, the
Board, and the broader university community.</t>
  </si>
  <si>
    <t>The largest forms of revenue generation at Nipissing University emanate from tuition revenues and
government grants. The secondary, less significant but necessary forms of revenue generation are
categorized as alternative revenues. In-person recruiting, a new digital marketing campaign, and targeted
international recruitment have resulted in increased enrolment projections and incoming tuition forecasts
for the Fall and Winter terms of 2023-24. Additionally, increased funding for Nursing expansion and
support has also increased our revenue projections for the coming year.</t>
  </si>
  <si>
    <t>At the same time, over the past 18 months, we have been creating the foundations for developing and
increasing alternative revenues through initiatives related to ancillary services - including conference
services, extended learning, event hosting, food services, bookstore revenues, as well as improved
relations with Canadore College resulting in budget gains.</t>
  </si>
  <si>
    <t>We are proud of the work that has been completed across our organization to achieve a balanced budget
but, to be clear, we must work towards annual surpluses to build up our reserves, and to invest in areas of
academic and service needs as determined by our strategic planning process. Our next task will be to
develop operational plans to support these goals and to continue our extensive advocacy efforts with the
Province.</t>
  </si>
  <si>
    <t>As a primarily undergraduate Northern university, in order to ensure long-term sustainability of the
institution, we will require enhanced funding inclusive of annual inflationary increases. This could be
realized through a reallocation of the Northern Grant.</t>
  </si>
  <si>
    <t>It is, therefore, of the highest priority that we place our completed institutional financial analysis before
the Province’s Blue Ribbon Panel on Sustainability in the Post-Secondary Education Sector and advocate
for a Provincial action plan that will see the Province partner with us to secure a sustainable future for
Nipissing University.</t>
  </si>
  <si>
    <t>nipissing_2023_2</t>
  </si>
  <si>
    <t>nipissing_2023_3</t>
  </si>
  <si>
    <t>nipissing_2023_4</t>
  </si>
  <si>
    <t>nipissing_2023_5</t>
  </si>
  <si>
    <t>nipissing_2023_6</t>
  </si>
  <si>
    <t>nipissing_2023_7</t>
  </si>
  <si>
    <t>nipissing_2023_8</t>
  </si>
  <si>
    <t>nipissing_2023_9</t>
  </si>
  <si>
    <t>nipissing_2023_10</t>
  </si>
  <si>
    <t>nipissing_2023_11</t>
  </si>
  <si>
    <t>A number of factors come to bear on the 2022-23 budget, some relating to historical factors, policy decisions, funding sources and market shifts,
and others relating to the formation of a new University strategy which is based upon the foundations of transparency, the assumption of
particular fiscal responsibilities, the creation of alternative forms of revenue, program decisions, long term sustainability, and strategic planning.</t>
  </si>
  <si>
    <t>The necessary point of departure for the Board of Governors and the University is a balanced budget, year in and out, and to ensure that
Nipissing University is not only surviving but thriving 25 years from now. Nipissing University has not balanced its budget in eight years. A
number of factors have influenced this issue and continue to have a residual impact on University revenues.</t>
  </si>
  <si>
    <t>While the University has experienced challenges with tuition cuts/freezes and static corridor funding, at the same time, the University has not, in
many respects, fulfilled its responsibility for establishing and developing alternative forms of revenue that are common streams at other
universities. For example, Nipissing has resisted recruiting even modest percentages of international students during an era when the majority of
universities in Canada secured significant tuition revenues from international students. These revenues cannot be generated overnight.</t>
  </si>
  <si>
    <t>The University's endowments remain at a relatively minimal level of approximately $12m, which provides limited offsets to operational
expenses. The donation levels of both major donors and small gifts from donors and alumni remain at very low levels. Due to the significant
reductions to resources over the past eight years, various units are suffering from a staff shortage in areas particular to generating forms of
revenue, while failing to invest significantly in academic programs and program development.</t>
  </si>
  <si>
    <t>To exacerbate a particularly challenging fiscal environment, the pandemic has wreaked havoc on the University's costs and revenue generation
simultaneously.</t>
  </si>
  <si>
    <t>Nipissing University is travelling uphill to energize and establish its potential in international student recruitment, ancillary services, donations,
alumni support, and the reconfiguration of its academic structures and programs through the strategic planning process.</t>
  </si>
  <si>
    <t>Fortunately, Nipissing University does not have significant long-term debt and unmanageable costs of borrowing, nor does it have an aging
infrastructure. The 2022-23 budget demonstrates the long-term residual impacts of government policies, the unintended consequences of those
policies, and specific University decisions which have rendered the University's capacity for generating alternative revenues extremely limited.
However, this budget, albeit a deficit budget, demonstrates a more hopeful scenario for the present and the future. A deficit of any kind is
unacceptable. However, Nipissing University cannot move the Province to effect meaningful change within and beyond its boundaries in one
year. The deficit reflects the limitations imposed by the Province, but it also reflects new investments in revenue generating activities and
meaningful policy and program changes on campus.</t>
  </si>
  <si>
    <t>nipissing_2022_1</t>
  </si>
  <si>
    <t>nipissing_2022</t>
  </si>
  <si>
    <t>nipissing_2022_2</t>
  </si>
  <si>
    <t>nipissing_2022_3</t>
  </si>
  <si>
    <t>nipissing_2022_4</t>
  </si>
  <si>
    <t>nipissing_2022_5</t>
  </si>
  <si>
    <t>nipissing_2022_6</t>
  </si>
  <si>
    <t>nipissing_2022_7</t>
  </si>
  <si>
    <t>nipissing_2021</t>
  </si>
  <si>
    <t>Nipissing University is a vibrant, young, ready-to-grow 21st century university with century old roots in the
community it serves, and has a mandate to address the needs of Northern Ontario and continues to have a special
focus on serving the North in the North. It is the third largest employer in the North Bay area with a calculated
annual economic impact of $130.9 million locally, $163 million nationally, and is an essential economic driver for
the region.</t>
  </si>
  <si>
    <t>nipissing_2021_1</t>
  </si>
  <si>
    <t>As in previous years, this budget was created in collaboration with budget holders across the University. Nipissing
continues to work towards a balanced budget in order to ensure future sustainability. As a direct result of the
COVID-19 pandemic, this budget includes a $1.5M funding deficit. Through a variety of strategies, we believe that
this budget deficit can be eliminated before year end.</t>
  </si>
  <si>
    <t>As per the Province’s announcement last month, domestic tuition fees remain frozen for 2021-22. At present, we
do not have any information on the domestic tuition framework for future years. The impact of the government’s
tuition framework on Nipissing for 2021-22 is a revenue shortfall of $3 million compared to previous
projections. While we look forward to discussions with the Ministry regarding our corridor, our current
assumption is that provincial grant funding will remain as outlined in the budget documents for 2021-22.</t>
  </si>
  <si>
    <t>The COVID-19 pandemic continues to cause significant uncertainty, and it is within this context that this budget
was created. We do not know at this time what level of on-campus instruction will take place in the fall of 2021.
As a direct result of the pandemic, we forecast a revenue shortfall in ancillary operations of $1.2M and an
international tuition shortfall of $2M. In the preparation of this budget, we were able to realize cost reductions of
$1.7M to address this shortfall, and we will work towards eliminating the deficit before the end of fiscal 2022. We
will be closely monitoring the impact of the pandemic on our operations and will implement mitigation strategies
as required. A more precise estimate of COVID-19 related financial impacts will be determined in the early fall
when detailed enrolment rates are known. A budget update will be submitted to the Board of Governors at that
time.</t>
  </si>
  <si>
    <t>Over the next several months, we will continue our work to implement sustainability strategies to increase and
diversify our revenue streams. These strategies will include such things as internationalization, strategic
enrolment, research revenue, continuing education/micro-credentials, conference services and fundraising plans.
We will also continue our work on cost containment across all areas of the University. In September 2021, we will
provide the Board of Governors with a detailed plan to bring the Operating/Ancillary budget into balance.</t>
  </si>
  <si>
    <t>nipissing_2021_2</t>
  </si>
  <si>
    <t>nipissing_2021_3</t>
  </si>
  <si>
    <t>nipissing_2021_4</t>
  </si>
  <si>
    <t>nipissing_2021_5</t>
  </si>
  <si>
    <t>nipissing_2020_1</t>
  </si>
  <si>
    <t>nipissing_2020</t>
  </si>
  <si>
    <t xml:space="preserve">Nipissing University is a vibrant, young, ready-to-grow 21st century university with century old roots in the community it serves, and has a mandate to address the needs of Northern Ontario and continues to have a special focus on serving the North in the North. It is the third largest employer in the North Bay area with a calculated annual economic impact of $130.9 million locally, $163 million nationally, and is an essential economic driver for the region. </t>
  </si>
  <si>
    <t>The following budget submission has been prepared with input from across the university as we continue to work towards a balanced budget, which has been a focus over the past 5 years. Before we learned of the Province’s tuition reduction/freeze, we were projecting a modest surplus in our Operating Fund of $1.7M for 2020-21. While we continue to work towards balancing the operating budget, this report highlights that the University continues to budget a funding deficit.</t>
  </si>
  <si>
    <t>As per the Province’s announcement last year, domestic tuition fees, which were rolled back 10% in 2019-20, will remain frozen for 2020-21. At present, we do not have any information on the domestic tuition framework for future years. The impact of the government’s tuition framework for 2019-20 and 2020-21 was a revenue shortfall of $3.5 million in 2019-20 and $4.2 million in 2020-21 compared to the budget projections at that time. While we await the Provincial Budget later this spring, our current assumption is that provincial grant funding will remain as outlined in the budget documents for 2020-21.</t>
  </si>
  <si>
    <t>As the COVID-19 pandemic has created economic and social turmoil, we expect financial implications will continue to evolve over the coming months. The Ontario post-secondary education sector is experiencing uncertainties including concerns about fall 2020 enrollment levels (in particular international enrollments).</t>
  </si>
  <si>
    <t xml:space="preserve">
We are proposing that we continue with the budget recommendations in this document with the understanding that we will need to re- align expenditures to match revenues over the next several months. We will be closely monitoring the impact of the pandemic on our operations and will implement mitigation strategies as required. A more precise estimate of COVID-19 related financial impacts will be determined in the early fall when detailed enrollment rates are known. At that time, a budget update will be submitted to the Board of Governors.</t>
  </si>
  <si>
    <t>nipissing_2020_2</t>
  </si>
  <si>
    <t>nipissing_2020_3</t>
  </si>
  <si>
    <t>nipissing_2020_4</t>
  </si>
  <si>
    <t>nipissing_2020_5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</si>
</sst>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2"/>
      <color theme="1"/>
      <name val="Aptos Narrow"/>
      <family val="2"/>
      <scheme val="minor"/>
    </font>
    <font>
      <b/>
      <sz val="12"/>
      <color theme="1"/>
      <name val="Aptos Narrow"/>
      <scheme val="minor"/>
    </font>
    <font>
      <sz val="12"/>
      <color theme="1"/>
      <name val="Calibri"/>
      <family val="2"/>
    </font>
    <font>
      <sz val="12"/>
      <color theme="1"/>
      <name val="Helvetica"/>
      <family val="2"/>
    </font>
    <font>
      <sz val="11"/>
      <color theme="1"/>
      <name val="Calibri"/>
      <family val="2"/>
    </font>
    <font>
      <sz val="9"/>
      <color rgb="FF211D1E"/>
      <name val="Helvetica"/>
      <family val="2"/>
    </font>
    <font>
      <sz val="5"/>
      <color rgb="FF211D1E"/>
      <name val="Helvetica"/>
      <family val="2"/>
    </font>
    <font>
      <sz val="9"/>
      <color theme="1"/>
      <name val="Helvetica"/>
      <family val="2"/>
    </font>
    <font>
      <vertAlign val="superscript"/>
      <sz val="6"/>
      <color theme="1"/>
      <name val="Helvetica"/>
      <family val="2"/>
    </font>
    <font>
      <i/>
      <sz val="9"/>
      <color theme="1"/>
      <name val="Helvetica"/>
      <family val="2"/>
    </font>
    <font>
      <i/>
      <vertAlign val="superscript"/>
      <sz val="6"/>
      <color theme="1"/>
      <name val="Helvetica"/>
      <family val="2"/>
    </font>
    <font>
      <sz val="8"/>
      <name val="Aptos Narrow"/>
      <family val="2"/>
      <scheme val="minor"/>
    </font>
    <font>
      <sz val="12"/>
      <color rgb="FF000000"/>
      <name val="Aptos Narrow"/>
      <family val="2"/>
      <scheme val="minor"/>
    </font>
    <font>
      <sz val="11"/>
      <color rgb="FFFF0000"/>
      <name val="Calibri"/>
      <family val="2"/>
    </font>
    <font>
      <sz val="14"/>
      <color rgb="FF000000"/>
      <name val="-webkit-standard"/>
    </font>
    <font>
      <sz val="12"/>
      <color theme="1"/>
      <name val="Aptos Narrow"/>
      <scheme val="minor"/>
    </font>
    <font>
      <sz val="11"/>
      <color theme="1"/>
      <name val="FuturaStd"/>
    </font>
  </fonts>
  <fills count="9">
    <fill>
      <patternFill patternType="none"/>
    </fill>
    <fill>
      <patternFill patternType="gray125"/>
    </fill>
    <fill>
      <patternFill patternType="solid">
        <fgColor rgb="FFFFFF00"/>
        <bgColor indexed="64"/>
      </patternFill>
    </fill>
    <fill>
      <patternFill patternType="solid">
        <fgColor theme="2" tint="-9.9978637043366805E-2"/>
        <bgColor indexed="64"/>
      </patternFill>
    </fill>
    <fill>
      <patternFill patternType="solid">
        <fgColor theme="8" tint="0.79998168889431442"/>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7" tint="0.59999389629810485"/>
        <bgColor indexed="64"/>
      </patternFill>
    </fill>
  </fills>
  <borders count="1">
    <border>
      <left/>
      <right/>
      <top/>
      <bottom/>
      <diagonal/>
    </border>
  </borders>
  <cellStyleXfs count="1">
    <xf numFmtId="0" fontId="0" fillId="0" borderId="0"/>
  </cellStyleXfs>
  <cellXfs count="29">
    <xf numFmtId="0" fontId="0" fillId="0" borderId="0" xfId="0"/>
    <xf numFmtId="0" fontId="1" fillId="0" borderId="0" xfId="0" applyFont="1"/>
    <xf numFmtId="0" fontId="1" fillId="3" borderId="0" xfId="0" applyFont="1" applyFill="1"/>
    <xf numFmtId="0" fontId="1" fillId="4" borderId="0" xfId="0" applyFont="1" applyFill="1"/>
    <xf numFmtId="0" fontId="0" fillId="0" borderId="0" xfId="0" applyAlignment="1">
      <alignment horizontal="right"/>
    </xf>
    <xf numFmtId="0" fontId="1" fillId="5" borderId="0" xfId="0" applyFont="1" applyFill="1"/>
    <xf numFmtId="0" fontId="2" fillId="0" borderId="0" xfId="0" applyFont="1" applyAlignment="1">
      <alignment shrinkToFit="1"/>
    </xf>
    <xf numFmtId="0" fontId="3" fillId="0" borderId="0" xfId="0" applyFont="1" applyAlignment="1">
      <alignment shrinkToFit="1"/>
    </xf>
    <xf numFmtId="0" fontId="0" fillId="0" borderId="0" xfId="0" applyAlignment="1">
      <alignment horizontal="right" shrinkToFit="1"/>
    </xf>
    <xf numFmtId="0" fontId="0" fillId="0" borderId="0" xfId="0" applyAlignment="1">
      <alignment shrinkToFit="1"/>
    </xf>
    <xf numFmtId="0" fontId="4" fillId="0" borderId="0" xfId="0" applyFont="1" applyAlignment="1">
      <alignment shrinkToFit="1"/>
    </xf>
    <xf numFmtId="0" fontId="5" fillId="0" borderId="0" xfId="0" applyFont="1" applyAlignment="1">
      <alignment shrinkToFit="1"/>
    </xf>
    <xf numFmtId="0" fontId="1" fillId="2" borderId="0" xfId="0" applyFont="1" applyFill="1" applyAlignment="1">
      <alignment horizontal="left"/>
    </xf>
    <xf numFmtId="0" fontId="0" fillId="2" borderId="0" xfId="0" applyFill="1" applyAlignment="1">
      <alignment horizontal="left"/>
    </xf>
    <xf numFmtId="0" fontId="7" fillId="0" borderId="0" xfId="0" applyFont="1" applyAlignment="1">
      <alignment shrinkToFit="1"/>
    </xf>
    <xf numFmtId="0" fontId="1" fillId="6" borderId="0" xfId="0" applyFont="1" applyFill="1"/>
    <xf numFmtId="0" fontId="12" fillId="0" borderId="0" xfId="0" applyFont="1"/>
    <xf numFmtId="0" fontId="1" fillId="7" borderId="0" xfId="0" applyFont="1" applyFill="1"/>
    <xf numFmtId="0" fontId="1" fillId="2" borderId="0" xfId="0" applyFont="1" applyFill="1"/>
    <xf numFmtId="0" fontId="0" fillId="2" borderId="0" xfId="0" applyFill="1"/>
    <xf numFmtId="0" fontId="0" fillId="8" borderId="0" xfId="0" applyFill="1" applyAlignment="1">
      <alignment horizontal="left"/>
    </xf>
    <xf numFmtId="0" fontId="1" fillId="2" borderId="0" xfId="0" applyFont="1" applyFill="1" applyAlignment="1">
      <alignment horizontal="right"/>
    </xf>
    <xf numFmtId="0" fontId="0" fillId="8" borderId="0" xfId="0" applyFill="1" applyAlignment="1">
      <alignment horizontal="right"/>
    </xf>
    <xf numFmtId="0" fontId="0" fillId="2" borderId="0" xfId="0" applyFill="1" applyAlignment="1">
      <alignment horizontal="right"/>
    </xf>
    <xf numFmtId="0" fontId="4" fillId="0" borderId="0" xfId="0" applyFont="1"/>
    <xf numFmtId="0" fontId="14" fillId="0" borderId="0" xfId="0" applyFont="1"/>
    <xf numFmtId="0" fontId="14" fillId="0" borderId="0" xfId="0" applyFont="1" applyAlignment="1">
      <alignment shrinkToFit="1"/>
    </xf>
    <xf numFmtId="0" fontId="15" fillId="0" borderId="0" xfId="0" applyFont="1"/>
    <xf numFmtId="0" fontId="16" fillId="0" borderId="0" xfId="0" applyFon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682C0E-A951-D74A-BA67-BBDF09195F67}">
  <sheetPr>
    <pageSetUpPr fitToPage="1"/>
  </sheetPr>
  <dimension ref="A1:U412"/>
  <sheetViews>
    <sheetView tabSelected="1" topLeftCell="A138" zoomScaleNormal="100" workbookViewId="0">
      <selection activeCell="C278" sqref="C278:C412"/>
    </sheetView>
  </sheetViews>
  <sheetFormatPr baseColWidth="10" defaultRowHeight="16"/>
  <cols>
    <col min="1" max="1" width="12.33203125" customWidth="1"/>
    <col min="2" max="2" width="16.33203125" customWidth="1"/>
    <col min="3" max="3" width="14.6640625" customWidth="1"/>
    <col min="4" max="5" width="15" style="13" hidden="1" customWidth="1"/>
    <col min="6" max="6" width="15" style="13" customWidth="1"/>
    <col min="7" max="7" width="15" style="23" customWidth="1"/>
    <col min="8" max="8" width="15" style="13" customWidth="1"/>
    <col min="10" max="10" width="12" customWidth="1"/>
    <col min="11" max="11" width="18" customWidth="1"/>
    <col min="12" max="12" width="16.5" customWidth="1"/>
    <col min="14" max="15" width="19" customWidth="1"/>
    <col min="16" max="16" width="12.5" customWidth="1"/>
    <col min="17" max="17" width="12.1640625" customWidth="1"/>
    <col min="18" max="18" width="12.5" customWidth="1"/>
  </cols>
  <sheetData>
    <row r="1" spans="1:21">
      <c r="A1" s="2" t="s">
        <v>0</v>
      </c>
      <c r="B1" s="2" t="s">
        <v>1</v>
      </c>
      <c r="C1" s="5" t="s">
        <v>2</v>
      </c>
      <c r="D1" s="12" t="s">
        <v>412</v>
      </c>
      <c r="E1" s="12" t="s">
        <v>413</v>
      </c>
      <c r="F1" s="12" t="s">
        <v>393</v>
      </c>
      <c r="G1" s="21" t="s">
        <v>394</v>
      </c>
      <c r="H1" s="12" t="s">
        <v>407</v>
      </c>
      <c r="I1" s="3" t="s">
        <v>5</v>
      </c>
      <c r="J1" s="3" t="s">
        <v>6</v>
      </c>
      <c r="K1" s="3" t="s">
        <v>3</v>
      </c>
      <c r="L1" s="3" t="s">
        <v>12</v>
      </c>
      <c r="M1" s="3" t="s">
        <v>4</v>
      </c>
      <c r="N1" s="3" t="s">
        <v>14</v>
      </c>
      <c r="O1" s="3" t="s">
        <v>15</v>
      </c>
      <c r="P1" s="3" t="s">
        <v>192</v>
      </c>
      <c r="Q1" s="3" t="s">
        <v>193</v>
      </c>
      <c r="R1" s="3" t="s">
        <v>194</v>
      </c>
      <c r="S1" s="3" t="s">
        <v>195</v>
      </c>
      <c r="T1" s="3" t="s">
        <v>215</v>
      </c>
      <c r="U1" s="3" t="s">
        <v>216</v>
      </c>
    </row>
    <row r="2" spans="1:21" ht="28" customHeight="1">
      <c r="A2" s="4" t="s">
        <v>9</v>
      </c>
      <c r="B2" s="4" t="s">
        <v>10</v>
      </c>
      <c r="C2" s="6" t="s">
        <v>16</v>
      </c>
      <c r="D2" s="13">
        <v>1</v>
      </c>
      <c r="E2" s="13" t="s">
        <v>395</v>
      </c>
      <c r="F2" s="13">
        <v>1</v>
      </c>
      <c r="G2" s="22">
        <v>1</v>
      </c>
      <c r="H2" s="13">
        <v>2</v>
      </c>
      <c r="I2" s="4">
        <v>1</v>
      </c>
      <c r="J2" s="4">
        <v>9</v>
      </c>
      <c r="K2" s="4" t="s">
        <v>11</v>
      </c>
      <c r="L2" s="4" t="s">
        <v>13</v>
      </c>
      <c r="M2" s="4">
        <v>2017</v>
      </c>
      <c r="N2" s="4">
        <v>1</v>
      </c>
      <c r="O2" s="4">
        <v>0</v>
      </c>
    </row>
    <row r="3" spans="1:21" ht="20" customHeight="1">
      <c r="A3" s="4" t="s">
        <v>9</v>
      </c>
      <c r="B3" s="4" t="s">
        <v>22</v>
      </c>
      <c r="C3" s="6" t="s">
        <v>17</v>
      </c>
      <c r="D3" s="13">
        <v>1</v>
      </c>
      <c r="E3" s="13" t="s">
        <v>399</v>
      </c>
      <c r="F3" s="13">
        <v>1</v>
      </c>
      <c r="G3" s="22">
        <v>1</v>
      </c>
      <c r="H3" s="13">
        <v>2</v>
      </c>
      <c r="I3" s="4">
        <v>2</v>
      </c>
      <c r="J3" s="4">
        <v>9</v>
      </c>
      <c r="K3" s="4" t="s">
        <v>11</v>
      </c>
      <c r="L3" s="4" t="s">
        <v>13</v>
      </c>
      <c r="M3" s="4">
        <v>2017</v>
      </c>
      <c r="N3" s="4">
        <v>1</v>
      </c>
      <c r="O3" s="4">
        <v>0</v>
      </c>
    </row>
    <row r="4" spans="1:21" ht="22" customHeight="1">
      <c r="A4" s="4" t="s">
        <v>9</v>
      </c>
      <c r="B4" s="4" t="s">
        <v>23</v>
      </c>
      <c r="C4" s="6" t="s">
        <v>18</v>
      </c>
      <c r="D4" s="13">
        <v>1</v>
      </c>
      <c r="E4" s="13" t="s">
        <v>397</v>
      </c>
      <c r="F4" s="13">
        <v>1</v>
      </c>
      <c r="G4" s="22">
        <v>0</v>
      </c>
      <c r="H4" s="20">
        <v>2</v>
      </c>
      <c r="I4" s="4">
        <v>3</v>
      </c>
      <c r="J4" s="4">
        <v>9</v>
      </c>
      <c r="K4" s="4" t="s">
        <v>11</v>
      </c>
      <c r="L4" s="4" t="s">
        <v>13</v>
      </c>
      <c r="M4" s="4">
        <v>2017</v>
      </c>
      <c r="N4" s="4">
        <v>1</v>
      </c>
      <c r="O4" s="4">
        <v>0</v>
      </c>
    </row>
    <row r="5" spans="1:21">
      <c r="A5" s="4" t="s">
        <v>9</v>
      </c>
      <c r="B5" s="4" t="s">
        <v>24</v>
      </c>
      <c r="C5" s="6" t="s">
        <v>19</v>
      </c>
      <c r="D5" s="13">
        <v>1</v>
      </c>
      <c r="E5" s="13" t="s">
        <v>399</v>
      </c>
      <c r="F5" s="13">
        <v>1</v>
      </c>
      <c r="G5" s="22">
        <v>0</v>
      </c>
      <c r="H5" s="13">
        <v>1</v>
      </c>
      <c r="I5" s="4">
        <v>6</v>
      </c>
      <c r="J5" s="4">
        <v>9</v>
      </c>
      <c r="K5" s="4" t="s">
        <v>11</v>
      </c>
      <c r="L5" s="4" t="s">
        <v>13</v>
      </c>
      <c r="M5" s="4">
        <v>2017</v>
      </c>
      <c r="N5" s="4">
        <v>1</v>
      </c>
      <c r="O5" s="4">
        <v>0</v>
      </c>
    </row>
    <row r="6" spans="1:21">
      <c r="A6" s="4" t="s">
        <v>9</v>
      </c>
      <c r="B6" s="4" t="s">
        <v>25</v>
      </c>
      <c r="C6" s="6" t="s">
        <v>20</v>
      </c>
      <c r="D6" s="13">
        <v>1</v>
      </c>
      <c r="E6" s="13" t="s">
        <v>399</v>
      </c>
      <c r="F6" s="13">
        <v>1</v>
      </c>
      <c r="G6" s="22">
        <v>1</v>
      </c>
      <c r="H6" s="13">
        <v>2</v>
      </c>
      <c r="I6" s="4">
        <v>8</v>
      </c>
      <c r="J6" s="4">
        <v>9</v>
      </c>
      <c r="K6" s="4" t="s">
        <v>11</v>
      </c>
      <c r="L6" s="4" t="s">
        <v>13</v>
      </c>
      <c r="M6" s="4">
        <v>2017</v>
      </c>
      <c r="N6" s="4">
        <v>1</v>
      </c>
      <c r="O6" s="4">
        <v>0</v>
      </c>
    </row>
    <row r="7" spans="1:21">
      <c r="A7" s="4" t="s">
        <v>9</v>
      </c>
      <c r="B7" s="4" t="s">
        <v>26</v>
      </c>
      <c r="C7" s="6" t="s">
        <v>21</v>
      </c>
      <c r="D7" s="13">
        <v>0</v>
      </c>
      <c r="F7" s="13">
        <v>1</v>
      </c>
      <c r="G7" s="22">
        <v>0</v>
      </c>
      <c r="H7" s="13">
        <v>1</v>
      </c>
      <c r="I7" s="4">
        <v>9</v>
      </c>
      <c r="J7" s="4">
        <v>9</v>
      </c>
      <c r="K7" s="4" t="s">
        <v>11</v>
      </c>
      <c r="L7" s="4" t="s">
        <v>13</v>
      </c>
      <c r="M7" s="4">
        <v>2017</v>
      </c>
      <c r="N7" s="4">
        <v>1</v>
      </c>
      <c r="O7" s="4">
        <v>0</v>
      </c>
    </row>
    <row r="8" spans="1:21">
      <c r="A8" s="4" t="s">
        <v>8</v>
      </c>
      <c r="B8" s="4" t="s">
        <v>27</v>
      </c>
      <c r="C8" s="6" t="s">
        <v>28</v>
      </c>
      <c r="D8" s="13">
        <v>1</v>
      </c>
      <c r="E8" s="13" t="s">
        <v>395</v>
      </c>
      <c r="F8" s="13">
        <v>1</v>
      </c>
      <c r="G8" s="22">
        <v>1</v>
      </c>
      <c r="H8" s="13">
        <v>2</v>
      </c>
      <c r="I8" s="4">
        <v>1</v>
      </c>
      <c r="J8" s="4">
        <v>9</v>
      </c>
      <c r="K8" s="4" t="s">
        <v>11</v>
      </c>
      <c r="L8" s="4" t="s">
        <v>13</v>
      </c>
      <c r="M8" s="4">
        <v>2018</v>
      </c>
      <c r="N8" s="4">
        <v>1</v>
      </c>
      <c r="O8" s="4">
        <v>0</v>
      </c>
    </row>
    <row r="9" spans="1:21">
      <c r="A9" s="4" t="s">
        <v>8</v>
      </c>
      <c r="B9" s="4" t="s">
        <v>33</v>
      </c>
      <c r="C9" s="6" t="s">
        <v>29</v>
      </c>
      <c r="D9" s="13">
        <v>1</v>
      </c>
      <c r="E9" s="13" t="s">
        <v>399</v>
      </c>
      <c r="F9" s="13">
        <v>1</v>
      </c>
      <c r="G9" s="22">
        <v>1</v>
      </c>
      <c r="H9" s="13">
        <v>2</v>
      </c>
      <c r="I9" s="4">
        <v>2</v>
      </c>
      <c r="J9" s="4">
        <v>9</v>
      </c>
      <c r="K9" s="4" t="s">
        <v>11</v>
      </c>
      <c r="L9" s="4" t="s">
        <v>13</v>
      </c>
      <c r="M9" s="4">
        <v>2018</v>
      </c>
      <c r="N9" s="4">
        <v>1</v>
      </c>
      <c r="O9" s="4">
        <v>0</v>
      </c>
    </row>
    <row r="10" spans="1:21">
      <c r="A10" s="4" t="s">
        <v>8</v>
      </c>
      <c r="B10" s="4" t="s">
        <v>34</v>
      </c>
      <c r="C10" s="6" t="s">
        <v>30</v>
      </c>
      <c r="D10" s="13">
        <v>1</v>
      </c>
      <c r="E10" s="13" t="s">
        <v>399</v>
      </c>
      <c r="F10" s="13">
        <v>1</v>
      </c>
      <c r="G10" s="22">
        <v>0</v>
      </c>
      <c r="H10" s="13">
        <v>1</v>
      </c>
      <c r="I10" s="4">
        <v>6</v>
      </c>
      <c r="J10" s="4">
        <v>9</v>
      </c>
      <c r="K10" s="4" t="s">
        <v>11</v>
      </c>
      <c r="L10" s="4" t="s">
        <v>13</v>
      </c>
      <c r="M10" s="4">
        <v>2018</v>
      </c>
      <c r="N10" s="4">
        <v>1</v>
      </c>
      <c r="O10" s="4">
        <v>0</v>
      </c>
    </row>
    <row r="11" spans="1:21">
      <c r="A11" s="4" t="s">
        <v>8</v>
      </c>
      <c r="B11" s="4" t="s">
        <v>35</v>
      </c>
      <c r="C11" s="6" t="s">
        <v>31</v>
      </c>
      <c r="D11" s="13">
        <v>1</v>
      </c>
      <c r="E11" s="13" t="s">
        <v>399</v>
      </c>
      <c r="F11" s="13">
        <v>1</v>
      </c>
      <c r="G11" s="22">
        <v>1</v>
      </c>
      <c r="H11" s="13">
        <v>2</v>
      </c>
      <c r="I11" s="4">
        <v>7</v>
      </c>
      <c r="J11" s="4">
        <v>9</v>
      </c>
      <c r="K11" s="4" t="s">
        <v>11</v>
      </c>
      <c r="L11" s="4" t="s">
        <v>13</v>
      </c>
      <c r="M11" s="4">
        <v>2018</v>
      </c>
      <c r="N11" s="4">
        <v>1</v>
      </c>
      <c r="O11" s="4">
        <v>0</v>
      </c>
    </row>
    <row r="12" spans="1:21">
      <c r="A12" s="4" t="s">
        <v>8</v>
      </c>
      <c r="B12" s="4" t="s">
        <v>36</v>
      </c>
      <c r="C12" s="6" t="s">
        <v>32</v>
      </c>
      <c r="D12" s="13">
        <v>0</v>
      </c>
      <c r="F12" s="13">
        <v>1</v>
      </c>
      <c r="G12" s="22">
        <v>0</v>
      </c>
      <c r="H12" s="13">
        <v>1</v>
      </c>
      <c r="I12" s="4">
        <v>9</v>
      </c>
      <c r="J12" s="4">
        <v>9</v>
      </c>
      <c r="K12" s="4" t="s">
        <v>11</v>
      </c>
      <c r="L12" s="4" t="s">
        <v>13</v>
      </c>
      <c r="M12" s="4">
        <v>2018</v>
      </c>
      <c r="N12" s="4">
        <v>1</v>
      </c>
      <c r="O12" s="4">
        <v>0</v>
      </c>
    </row>
    <row r="13" spans="1:21">
      <c r="A13" s="4" t="s">
        <v>7</v>
      </c>
      <c r="B13" s="4" t="s">
        <v>37</v>
      </c>
      <c r="C13" s="7" t="s">
        <v>39</v>
      </c>
      <c r="D13" s="13">
        <v>1</v>
      </c>
      <c r="E13" s="13" t="s">
        <v>395</v>
      </c>
      <c r="F13" s="13">
        <v>1</v>
      </c>
      <c r="G13" s="22">
        <v>1</v>
      </c>
      <c r="H13" s="13">
        <v>2</v>
      </c>
      <c r="I13" s="4">
        <v>1</v>
      </c>
      <c r="J13" s="4">
        <v>7</v>
      </c>
      <c r="K13" s="4" t="s">
        <v>11</v>
      </c>
      <c r="L13" s="4" t="s">
        <v>13</v>
      </c>
      <c r="M13" s="4">
        <v>2019</v>
      </c>
      <c r="N13" s="4">
        <v>1</v>
      </c>
      <c r="O13" s="4">
        <v>1</v>
      </c>
    </row>
    <row r="14" spans="1:21">
      <c r="A14" s="4" t="s">
        <v>7</v>
      </c>
      <c r="B14" s="4" t="s">
        <v>44</v>
      </c>
      <c r="C14" s="7" t="s">
        <v>40</v>
      </c>
      <c r="D14" s="13">
        <v>1</v>
      </c>
      <c r="E14" s="13" t="s">
        <v>399</v>
      </c>
      <c r="F14" s="13">
        <v>1</v>
      </c>
      <c r="G14" s="22">
        <v>1</v>
      </c>
      <c r="H14" s="13">
        <v>2</v>
      </c>
      <c r="I14" s="4">
        <v>2</v>
      </c>
      <c r="J14" s="4">
        <v>7</v>
      </c>
      <c r="K14" s="4" t="s">
        <v>11</v>
      </c>
      <c r="L14" s="4" t="s">
        <v>13</v>
      </c>
      <c r="M14" s="4">
        <v>2019</v>
      </c>
      <c r="N14" s="4">
        <v>1</v>
      </c>
      <c r="O14" s="4">
        <v>1</v>
      </c>
    </row>
    <row r="15" spans="1:21">
      <c r="A15" s="4" t="s">
        <v>7</v>
      </c>
      <c r="B15" s="4" t="s">
        <v>45</v>
      </c>
      <c r="C15" s="8" t="s">
        <v>41</v>
      </c>
      <c r="D15" s="13">
        <v>1</v>
      </c>
      <c r="E15" s="13" t="s">
        <v>399</v>
      </c>
      <c r="F15" s="13">
        <v>1</v>
      </c>
      <c r="G15" s="22">
        <v>0</v>
      </c>
      <c r="H15" s="13">
        <v>1</v>
      </c>
      <c r="I15" s="4">
        <v>5</v>
      </c>
      <c r="J15" s="4">
        <v>7</v>
      </c>
      <c r="K15" s="4" t="s">
        <v>11</v>
      </c>
      <c r="L15" s="4" t="s">
        <v>13</v>
      </c>
      <c r="M15" s="4">
        <v>2019</v>
      </c>
      <c r="N15" s="4">
        <v>1</v>
      </c>
      <c r="O15" s="4">
        <v>1</v>
      </c>
    </row>
    <row r="16" spans="1:21">
      <c r="A16" s="4" t="s">
        <v>7</v>
      </c>
      <c r="B16" s="4" t="s">
        <v>46</v>
      </c>
      <c r="C16" s="8" t="s">
        <v>42</v>
      </c>
      <c r="D16" s="13">
        <v>1</v>
      </c>
      <c r="E16" s="13" t="s">
        <v>399</v>
      </c>
      <c r="F16" s="13">
        <v>1</v>
      </c>
      <c r="G16" s="22">
        <v>0</v>
      </c>
      <c r="H16" s="20">
        <v>2</v>
      </c>
      <c r="I16" s="4">
        <v>6</v>
      </c>
      <c r="J16" s="4">
        <v>7</v>
      </c>
      <c r="K16" s="4" t="s">
        <v>11</v>
      </c>
      <c r="L16" s="4" t="s">
        <v>13</v>
      </c>
      <c r="M16" s="4">
        <v>2019</v>
      </c>
      <c r="N16" s="4">
        <v>1</v>
      </c>
      <c r="O16" s="4">
        <v>1</v>
      </c>
    </row>
    <row r="17" spans="1:15">
      <c r="A17" s="4" t="s">
        <v>7</v>
      </c>
      <c r="B17" s="4" t="s">
        <v>47</v>
      </c>
      <c r="C17" s="8" t="s">
        <v>43</v>
      </c>
      <c r="D17" s="13">
        <v>0</v>
      </c>
      <c r="F17" s="13">
        <v>1</v>
      </c>
      <c r="G17" s="22">
        <v>0</v>
      </c>
      <c r="H17" s="13">
        <v>1</v>
      </c>
      <c r="I17" s="4">
        <v>7</v>
      </c>
      <c r="J17" s="4">
        <v>7</v>
      </c>
      <c r="K17" s="4" t="s">
        <v>11</v>
      </c>
      <c r="L17" s="4" t="s">
        <v>13</v>
      </c>
      <c r="M17" s="4">
        <v>2019</v>
      </c>
      <c r="N17" s="4">
        <v>1</v>
      </c>
      <c r="O17" s="4">
        <v>1</v>
      </c>
    </row>
    <row r="18" spans="1:15">
      <c r="A18" s="4" t="s">
        <v>38</v>
      </c>
      <c r="B18" s="4" t="s">
        <v>52</v>
      </c>
      <c r="C18" s="8" t="s">
        <v>48</v>
      </c>
      <c r="D18" s="13">
        <v>1</v>
      </c>
      <c r="E18" s="13" t="s">
        <v>395</v>
      </c>
      <c r="F18" s="13">
        <v>1</v>
      </c>
      <c r="G18" s="22">
        <v>1</v>
      </c>
      <c r="H18" s="13">
        <v>2</v>
      </c>
      <c r="I18" s="4">
        <v>5</v>
      </c>
      <c r="J18" s="4">
        <v>10</v>
      </c>
      <c r="K18" s="4" t="s">
        <v>11</v>
      </c>
      <c r="L18" s="4" t="s">
        <v>13</v>
      </c>
      <c r="M18" s="4">
        <v>2020</v>
      </c>
      <c r="N18" s="4">
        <v>1</v>
      </c>
      <c r="O18" s="4">
        <v>1</v>
      </c>
    </row>
    <row r="19" spans="1:15">
      <c r="A19" s="4" t="s">
        <v>38</v>
      </c>
      <c r="B19" s="4" t="s">
        <v>53</v>
      </c>
      <c r="C19" s="8" t="s">
        <v>49</v>
      </c>
      <c r="D19" s="13">
        <v>1</v>
      </c>
      <c r="E19" s="13" t="s">
        <v>399</v>
      </c>
      <c r="F19" s="13">
        <v>1</v>
      </c>
      <c r="G19" s="22">
        <v>1</v>
      </c>
      <c r="H19" s="13">
        <v>2</v>
      </c>
      <c r="I19" s="4">
        <v>6</v>
      </c>
      <c r="J19" s="4">
        <v>10</v>
      </c>
      <c r="K19" s="4" t="s">
        <v>11</v>
      </c>
      <c r="L19" s="4" t="s">
        <v>13</v>
      </c>
      <c r="M19" s="4">
        <v>2020</v>
      </c>
      <c r="N19" s="4">
        <v>1</v>
      </c>
      <c r="O19" s="4">
        <v>1</v>
      </c>
    </row>
    <row r="20" spans="1:15">
      <c r="A20" s="4" t="s">
        <v>38</v>
      </c>
      <c r="B20" s="4" t="s">
        <v>54</v>
      </c>
      <c r="C20" s="8" t="s">
        <v>269</v>
      </c>
      <c r="D20" s="13">
        <v>1</v>
      </c>
      <c r="E20" s="13" t="s">
        <v>395</v>
      </c>
      <c r="F20" s="13">
        <v>1</v>
      </c>
      <c r="G20" s="22">
        <v>0</v>
      </c>
      <c r="H20" s="20">
        <v>2</v>
      </c>
      <c r="I20" s="4">
        <v>8</v>
      </c>
      <c r="J20" s="4">
        <v>10</v>
      </c>
      <c r="K20" s="4" t="s">
        <v>11</v>
      </c>
      <c r="L20" s="4" t="s">
        <v>13</v>
      </c>
      <c r="M20" s="4">
        <v>2020</v>
      </c>
      <c r="N20" s="4">
        <v>1</v>
      </c>
      <c r="O20" s="4">
        <v>1</v>
      </c>
    </row>
    <row r="21" spans="1:15">
      <c r="A21" s="4" t="s">
        <v>38</v>
      </c>
      <c r="B21" s="4" t="s">
        <v>55</v>
      </c>
      <c r="C21" s="8" t="s">
        <v>50</v>
      </c>
      <c r="D21" s="13">
        <v>1</v>
      </c>
      <c r="E21" s="13" t="s">
        <v>399</v>
      </c>
      <c r="F21" s="13">
        <v>1</v>
      </c>
      <c r="G21" s="22">
        <v>0</v>
      </c>
      <c r="H21" s="13">
        <v>1</v>
      </c>
      <c r="I21" s="4">
        <v>9</v>
      </c>
      <c r="J21" s="4">
        <v>10</v>
      </c>
      <c r="K21" s="4" t="s">
        <v>11</v>
      </c>
      <c r="L21" s="4" t="s">
        <v>13</v>
      </c>
      <c r="M21" s="4">
        <v>2020</v>
      </c>
      <c r="N21" s="4">
        <v>1</v>
      </c>
      <c r="O21" s="4">
        <v>1</v>
      </c>
    </row>
    <row r="22" spans="1:15">
      <c r="A22" s="4" t="s">
        <v>38</v>
      </c>
      <c r="B22" s="4" t="s">
        <v>268</v>
      </c>
      <c r="C22" s="8" t="s">
        <v>51</v>
      </c>
      <c r="D22" s="13">
        <v>1</v>
      </c>
      <c r="E22" s="13" t="s">
        <v>399</v>
      </c>
      <c r="F22" s="13">
        <v>1</v>
      </c>
      <c r="G22" s="22">
        <v>0</v>
      </c>
      <c r="H22" s="20">
        <v>2</v>
      </c>
      <c r="I22" s="4">
        <v>10</v>
      </c>
      <c r="J22" s="4">
        <v>10</v>
      </c>
      <c r="K22" s="4" t="s">
        <v>11</v>
      </c>
      <c r="L22" s="4" t="s">
        <v>13</v>
      </c>
      <c r="M22" s="4">
        <v>2020</v>
      </c>
      <c r="N22" s="4">
        <v>1</v>
      </c>
      <c r="O22" s="4">
        <v>1</v>
      </c>
    </row>
    <row r="23" spans="1:15">
      <c r="A23" s="4" t="s">
        <v>56</v>
      </c>
      <c r="B23" s="4" t="s">
        <v>57</v>
      </c>
      <c r="C23" s="8" t="s">
        <v>58</v>
      </c>
      <c r="D23" s="13">
        <v>1</v>
      </c>
      <c r="E23" s="13" t="s">
        <v>395</v>
      </c>
      <c r="F23" s="13">
        <v>1</v>
      </c>
      <c r="G23" s="22">
        <v>1</v>
      </c>
      <c r="H23" s="13">
        <v>2</v>
      </c>
      <c r="I23" s="4">
        <v>1</v>
      </c>
      <c r="J23" s="4">
        <v>6</v>
      </c>
      <c r="K23" s="4" t="s">
        <v>11</v>
      </c>
      <c r="L23" s="4" t="s">
        <v>13</v>
      </c>
      <c r="M23" s="4">
        <v>2021</v>
      </c>
      <c r="N23" s="4">
        <v>1</v>
      </c>
      <c r="O23" s="4">
        <v>1</v>
      </c>
    </row>
    <row r="24" spans="1:15">
      <c r="A24" s="4" t="s">
        <v>56</v>
      </c>
      <c r="B24" s="4" t="s">
        <v>61</v>
      </c>
      <c r="C24" s="8" t="s">
        <v>49</v>
      </c>
      <c r="D24" s="13">
        <v>1</v>
      </c>
      <c r="E24" s="13" t="s">
        <v>399</v>
      </c>
      <c r="F24" s="13">
        <v>1</v>
      </c>
      <c r="G24" s="22">
        <v>1</v>
      </c>
      <c r="H24" s="13">
        <v>2</v>
      </c>
      <c r="I24" s="4">
        <v>2</v>
      </c>
      <c r="J24" s="4">
        <v>6</v>
      </c>
      <c r="K24" s="4" t="s">
        <v>11</v>
      </c>
      <c r="L24" s="4" t="s">
        <v>13</v>
      </c>
      <c r="M24" s="4">
        <v>2021</v>
      </c>
      <c r="N24" s="4">
        <v>1</v>
      </c>
      <c r="O24" s="4">
        <v>1</v>
      </c>
    </row>
    <row r="25" spans="1:15">
      <c r="A25" s="4" t="s">
        <v>56</v>
      </c>
      <c r="B25" s="4" t="s">
        <v>62</v>
      </c>
      <c r="C25" s="9" t="s">
        <v>59</v>
      </c>
      <c r="D25" s="13">
        <v>1</v>
      </c>
      <c r="E25" s="13" t="s">
        <v>395</v>
      </c>
      <c r="F25" s="13">
        <v>1</v>
      </c>
      <c r="G25" s="22">
        <v>1</v>
      </c>
      <c r="H25" s="13">
        <v>2</v>
      </c>
      <c r="I25" s="4">
        <v>4</v>
      </c>
      <c r="J25" s="4">
        <v>6</v>
      </c>
      <c r="K25" s="4" t="s">
        <v>11</v>
      </c>
      <c r="L25" s="4" t="s">
        <v>13</v>
      </c>
      <c r="M25" s="4">
        <v>2021</v>
      </c>
      <c r="N25" s="4">
        <v>1</v>
      </c>
      <c r="O25" s="4">
        <v>1</v>
      </c>
    </row>
    <row r="26" spans="1:15">
      <c r="A26" s="4" t="s">
        <v>56</v>
      </c>
      <c r="B26" s="4" t="s">
        <v>63</v>
      </c>
      <c r="C26" s="9" t="s">
        <v>60</v>
      </c>
      <c r="D26" s="13">
        <v>1</v>
      </c>
      <c r="E26" s="13" t="s">
        <v>399</v>
      </c>
      <c r="F26" s="13">
        <v>1</v>
      </c>
      <c r="G26" s="22">
        <v>0</v>
      </c>
      <c r="H26" s="13">
        <v>1</v>
      </c>
      <c r="I26" s="4">
        <v>5</v>
      </c>
      <c r="J26" s="4">
        <v>6</v>
      </c>
      <c r="K26" s="4" t="s">
        <v>11</v>
      </c>
      <c r="L26" s="4" t="s">
        <v>13</v>
      </c>
      <c r="M26" s="4">
        <v>2021</v>
      </c>
      <c r="N26" s="4">
        <v>1</v>
      </c>
      <c r="O26" s="4">
        <v>1</v>
      </c>
    </row>
    <row r="27" spans="1:15">
      <c r="A27" s="4" t="s">
        <v>64</v>
      </c>
      <c r="B27" s="4" t="s">
        <v>65</v>
      </c>
      <c r="C27" s="9" t="s">
        <v>58</v>
      </c>
      <c r="D27" s="13">
        <v>1</v>
      </c>
      <c r="E27" s="13" t="s">
        <v>395</v>
      </c>
      <c r="F27" s="13">
        <v>1</v>
      </c>
      <c r="G27" s="22">
        <v>1</v>
      </c>
      <c r="H27" s="13">
        <v>2</v>
      </c>
      <c r="I27" s="4">
        <v>1</v>
      </c>
      <c r="J27" s="4">
        <v>7</v>
      </c>
      <c r="K27" s="4" t="s">
        <v>11</v>
      </c>
      <c r="L27" s="4" t="s">
        <v>13</v>
      </c>
      <c r="M27" s="4">
        <v>2022</v>
      </c>
      <c r="N27" s="4">
        <v>1</v>
      </c>
      <c r="O27" s="4">
        <v>1</v>
      </c>
    </row>
    <row r="28" spans="1:15">
      <c r="A28" s="4" t="s">
        <v>64</v>
      </c>
      <c r="B28" s="4" t="s">
        <v>71</v>
      </c>
      <c r="C28" s="9" t="s">
        <v>49</v>
      </c>
      <c r="D28" s="13">
        <v>1</v>
      </c>
      <c r="E28" s="13" t="s">
        <v>399</v>
      </c>
      <c r="F28" s="13">
        <v>1</v>
      </c>
      <c r="G28" s="22">
        <v>1</v>
      </c>
      <c r="H28" s="13">
        <v>2</v>
      </c>
      <c r="I28" s="4">
        <v>2</v>
      </c>
      <c r="J28" s="4">
        <v>7</v>
      </c>
      <c r="K28" s="4" t="s">
        <v>11</v>
      </c>
      <c r="L28" s="4" t="s">
        <v>13</v>
      </c>
      <c r="M28" s="4">
        <v>2022</v>
      </c>
      <c r="N28" s="4">
        <v>1</v>
      </c>
      <c r="O28" s="4">
        <v>1</v>
      </c>
    </row>
    <row r="29" spans="1:15">
      <c r="A29" s="4" t="s">
        <v>64</v>
      </c>
      <c r="B29" s="4" t="s">
        <v>72</v>
      </c>
      <c r="C29" s="9" t="s">
        <v>66</v>
      </c>
      <c r="D29" s="13">
        <v>1</v>
      </c>
      <c r="E29" s="13" t="s">
        <v>399</v>
      </c>
      <c r="F29" s="13">
        <v>1</v>
      </c>
      <c r="G29" s="22">
        <v>1</v>
      </c>
      <c r="H29" s="13">
        <v>2</v>
      </c>
      <c r="I29" s="4">
        <v>3</v>
      </c>
      <c r="J29" s="4">
        <v>7</v>
      </c>
      <c r="K29" s="4" t="s">
        <v>11</v>
      </c>
      <c r="L29" s="4" t="s">
        <v>13</v>
      </c>
      <c r="M29" s="4">
        <v>2022</v>
      </c>
      <c r="N29" s="4">
        <v>1</v>
      </c>
      <c r="O29" s="4">
        <v>1</v>
      </c>
    </row>
    <row r="30" spans="1:15">
      <c r="A30" s="4" t="s">
        <v>64</v>
      </c>
      <c r="B30" s="4" t="s">
        <v>73</v>
      </c>
      <c r="C30" s="9" t="s">
        <v>67</v>
      </c>
      <c r="D30" s="13">
        <v>1</v>
      </c>
      <c r="E30" s="13" t="s">
        <v>399</v>
      </c>
      <c r="F30" s="13">
        <v>1</v>
      </c>
      <c r="G30" s="22">
        <v>0</v>
      </c>
      <c r="H30" s="20">
        <v>2</v>
      </c>
      <c r="I30" s="4">
        <v>4</v>
      </c>
      <c r="J30" s="4">
        <v>7</v>
      </c>
      <c r="K30" s="4" t="s">
        <v>11</v>
      </c>
      <c r="L30" s="4" t="s">
        <v>13</v>
      </c>
      <c r="M30" s="4">
        <v>2022</v>
      </c>
      <c r="N30" s="4">
        <v>1</v>
      </c>
      <c r="O30" s="4">
        <v>1</v>
      </c>
    </row>
    <row r="31" spans="1:15">
      <c r="A31" s="4" t="s">
        <v>64</v>
      </c>
      <c r="B31" s="4" t="s">
        <v>74</v>
      </c>
      <c r="C31" s="9" t="s">
        <v>68</v>
      </c>
      <c r="D31" s="13">
        <v>1</v>
      </c>
      <c r="E31" s="13" t="s">
        <v>397</v>
      </c>
      <c r="F31" s="13">
        <v>1</v>
      </c>
      <c r="G31" s="22">
        <v>0</v>
      </c>
      <c r="H31" s="20">
        <v>2</v>
      </c>
      <c r="I31" s="4">
        <v>5</v>
      </c>
      <c r="J31" s="4">
        <v>7</v>
      </c>
      <c r="K31" s="4" t="s">
        <v>11</v>
      </c>
      <c r="L31" s="4" t="s">
        <v>13</v>
      </c>
      <c r="M31" s="4">
        <v>2022</v>
      </c>
      <c r="N31" s="4">
        <v>1</v>
      </c>
      <c r="O31" s="4">
        <v>1</v>
      </c>
    </row>
    <row r="32" spans="1:15">
      <c r="A32" s="4" t="s">
        <v>64</v>
      </c>
      <c r="B32" s="4" t="s">
        <v>75</v>
      </c>
      <c r="C32" s="9" t="s">
        <v>69</v>
      </c>
      <c r="D32" s="13">
        <v>1</v>
      </c>
      <c r="E32" s="13" t="s">
        <v>399</v>
      </c>
      <c r="F32" s="13">
        <v>1</v>
      </c>
      <c r="G32" s="22">
        <v>0</v>
      </c>
      <c r="H32" s="13">
        <v>1</v>
      </c>
      <c r="I32" s="4">
        <v>6</v>
      </c>
      <c r="J32" s="4">
        <v>7</v>
      </c>
      <c r="K32" s="4" t="s">
        <v>11</v>
      </c>
      <c r="L32" s="4" t="s">
        <v>13</v>
      </c>
      <c r="M32" s="4">
        <v>2022</v>
      </c>
      <c r="N32" s="4">
        <v>1</v>
      </c>
      <c r="O32" s="4">
        <v>1</v>
      </c>
    </row>
    <row r="33" spans="1:15">
      <c r="A33" s="4" t="s">
        <v>64</v>
      </c>
      <c r="B33" s="4" t="s">
        <v>76</v>
      </c>
      <c r="C33" s="9" t="s">
        <v>70</v>
      </c>
      <c r="D33" s="13">
        <v>1</v>
      </c>
      <c r="E33" s="13" t="s">
        <v>399</v>
      </c>
      <c r="F33" s="13">
        <v>1</v>
      </c>
      <c r="G33" s="22">
        <v>1</v>
      </c>
      <c r="H33" s="13">
        <v>2</v>
      </c>
      <c r="I33" s="4">
        <v>7</v>
      </c>
      <c r="J33" s="4">
        <v>7</v>
      </c>
      <c r="K33" s="4" t="s">
        <v>11</v>
      </c>
      <c r="L33" s="4" t="s">
        <v>13</v>
      </c>
      <c r="M33" s="4">
        <v>2022</v>
      </c>
      <c r="N33" s="4">
        <v>1</v>
      </c>
      <c r="O33" s="4">
        <v>1</v>
      </c>
    </row>
    <row r="34" spans="1:15">
      <c r="A34" s="4" t="s">
        <v>77</v>
      </c>
      <c r="B34" s="4" t="s">
        <v>78</v>
      </c>
      <c r="C34" s="9" t="s">
        <v>79</v>
      </c>
      <c r="D34" s="13">
        <v>1</v>
      </c>
      <c r="E34" s="13" t="s">
        <v>395</v>
      </c>
      <c r="F34" s="13">
        <v>1</v>
      </c>
      <c r="G34" s="22">
        <v>1</v>
      </c>
      <c r="H34" s="13">
        <v>2</v>
      </c>
      <c r="I34" s="4">
        <v>1</v>
      </c>
      <c r="J34" s="4">
        <v>8</v>
      </c>
      <c r="K34" s="4" t="s">
        <v>11</v>
      </c>
      <c r="L34" s="4" t="s">
        <v>13</v>
      </c>
      <c r="M34" s="4">
        <v>2023</v>
      </c>
      <c r="N34" s="4">
        <v>1</v>
      </c>
      <c r="O34" s="4">
        <v>1</v>
      </c>
    </row>
    <row r="35" spans="1:15">
      <c r="A35" s="4" t="s">
        <v>77</v>
      </c>
      <c r="B35" s="4" t="s">
        <v>86</v>
      </c>
      <c r="C35" s="9" t="s">
        <v>80</v>
      </c>
      <c r="D35" s="13">
        <v>1</v>
      </c>
      <c r="E35" s="13" t="s">
        <v>399</v>
      </c>
      <c r="F35" s="13">
        <v>1</v>
      </c>
      <c r="G35" s="22">
        <v>1</v>
      </c>
      <c r="H35" s="13">
        <v>2</v>
      </c>
      <c r="I35" s="4">
        <v>2</v>
      </c>
      <c r="J35" s="4">
        <v>8</v>
      </c>
      <c r="K35" s="4" t="s">
        <v>11</v>
      </c>
      <c r="L35" s="4" t="s">
        <v>13</v>
      </c>
      <c r="M35" s="4">
        <v>2023</v>
      </c>
      <c r="N35" s="4">
        <v>1</v>
      </c>
      <c r="O35" s="4">
        <v>1</v>
      </c>
    </row>
    <row r="36" spans="1:15">
      <c r="A36" s="4" t="s">
        <v>77</v>
      </c>
      <c r="B36" s="4" t="s">
        <v>87</v>
      </c>
      <c r="C36" s="9" t="s">
        <v>81</v>
      </c>
      <c r="D36" s="13">
        <v>1</v>
      </c>
      <c r="E36" s="13" t="s">
        <v>399</v>
      </c>
      <c r="F36" s="13">
        <v>1</v>
      </c>
      <c r="G36" s="22">
        <v>0</v>
      </c>
      <c r="H36" s="20">
        <v>2</v>
      </c>
      <c r="I36" s="4">
        <v>3</v>
      </c>
      <c r="J36" s="4">
        <v>8</v>
      </c>
      <c r="K36" s="4" t="s">
        <v>11</v>
      </c>
      <c r="L36" s="4" t="s">
        <v>13</v>
      </c>
      <c r="M36" s="4">
        <v>2023</v>
      </c>
      <c r="N36" s="4">
        <v>1</v>
      </c>
      <c r="O36" s="4">
        <v>1</v>
      </c>
    </row>
    <row r="37" spans="1:15">
      <c r="A37" s="4" t="s">
        <v>77</v>
      </c>
      <c r="B37" s="4" t="s">
        <v>88</v>
      </c>
      <c r="C37" s="9" t="s">
        <v>82</v>
      </c>
      <c r="D37" s="13">
        <v>1</v>
      </c>
      <c r="E37" s="13" t="s">
        <v>399</v>
      </c>
      <c r="F37" s="13">
        <v>1</v>
      </c>
      <c r="G37" s="22">
        <v>1</v>
      </c>
      <c r="H37" s="13">
        <v>2</v>
      </c>
      <c r="I37" s="4">
        <v>4</v>
      </c>
      <c r="J37" s="4">
        <v>8</v>
      </c>
      <c r="K37" s="4" t="s">
        <v>11</v>
      </c>
      <c r="L37" s="4" t="s">
        <v>13</v>
      </c>
      <c r="M37" s="4">
        <v>2023</v>
      </c>
      <c r="N37" s="4">
        <v>1</v>
      </c>
      <c r="O37" s="4">
        <v>1</v>
      </c>
    </row>
    <row r="38" spans="1:15">
      <c r="A38" s="4" t="s">
        <v>77</v>
      </c>
      <c r="B38" s="4" t="s">
        <v>89</v>
      </c>
      <c r="C38" s="9" t="s">
        <v>83</v>
      </c>
      <c r="D38" s="13">
        <v>1</v>
      </c>
      <c r="E38" s="13" t="s">
        <v>399</v>
      </c>
      <c r="F38" s="13">
        <v>1</v>
      </c>
      <c r="G38" s="22">
        <v>0</v>
      </c>
      <c r="H38" s="20">
        <v>2</v>
      </c>
      <c r="I38" s="4">
        <v>5</v>
      </c>
      <c r="J38" s="4">
        <v>8</v>
      </c>
      <c r="K38" s="4" t="s">
        <v>11</v>
      </c>
      <c r="L38" s="4" t="s">
        <v>13</v>
      </c>
      <c r="M38" s="4">
        <v>2023</v>
      </c>
      <c r="N38" s="4">
        <v>1</v>
      </c>
      <c r="O38" s="4">
        <v>1</v>
      </c>
    </row>
    <row r="39" spans="1:15">
      <c r="A39" s="4" t="s">
        <v>77</v>
      </c>
      <c r="B39" s="4" t="s">
        <v>90</v>
      </c>
      <c r="C39" s="9" t="s">
        <v>84</v>
      </c>
      <c r="D39" s="13">
        <v>1</v>
      </c>
      <c r="E39" s="13" t="s">
        <v>399</v>
      </c>
      <c r="F39" s="13">
        <v>1</v>
      </c>
      <c r="G39" s="22">
        <v>0</v>
      </c>
      <c r="H39" s="13">
        <v>1</v>
      </c>
      <c r="I39" s="4">
        <v>7</v>
      </c>
      <c r="J39" s="4">
        <v>8</v>
      </c>
      <c r="K39" s="4" t="s">
        <v>11</v>
      </c>
      <c r="L39" s="4" t="s">
        <v>13</v>
      </c>
      <c r="M39" s="4">
        <v>2023</v>
      </c>
      <c r="N39" s="4">
        <v>1</v>
      </c>
      <c r="O39" s="4">
        <v>1</v>
      </c>
    </row>
    <row r="40" spans="1:15">
      <c r="A40" s="4" t="s">
        <v>77</v>
      </c>
      <c r="B40" s="4" t="s">
        <v>91</v>
      </c>
      <c r="C40" s="9" t="s">
        <v>85</v>
      </c>
      <c r="D40" s="13">
        <v>1</v>
      </c>
      <c r="E40" s="13" t="s">
        <v>399</v>
      </c>
      <c r="F40" s="13">
        <v>1</v>
      </c>
      <c r="G40" s="22">
        <v>1</v>
      </c>
      <c r="H40" s="13">
        <v>2</v>
      </c>
      <c r="I40" s="4">
        <v>8</v>
      </c>
      <c r="J40" s="4">
        <v>8</v>
      </c>
      <c r="K40" s="4" t="s">
        <v>11</v>
      </c>
      <c r="L40" s="4" t="s">
        <v>13</v>
      </c>
      <c r="M40" s="4">
        <v>2023</v>
      </c>
      <c r="N40" s="4">
        <v>1</v>
      </c>
      <c r="O40" s="4">
        <v>1</v>
      </c>
    </row>
    <row r="41" spans="1:15">
      <c r="A41" s="4" t="s">
        <v>92</v>
      </c>
      <c r="B41" s="4" t="s">
        <v>93</v>
      </c>
      <c r="C41" s="9" t="s">
        <v>94</v>
      </c>
      <c r="D41" s="13">
        <v>1</v>
      </c>
      <c r="E41" s="13" t="s">
        <v>395</v>
      </c>
      <c r="F41" s="13">
        <v>1</v>
      </c>
      <c r="G41" s="22">
        <v>1</v>
      </c>
      <c r="H41" s="13">
        <v>2</v>
      </c>
      <c r="I41" s="4">
        <v>1</v>
      </c>
      <c r="J41" s="4">
        <v>8</v>
      </c>
      <c r="K41" s="4" t="s">
        <v>11</v>
      </c>
      <c r="L41" s="4" t="s">
        <v>13</v>
      </c>
      <c r="M41" s="4">
        <v>2024</v>
      </c>
      <c r="N41" s="4">
        <v>1</v>
      </c>
      <c r="O41" s="4">
        <v>1</v>
      </c>
    </row>
    <row r="42" spans="1:15">
      <c r="A42" s="4" t="s">
        <v>92</v>
      </c>
      <c r="B42" s="4" t="s">
        <v>101</v>
      </c>
      <c r="C42" s="9" t="s">
        <v>95</v>
      </c>
      <c r="D42" s="13">
        <v>1</v>
      </c>
      <c r="E42" s="13" t="s">
        <v>399</v>
      </c>
      <c r="F42" s="13">
        <v>1</v>
      </c>
      <c r="G42" s="22">
        <v>1</v>
      </c>
      <c r="H42" s="13">
        <v>2</v>
      </c>
      <c r="I42" s="4">
        <v>2</v>
      </c>
      <c r="J42" s="4">
        <v>8</v>
      </c>
      <c r="K42" s="4" t="s">
        <v>11</v>
      </c>
      <c r="L42" s="4" t="s">
        <v>13</v>
      </c>
      <c r="M42" s="4">
        <v>2024</v>
      </c>
      <c r="N42" s="4">
        <v>1</v>
      </c>
      <c r="O42" s="4">
        <v>1</v>
      </c>
    </row>
    <row r="43" spans="1:15">
      <c r="A43" s="4" t="s">
        <v>92</v>
      </c>
      <c r="B43" s="4" t="s">
        <v>102</v>
      </c>
      <c r="C43" s="9" t="s">
        <v>96</v>
      </c>
      <c r="D43" s="13">
        <v>1</v>
      </c>
      <c r="E43" s="13" t="s">
        <v>399</v>
      </c>
      <c r="F43" s="13">
        <v>1</v>
      </c>
      <c r="G43" s="22">
        <v>1</v>
      </c>
      <c r="H43" s="13">
        <v>2</v>
      </c>
      <c r="I43" s="4">
        <v>3</v>
      </c>
      <c r="J43" s="4">
        <v>8</v>
      </c>
      <c r="K43" s="4" t="s">
        <v>11</v>
      </c>
      <c r="L43" s="4" t="s">
        <v>13</v>
      </c>
      <c r="M43" s="4">
        <v>2024</v>
      </c>
      <c r="N43" s="4">
        <v>1</v>
      </c>
      <c r="O43" s="4">
        <v>1</v>
      </c>
    </row>
    <row r="44" spans="1:15">
      <c r="A44" s="4" t="s">
        <v>92</v>
      </c>
      <c r="B44" s="4" t="s">
        <v>103</v>
      </c>
      <c r="C44" s="9" t="s">
        <v>83</v>
      </c>
      <c r="D44" s="13">
        <v>1</v>
      </c>
      <c r="E44" s="13" t="s">
        <v>399</v>
      </c>
      <c r="F44" s="13">
        <v>1</v>
      </c>
      <c r="G44" s="22">
        <v>0</v>
      </c>
      <c r="H44" s="20">
        <v>2</v>
      </c>
      <c r="I44" s="4">
        <v>4</v>
      </c>
      <c r="J44" s="4">
        <v>8</v>
      </c>
      <c r="K44" s="4" t="s">
        <v>11</v>
      </c>
      <c r="L44" s="4" t="s">
        <v>13</v>
      </c>
      <c r="M44" s="4">
        <v>2024</v>
      </c>
      <c r="N44" s="4">
        <v>1</v>
      </c>
      <c r="O44" s="4">
        <v>1</v>
      </c>
    </row>
    <row r="45" spans="1:15">
      <c r="A45" s="4" t="s">
        <v>92</v>
      </c>
      <c r="B45" s="4" t="s">
        <v>104</v>
      </c>
      <c r="C45" s="9" t="s">
        <v>97</v>
      </c>
      <c r="D45" s="13">
        <v>1</v>
      </c>
      <c r="E45" s="13" t="s">
        <v>397</v>
      </c>
      <c r="F45" s="13">
        <v>1</v>
      </c>
      <c r="G45" s="22">
        <v>0</v>
      </c>
      <c r="H45" s="20">
        <v>2</v>
      </c>
      <c r="I45" s="4">
        <v>5</v>
      </c>
      <c r="J45" s="4">
        <v>8</v>
      </c>
      <c r="K45" s="4" t="s">
        <v>11</v>
      </c>
      <c r="L45" s="4" t="s">
        <v>13</v>
      </c>
      <c r="M45" s="4">
        <v>2024</v>
      </c>
      <c r="N45" s="4">
        <v>1</v>
      </c>
      <c r="O45" s="4">
        <v>1</v>
      </c>
    </row>
    <row r="46" spans="1:15">
      <c r="A46" s="4" t="s">
        <v>92</v>
      </c>
      <c r="B46" s="4" t="s">
        <v>105</v>
      </c>
      <c r="C46" s="9" t="s">
        <v>98</v>
      </c>
      <c r="D46" s="13">
        <v>1</v>
      </c>
      <c r="E46" s="13" t="s">
        <v>399</v>
      </c>
      <c r="F46" s="13">
        <v>1</v>
      </c>
      <c r="G46" s="22">
        <v>0</v>
      </c>
      <c r="H46" s="13">
        <v>1</v>
      </c>
      <c r="I46" s="4">
        <v>6</v>
      </c>
      <c r="J46" s="4">
        <v>8</v>
      </c>
      <c r="K46" s="4" t="s">
        <v>11</v>
      </c>
      <c r="L46" s="4" t="s">
        <v>13</v>
      </c>
      <c r="M46" s="4">
        <v>2024</v>
      </c>
      <c r="N46" s="4">
        <v>1</v>
      </c>
      <c r="O46" s="4">
        <v>1</v>
      </c>
    </row>
    <row r="47" spans="1:15">
      <c r="A47" s="4" t="s">
        <v>92</v>
      </c>
      <c r="B47" s="4" t="s">
        <v>106</v>
      </c>
      <c r="C47" s="9" t="s">
        <v>99</v>
      </c>
      <c r="D47" s="13">
        <v>1</v>
      </c>
      <c r="E47" s="13" t="s">
        <v>399</v>
      </c>
      <c r="F47" s="13">
        <v>1</v>
      </c>
      <c r="G47" s="22">
        <v>1</v>
      </c>
      <c r="H47" s="13">
        <v>2</v>
      </c>
      <c r="I47" s="4">
        <v>7</v>
      </c>
      <c r="J47" s="4">
        <v>8</v>
      </c>
      <c r="K47" s="4" t="s">
        <v>11</v>
      </c>
      <c r="L47" s="4" t="s">
        <v>13</v>
      </c>
      <c r="M47" s="4">
        <v>2024</v>
      </c>
      <c r="N47" s="4">
        <v>1</v>
      </c>
      <c r="O47" s="4">
        <v>1</v>
      </c>
    </row>
    <row r="48" spans="1:15">
      <c r="A48" s="4" t="s">
        <v>92</v>
      </c>
      <c r="B48" s="4" t="s">
        <v>107</v>
      </c>
      <c r="C48" s="9" t="s">
        <v>100</v>
      </c>
      <c r="D48" s="13">
        <v>1</v>
      </c>
      <c r="E48" s="13" t="s">
        <v>399</v>
      </c>
      <c r="F48" s="13">
        <v>1</v>
      </c>
      <c r="G48" s="22">
        <v>1</v>
      </c>
      <c r="H48" s="13">
        <v>2</v>
      </c>
      <c r="I48" s="4">
        <v>8</v>
      </c>
      <c r="J48" s="4">
        <v>8</v>
      </c>
      <c r="K48" s="4" t="s">
        <v>11</v>
      </c>
      <c r="L48" s="4" t="s">
        <v>13</v>
      </c>
      <c r="M48" s="4">
        <v>2024</v>
      </c>
      <c r="N48" s="4">
        <v>1</v>
      </c>
      <c r="O48" s="4">
        <v>1</v>
      </c>
    </row>
    <row r="49" spans="1:15">
      <c r="A49" s="4" t="s">
        <v>108</v>
      </c>
      <c r="B49" s="4" t="s">
        <v>109</v>
      </c>
      <c r="C49" s="9" t="s">
        <v>110</v>
      </c>
      <c r="D49" s="13">
        <v>1</v>
      </c>
      <c r="E49" s="13" t="s">
        <v>395</v>
      </c>
      <c r="F49" s="13">
        <v>1</v>
      </c>
      <c r="G49" s="22">
        <v>1</v>
      </c>
      <c r="H49" s="13">
        <v>2</v>
      </c>
      <c r="I49" s="4">
        <v>1</v>
      </c>
      <c r="J49" s="4">
        <v>8</v>
      </c>
      <c r="K49" s="4" t="s">
        <v>11</v>
      </c>
      <c r="L49" s="4" t="s">
        <v>13</v>
      </c>
      <c r="M49" s="4">
        <v>2025</v>
      </c>
      <c r="N49" s="4">
        <v>1</v>
      </c>
      <c r="O49" s="4">
        <v>1</v>
      </c>
    </row>
    <row r="50" spans="1:15">
      <c r="A50" s="4" t="s">
        <v>108</v>
      </c>
      <c r="B50" s="4" t="s">
        <v>117</v>
      </c>
      <c r="C50" s="9" t="s">
        <v>111</v>
      </c>
      <c r="D50" s="13">
        <v>1</v>
      </c>
      <c r="E50" s="13" t="s">
        <v>399</v>
      </c>
      <c r="F50" s="13">
        <v>1</v>
      </c>
      <c r="G50" s="22">
        <v>1</v>
      </c>
      <c r="H50" s="13">
        <v>2</v>
      </c>
      <c r="I50" s="4">
        <v>2</v>
      </c>
      <c r="J50" s="4">
        <v>8</v>
      </c>
      <c r="K50" s="4" t="s">
        <v>11</v>
      </c>
      <c r="L50" s="4" t="s">
        <v>13</v>
      </c>
      <c r="M50" s="4">
        <v>2025</v>
      </c>
      <c r="N50" s="4">
        <v>1</v>
      </c>
      <c r="O50" s="4">
        <v>1</v>
      </c>
    </row>
    <row r="51" spans="1:15">
      <c r="A51" s="4" t="s">
        <v>108</v>
      </c>
      <c r="B51" s="4" t="s">
        <v>118</v>
      </c>
      <c r="C51" s="9" t="s">
        <v>112</v>
      </c>
      <c r="D51" s="13">
        <v>1</v>
      </c>
      <c r="E51" s="13" t="s">
        <v>399</v>
      </c>
      <c r="F51" s="13">
        <v>1</v>
      </c>
      <c r="G51" s="22">
        <v>0</v>
      </c>
      <c r="H51" s="20">
        <v>2</v>
      </c>
      <c r="I51" s="4">
        <v>3</v>
      </c>
      <c r="J51" s="4">
        <v>8</v>
      </c>
      <c r="K51" s="4" t="s">
        <v>11</v>
      </c>
      <c r="L51" s="4" t="s">
        <v>13</v>
      </c>
      <c r="M51" s="4">
        <v>2025</v>
      </c>
      <c r="N51" s="4">
        <v>1</v>
      </c>
      <c r="O51" s="4">
        <v>1</v>
      </c>
    </row>
    <row r="52" spans="1:15">
      <c r="A52" s="4" t="s">
        <v>108</v>
      </c>
      <c r="B52" s="4" t="s">
        <v>119</v>
      </c>
      <c r="C52" s="9" t="s">
        <v>113</v>
      </c>
      <c r="D52" s="13">
        <v>1</v>
      </c>
      <c r="E52" s="13" t="s">
        <v>397</v>
      </c>
      <c r="F52" s="13">
        <v>1</v>
      </c>
      <c r="G52" s="22">
        <v>0</v>
      </c>
      <c r="H52" s="20">
        <v>2</v>
      </c>
      <c r="I52" s="4">
        <v>4</v>
      </c>
      <c r="J52" s="4">
        <v>8</v>
      </c>
      <c r="K52" s="4" t="s">
        <v>11</v>
      </c>
      <c r="L52" s="4" t="s">
        <v>13</v>
      </c>
      <c r="M52" s="4">
        <v>2025</v>
      </c>
      <c r="N52" s="4">
        <v>1</v>
      </c>
      <c r="O52" s="4">
        <v>1</v>
      </c>
    </row>
    <row r="53" spans="1:15">
      <c r="A53" s="4" t="s">
        <v>108</v>
      </c>
      <c r="B53" s="4" t="s">
        <v>120</v>
      </c>
      <c r="C53" s="9" t="s">
        <v>114</v>
      </c>
      <c r="D53" s="13">
        <v>1</v>
      </c>
      <c r="E53" s="13" t="s">
        <v>399</v>
      </c>
      <c r="F53" s="13">
        <v>1</v>
      </c>
      <c r="G53" s="22">
        <v>0</v>
      </c>
      <c r="H53" s="13">
        <v>1</v>
      </c>
      <c r="I53" s="4">
        <v>6</v>
      </c>
      <c r="J53" s="4">
        <v>8</v>
      </c>
      <c r="K53" s="4" t="s">
        <v>11</v>
      </c>
      <c r="L53" s="4" t="s">
        <v>13</v>
      </c>
      <c r="M53" s="4">
        <v>2025</v>
      </c>
      <c r="N53" s="4">
        <v>1</v>
      </c>
      <c r="O53" s="4">
        <v>1</v>
      </c>
    </row>
    <row r="54" spans="1:15">
      <c r="A54" s="4" t="s">
        <v>108</v>
      </c>
      <c r="B54" s="4" t="s">
        <v>121</v>
      </c>
      <c r="C54" s="9" t="s">
        <v>115</v>
      </c>
      <c r="D54" s="13">
        <v>1</v>
      </c>
      <c r="E54" s="13" t="s">
        <v>399</v>
      </c>
      <c r="F54" s="13">
        <v>1</v>
      </c>
      <c r="G54" s="22">
        <v>1</v>
      </c>
      <c r="H54" s="13">
        <v>2</v>
      </c>
      <c r="I54" s="4">
        <v>7</v>
      </c>
      <c r="J54" s="4">
        <v>8</v>
      </c>
      <c r="K54" s="4" t="s">
        <v>11</v>
      </c>
      <c r="L54" s="4" t="s">
        <v>13</v>
      </c>
      <c r="M54" s="4">
        <v>2025</v>
      </c>
      <c r="N54" s="4">
        <v>1</v>
      </c>
      <c r="O54" s="4">
        <v>1</v>
      </c>
    </row>
    <row r="55" spans="1:15">
      <c r="A55" s="4" t="s">
        <v>108</v>
      </c>
      <c r="B55" s="4" t="s">
        <v>122</v>
      </c>
      <c r="C55" s="9" t="s">
        <v>116</v>
      </c>
      <c r="D55" s="13">
        <v>1</v>
      </c>
      <c r="E55" s="13" t="s">
        <v>399</v>
      </c>
      <c r="F55" s="13">
        <v>1</v>
      </c>
      <c r="G55" s="22">
        <v>1</v>
      </c>
      <c r="H55" s="13">
        <v>2</v>
      </c>
      <c r="I55" s="4">
        <v>8</v>
      </c>
      <c r="J55" s="4">
        <v>8</v>
      </c>
      <c r="K55" s="4" t="s">
        <v>11</v>
      </c>
      <c r="L55" s="4" t="s">
        <v>13</v>
      </c>
      <c r="M55" s="4">
        <v>2025</v>
      </c>
      <c r="N55" s="4">
        <v>1</v>
      </c>
      <c r="O55" s="4">
        <v>1</v>
      </c>
    </row>
    <row r="56" spans="1:15">
      <c r="A56" s="4" t="s">
        <v>123</v>
      </c>
      <c r="B56" s="4" t="s">
        <v>136</v>
      </c>
      <c r="C56" s="9" t="s">
        <v>125</v>
      </c>
      <c r="D56" s="13">
        <v>1</v>
      </c>
      <c r="E56" s="13" t="s">
        <v>399</v>
      </c>
      <c r="F56" s="13">
        <v>1</v>
      </c>
      <c r="G56" s="22">
        <v>1</v>
      </c>
      <c r="H56" s="13">
        <v>2</v>
      </c>
      <c r="I56" s="4">
        <v>2</v>
      </c>
      <c r="J56" s="4">
        <v>21</v>
      </c>
      <c r="K56" s="4" t="s">
        <v>124</v>
      </c>
      <c r="L56" s="4" t="s">
        <v>13</v>
      </c>
      <c r="M56" s="4">
        <v>2017</v>
      </c>
      <c r="N56" s="4">
        <v>1</v>
      </c>
      <c r="O56" s="4">
        <v>0</v>
      </c>
    </row>
    <row r="57" spans="1:15">
      <c r="A57" s="4" t="s">
        <v>123</v>
      </c>
      <c r="B57" s="4" t="s">
        <v>137</v>
      </c>
      <c r="C57" s="9" t="s">
        <v>126</v>
      </c>
      <c r="D57" s="13">
        <v>1</v>
      </c>
      <c r="E57" s="13" t="s">
        <v>397</v>
      </c>
      <c r="F57" s="13">
        <v>1</v>
      </c>
      <c r="G57" s="22">
        <v>0</v>
      </c>
      <c r="H57" s="13">
        <v>1</v>
      </c>
      <c r="I57" s="4">
        <v>6</v>
      </c>
      <c r="J57" s="4">
        <v>21</v>
      </c>
      <c r="K57" s="4" t="s">
        <v>124</v>
      </c>
      <c r="L57" s="4" t="s">
        <v>13</v>
      </c>
      <c r="M57" s="4">
        <v>2017</v>
      </c>
      <c r="N57" s="4">
        <v>1</v>
      </c>
      <c r="O57" s="4">
        <v>0</v>
      </c>
    </row>
    <row r="58" spans="1:15">
      <c r="A58" s="4" t="s">
        <v>123</v>
      </c>
      <c r="B58" s="4" t="s">
        <v>138</v>
      </c>
      <c r="C58" s="9" t="s">
        <v>127</v>
      </c>
      <c r="D58" s="13">
        <v>1</v>
      </c>
      <c r="E58" s="13" t="s">
        <v>397</v>
      </c>
      <c r="F58" s="13">
        <v>1</v>
      </c>
      <c r="G58" s="22">
        <v>0</v>
      </c>
      <c r="H58" s="13">
        <v>1</v>
      </c>
      <c r="I58" s="4">
        <v>8</v>
      </c>
      <c r="J58" s="4">
        <v>21</v>
      </c>
      <c r="K58" s="4" t="s">
        <v>124</v>
      </c>
      <c r="L58" s="4" t="s">
        <v>13</v>
      </c>
      <c r="M58" s="4">
        <v>2017</v>
      </c>
      <c r="N58" s="4">
        <v>1</v>
      </c>
      <c r="O58" s="4">
        <v>0</v>
      </c>
    </row>
    <row r="59" spans="1:15">
      <c r="A59" s="4" t="s">
        <v>123</v>
      </c>
      <c r="B59" s="4" t="s">
        <v>139</v>
      </c>
      <c r="C59" s="9" t="s">
        <v>128</v>
      </c>
      <c r="D59" s="13">
        <v>0</v>
      </c>
      <c r="F59" s="13">
        <v>1</v>
      </c>
      <c r="G59" s="22">
        <v>0</v>
      </c>
      <c r="H59" s="13">
        <v>1</v>
      </c>
      <c r="I59" s="4">
        <v>10</v>
      </c>
      <c r="J59" s="4">
        <v>21</v>
      </c>
      <c r="K59" s="4" t="s">
        <v>124</v>
      </c>
      <c r="L59" s="4" t="s">
        <v>13</v>
      </c>
      <c r="M59" s="4">
        <v>2017</v>
      </c>
      <c r="N59" s="4">
        <v>1</v>
      </c>
      <c r="O59" s="4">
        <v>0</v>
      </c>
    </row>
    <row r="60" spans="1:15">
      <c r="A60" s="4" t="s">
        <v>123</v>
      </c>
      <c r="B60" s="4" t="s">
        <v>140</v>
      </c>
      <c r="C60" s="9" t="s">
        <v>129</v>
      </c>
      <c r="D60" s="13">
        <v>1</v>
      </c>
      <c r="E60" s="13" t="s">
        <v>397</v>
      </c>
      <c r="F60" s="13">
        <v>1</v>
      </c>
      <c r="G60" s="22">
        <v>0</v>
      </c>
      <c r="H60" s="13">
        <v>1</v>
      </c>
      <c r="I60" s="4">
        <v>11</v>
      </c>
      <c r="J60" s="4">
        <v>21</v>
      </c>
      <c r="K60" s="4" t="s">
        <v>124</v>
      </c>
      <c r="L60" s="4" t="s">
        <v>13</v>
      </c>
      <c r="M60" s="4">
        <v>2017</v>
      </c>
      <c r="N60" s="4">
        <v>1</v>
      </c>
      <c r="O60" s="4">
        <v>0</v>
      </c>
    </row>
    <row r="61" spans="1:15">
      <c r="A61" s="4" t="s">
        <v>123</v>
      </c>
      <c r="B61" s="4" t="s">
        <v>141</v>
      </c>
      <c r="C61" s="9" t="s">
        <v>130</v>
      </c>
      <c r="D61" s="13">
        <v>0</v>
      </c>
      <c r="F61" s="13">
        <v>1</v>
      </c>
      <c r="G61" s="22">
        <v>0</v>
      </c>
      <c r="H61" s="20">
        <v>1</v>
      </c>
      <c r="I61" s="4">
        <v>14</v>
      </c>
      <c r="J61" s="4">
        <v>21</v>
      </c>
      <c r="K61" s="4" t="s">
        <v>124</v>
      </c>
      <c r="L61" s="4" t="s">
        <v>13</v>
      </c>
      <c r="M61" s="4">
        <v>2017</v>
      </c>
      <c r="N61" s="4">
        <v>1</v>
      </c>
      <c r="O61" s="4">
        <v>0</v>
      </c>
    </row>
    <row r="62" spans="1:15">
      <c r="A62" s="4" t="s">
        <v>123</v>
      </c>
      <c r="B62" s="4" t="s">
        <v>142</v>
      </c>
      <c r="C62" s="9" t="s">
        <v>131</v>
      </c>
      <c r="D62" s="13">
        <v>0</v>
      </c>
      <c r="F62" s="13">
        <v>1</v>
      </c>
      <c r="G62" s="22">
        <v>0</v>
      </c>
      <c r="H62" s="13">
        <v>1</v>
      </c>
      <c r="I62" s="4">
        <v>15</v>
      </c>
      <c r="J62" s="4">
        <v>21</v>
      </c>
      <c r="K62" s="4" t="s">
        <v>124</v>
      </c>
      <c r="L62" s="4" t="s">
        <v>13</v>
      </c>
      <c r="M62" s="4">
        <v>2017</v>
      </c>
      <c r="N62" s="4">
        <v>1</v>
      </c>
      <c r="O62" s="4">
        <v>0</v>
      </c>
    </row>
    <row r="63" spans="1:15">
      <c r="A63" s="4" t="s">
        <v>123</v>
      </c>
      <c r="B63" s="4" t="s">
        <v>143</v>
      </c>
      <c r="C63" s="9" t="s">
        <v>132</v>
      </c>
      <c r="D63" s="13">
        <v>1</v>
      </c>
      <c r="E63" s="13" t="s">
        <v>397</v>
      </c>
      <c r="F63" s="13">
        <v>1</v>
      </c>
      <c r="G63" s="22">
        <v>0</v>
      </c>
      <c r="H63" s="13">
        <v>1</v>
      </c>
      <c r="I63" s="4">
        <v>17</v>
      </c>
      <c r="J63" s="4">
        <v>21</v>
      </c>
      <c r="K63" s="4" t="s">
        <v>124</v>
      </c>
      <c r="L63" s="4" t="s">
        <v>13</v>
      </c>
      <c r="M63" s="4">
        <v>2017</v>
      </c>
      <c r="N63" s="4">
        <v>1</v>
      </c>
      <c r="O63" s="4">
        <v>0</v>
      </c>
    </row>
    <row r="64" spans="1:15">
      <c r="A64" s="4" t="s">
        <v>123</v>
      </c>
      <c r="B64" s="4" t="s">
        <v>144</v>
      </c>
      <c r="C64" s="9" t="s">
        <v>133</v>
      </c>
      <c r="D64" s="13">
        <v>1</v>
      </c>
      <c r="E64" s="13" t="s">
        <v>399</v>
      </c>
      <c r="F64" s="13">
        <v>1</v>
      </c>
      <c r="G64" s="22">
        <v>0</v>
      </c>
      <c r="H64" s="20">
        <v>2</v>
      </c>
      <c r="I64" s="4">
        <v>19</v>
      </c>
      <c r="J64" s="4">
        <v>21</v>
      </c>
      <c r="K64" s="4" t="s">
        <v>124</v>
      </c>
      <c r="L64" s="4" t="s">
        <v>13</v>
      </c>
      <c r="M64" s="4">
        <v>2017</v>
      </c>
      <c r="N64" s="4">
        <v>1</v>
      </c>
      <c r="O64" s="4">
        <v>0</v>
      </c>
    </row>
    <row r="65" spans="1:15">
      <c r="A65" s="4" t="s">
        <v>123</v>
      </c>
      <c r="B65" s="4" t="s">
        <v>145</v>
      </c>
      <c r="C65" s="9" t="s">
        <v>134</v>
      </c>
      <c r="D65" s="13">
        <v>1</v>
      </c>
      <c r="E65" s="13" t="s">
        <v>399</v>
      </c>
      <c r="F65" s="13">
        <v>1</v>
      </c>
      <c r="G65" s="22">
        <v>0</v>
      </c>
      <c r="H65" s="13">
        <v>1</v>
      </c>
      <c r="I65" s="4">
        <v>20</v>
      </c>
      <c r="J65" s="4">
        <v>21</v>
      </c>
      <c r="K65" s="4" t="s">
        <v>124</v>
      </c>
      <c r="L65" s="4" t="s">
        <v>13</v>
      </c>
      <c r="M65" s="4">
        <v>2017</v>
      </c>
      <c r="N65" s="4">
        <v>1</v>
      </c>
      <c r="O65" s="4">
        <v>0</v>
      </c>
    </row>
    <row r="66" spans="1:15">
      <c r="A66" s="4" t="s">
        <v>123</v>
      </c>
      <c r="B66" s="4" t="s">
        <v>146</v>
      </c>
      <c r="C66" s="6" t="s">
        <v>135</v>
      </c>
      <c r="D66" s="13">
        <v>1</v>
      </c>
      <c r="E66" s="13" t="s">
        <v>399</v>
      </c>
      <c r="F66" s="13">
        <v>1</v>
      </c>
      <c r="G66" s="22">
        <v>0</v>
      </c>
      <c r="H66" s="20">
        <v>2</v>
      </c>
      <c r="I66" s="4">
        <v>21</v>
      </c>
      <c r="J66" s="4">
        <v>21</v>
      </c>
      <c r="K66" s="4" t="s">
        <v>124</v>
      </c>
      <c r="L66" s="4" t="s">
        <v>13</v>
      </c>
      <c r="M66" s="4">
        <v>2017</v>
      </c>
      <c r="N66" s="4">
        <v>1</v>
      </c>
      <c r="O66" s="4">
        <v>0</v>
      </c>
    </row>
    <row r="67" spans="1:15">
      <c r="A67" s="4" t="s">
        <v>147</v>
      </c>
      <c r="B67" s="4" t="s">
        <v>159</v>
      </c>
      <c r="C67" s="9" t="s">
        <v>148</v>
      </c>
      <c r="D67" s="13">
        <v>1</v>
      </c>
      <c r="E67" s="13" t="s">
        <v>399</v>
      </c>
      <c r="F67" s="13">
        <v>1</v>
      </c>
      <c r="G67" s="22">
        <v>1</v>
      </c>
      <c r="H67" s="13">
        <v>2</v>
      </c>
      <c r="I67" s="4">
        <v>3</v>
      </c>
      <c r="J67" s="4">
        <v>25</v>
      </c>
      <c r="K67" s="4" t="s">
        <v>124</v>
      </c>
      <c r="L67" s="4" t="s">
        <v>13</v>
      </c>
      <c r="M67" s="4">
        <v>2018</v>
      </c>
      <c r="N67" s="4">
        <v>1</v>
      </c>
      <c r="O67" s="4">
        <v>0</v>
      </c>
    </row>
    <row r="68" spans="1:15">
      <c r="A68" s="4" t="s">
        <v>147</v>
      </c>
      <c r="B68" s="4" t="s">
        <v>160</v>
      </c>
      <c r="C68" s="9" t="s">
        <v>149</v>
      </c>
      <c r="D68" s="13">
        <v>1</v>
      </c>
      <c r="E68" s="13" t="s">
        <v>397</v>
      </c>
      <c r="F68" s="13">
        <v>1</v>
      </c>
      <c r="G68" s="22">
        <v>0</v>
      </c>
      <c r="H68" s="13">
        <v>1</v>
      </c>
      <c r="I68" s="4">
        <v>5</v>
      </c>
      <c r="J68" s="4">
        <v>25</v>
      </c>
      <c r="K68" s="4" t="s">
        <v>124</v>
      </c>
      <c r="L68" s="4" t="s">
        <v>13</v>
      </c>
      <c r="M68" s="4">
        <v>2018</v>
      </c>
      <c r="N68" s="4">
        <v>1</v>
      </c>
      <c r="O68" s="4">
        <v>0</v>
      </c>
    </row>
    <row r="69" spans="1:15">
      <c r="A69" s="4" t="s">
        <v>147</v>
      </c>
      <c r="B69" s="4" t="s">
        <v>161</v>
      </c>
      <c r="C69" s="9" t="s">
        <v>150</v>
      </c>
      <c r="D69" s="13">
        <v>1</v>
      </c>
      <c r="E69" s="13" t="s">
        <v>397</v>
      </c>
      <c r="F69" s="13">
        <v>1</v>
      </c>
      <c r="G69" s="22">
        <v>0</v>
      </c>
      <c r="H69" s="13">
        <v>1</v>
      </c>
      <c r="I69" s="4">
        <v>6</v>
      </c>
      <c r="J69" s="4">
        <v>25</v>
      </c>
      <c r="K69" s="4" t="s">
        <v>124</v>
      </c>
      <c r="L69" s="4" t="s">
        <v>13</v>
      </c>
      <c r="M69" s="4">
        <v>2018</v>
      </c>
      <c r="N69" s="4">
        <v>1</v>
      </c>
      <c r="O69" s="4">
        <v>0</v>
      </c>
    </row>
    <row r="70" spans="1:15">
      <c r="A70" s="4" t="s">
        <v>147</v>
      </c>
      <c r="B70" s="4" t="s">
        <v>162</v>
      </c>
      <c r="C70" s="9" t="s">
        <v>151</v>
      </c>
      <c r="D70" s="13">
        <v>1</v>
      </c>
      <c r="E70" s="13" t="s">
        <v>397</v>
      </c>
      <c r="F70" s="13">
        <v>1</v>
      </c>
      <c r="G70" s="22">
        <v>0</v>
      </c>
      <c r="H70" s="13">
        <v>1</v>
      </c>
      <c r="I70" s="4">
        <v>7</v>
      </c>
      <c r="J70" s="4">
        <v>25</v>
      </c>
      <c r="K70" s="4" t="s">
        <v>124</v>
      </c>
      <c r="L70" s="4" t="s">
        <v>13</v>
      </c>
      <c r="M70" s="4">
        <v>2018</v>
      </c>
      <c r="N70" s="4">
        <v>1</v>
      </c>
      <c r="O70" s="4">
        <v>0</v>
      </c>
    </row>
    <row r="71" spans="1:15">
      <c r="A71" s="4" t="s">
        <v>147</v>
      </c>
      <c r="B71" s="4" t="s">
        <v>163</v>
      </c>
      <c r="C71" s="9" t="s">
        <v>152</v>
      </c>
      <c r="D71" s="13">
        <v>1</v>
      </c>
      <c r="E71" s="13" t="s">
        <v>397</v>
      </c>
      <c r="F71" s="13">
        <v>1</v>
      </c>
      <c r="G71" s="22">
        <v>0</v>
      </c>
      <c r="H71" s="13">
        <v>1</v>
      </c>
      <c r="I71" s="4">
        <v>8</v>
      </c>
      <c r="J71" s="4">
        <v>25</v>
      </c>
      <c r="K71" s="4" t="s">
        <v>124</v>
      </c>
      <c r="L71" s="4" t="s">
        <v>13</v>
      </c>
      <c r="M71" s="4">
        <v>2018</v>
      </c>
      <c r="N71" s="4">
        <v>1</v>
      </c>
      <c r="O71" s="4">
        <v>0</v>
      </c>
    </row>
    <row r="72" spans="1:15">
      <c r="A72" s="4" t="s">
        <v>147</v>
      </c>
      <c r="B72" s="4" t="s">
        <v>164</v>
      </c>
      <c r="C72" s="9" t="s">
        <v>153</v>
      </c>
      <c r="D72" s="13">
        <v>0</v>
      </c>
      <c r="F72" s="13">
        <v>1</v>
      </c>
      <c r="G72" s="22">
        <v>0</v>
      </c>
      <c r="H72" s="13">
        <v>1</v>
      </c>
      <c r="I72" s="4">
        <v>14</v>
      </c>
      <c r="J72" s="4">
        <v>25</v>
      </c>
      <c r="K72" s="4" t="s">
        <v>124</v>
      </c>
      <c r="L72" s="4" t="s">
        <v>13</v>
      </c>
      <c r="M72" s="4">
        <v>2018</v>
      </c>
      <c r="N72" s="4">
        <v>1</v>
      </c>
      <c r="O72" s="4">
        <v>0</v>
      </c>
    </row>
    <row r="73" spans="1:15">
      <c r="A73" s="4" t="s">
        <v>147</v>
      </c>
      <c r="B73" s="4" t="s">
        <v>165</v>
      </c>
      <c r="C73" s="9" t="s">
        <v>154</v>
      </c>
      <c r="D73" s="13">
        <v>0</v>
      </c>
      <c r="F73" s="13">
        <v>1</v>
      </c>
      <c r="G73" s="22">
        <v>0</v>
      </c>
      <c r="H73" s="20">
        <v>1</v>
      </c>
      <c r="I73" s="4">
        <v>17</v>
      </c>
      <c r="J73" s="4">
        <v>25</v>
      </c>
      <c r="K73" s="4" t="s">
        <v>124</v>
      </c>
      <c r="L73" s="4" t="s">
        <v>13</v>
      </c>
      <c r="M73" s="4">
        <v>2018</v>
      </c>
      <c r="N73" s="4">
        <v>1</v>
      </c>
      <c r="O73" s="4">
        <v>0</v>
      </c>
    </row>
    <row r="74" spans="1:15">
      <c r="A74" s="4" t="s">
        <v>147</v>
      </c>
      <c r="B74" s="4" t="s">
        <v>166</v>
      </c>
      <c r="C74" s="9" t="s">
        <v>155</v>
      </c>
      <c r="D74" s="13">
        <v>0</v>
      </c>
      <c r="F74" s="13">
        <v>1</v>
      </c>
      <c r="G74" s="22">
        <v>0</v>
      </c>
      <c r="H74" s="13">
        <v>1</v>
      </c>
      <c r="I74" s="4">
        <v>19</v>
      </c>
      <c r="J74" s="4">
        <v>25</v>
      </c>
      <c r="K74" s="4" t="s">
        <v>124</v>
      </c>
      <c r="L74" s="4" t="s">
        <v>13</v>
      </c>
      <c r="M74" s="4">
        <v>2018</v>
      </c>
      <c r="N74" s="4">
        <v>1</v>
      </c>
      <c r="O74" s="4">
        <v>0</v>
      </c>
    </row>
    <row r="75" spans="1:15">
      <c r="A75" s="4" t="s">
        <v>147</v>
      </c>
      <c r="B75" s="4" t="s">
        <v>167</v>
      </c>
      <c r="C75" s="9" t="s">
        <v>156</v>
      </c>
      <c r="D75" s="13">
        <v>1</v>
      </c>
      <c r="E75" s="13" t="s">
        <v>397</v>
      </c>
      <c r="F75" s="13">
        <v>1</v>
      </c>
      <c r="G75" s="22">
        <v>0</v>
      </c>
      <c r="H75" s="13">
        <v>1</v>
      </c>
      <c r="I75" s="4">
        <v>21</v>
      </c>
      <c r="J75" s="4">
        <v>25</v>
      </c>
      <c r="K75" s="4" t="s">
        <v>124</v>
      </c>
      <c r="L75" s="4" t="s">
        <v>13</v>
      </c>
      <c r="M75" s="4">
        <v>2018</v>
      </c>
      <c r="N75" s="4">
        <v>1</v>
      </c>
      <c r="O75" s="4">
        <v>0</v>
      </c>
    </row>
    <row r="76" spans="1:15">
      <c r="A76" s="4" t="s">
        <v>147</v>
      </c>
      <c r="B76" s="4" t="s">
        <v>168</v>
      </c>
      <c r="C76" s="10" t="s">
        <v>391</v>
      </c>
      <c r="D76" s="13">
        <v>1</v>
      </c>
      <c r="E76" s="13" t="s">
        <v>399</v>
      </c>
      <c r="F76" s="13">
        <v>1</v>
      </c>
      <c r="G76" s="22">
        <v>0</v>
      </c>
      <c r="H76" s="13">
        <v>1</v>
      </c>
      <c r="I76" s="4">
        <v>22</v>
      </c>
      <c r="J76" s="4">
        <v>25</v>
      </c>
      <c r="K76" s="4" t="s">
        <v>124</v>
      </c>
      <c r="L76" s="4" t="s">
        <v>13</v>
      </c>
      <c r="M76" s="4">
        <v>2018</v>
      </c>
      <c r="N76" s="4">
        <v>1</v>
      </c>
      <c r="O76" s="4">
        <v>0</v>
      </c>
    </row>
    <row r="77" spans="1:15">
      <c r="A77" s="4" t="s">
        <v>147</v>
      </c>
      <c r="B77" s="4" t="s">
        <v>169</v>
      </c>
      <c r="C77" s="10" t="s">
        <v>157</v>
      </c>
      <c r="D77" s="13">
        <v>1</v>
      </c>
      <c r="E77" s="13" t="s">
        <v>399</v>
      </c>
      <c r="F77" s="13">
        <v>1</v>
      </c>
      <c r="G77" s="22">
        <v>0</v>
      </c>
      <c r="H77" s="13">
        <v>1</v>
      </c>
      <c r="I77" s="4">
        <v>24</v>
      </c>
      <c r="J77" s="4">
        <v>25</v>
      </c>
      <c r="K77" s="4" t="s">
        <v>124</v>
      </c>
      <c r="L77" s="4" t="s">
        <v>13</v>
      </c>
      <c r="M77" s="4">
        <v>2018</v>
      </c>
      <c r="N77" s="4">
        <v>1</v>
      </c>
      <c r="O77" s="4">
        <v>0</v>
      </c>
    </row>
    <row r="78" spans="1:15">
      <c r="A78" s="4" t="s">
        <v>147</v>
      </c>
      <c r="B78" s="4" t="s">
        <v>170</v>
      </c>
      <c r="C78" s="9" t="s">
        <v>158</v>
      </c>
      <c r="D78" s="13">
        <v>1</v>
      </c>
      <c r="E78" s="13" t="s">
        <v>399</v>
      </c>
      <c r="F78" s="13">
        <v>1</v>
      </c>
      <c r="G78" s="22">
        <v>0</v>
      </c>
      <c r="H78" s="20">
        <v>2</v>
      </c>
      <c r="I78" s="4">
        <v>25</v>
      </c>
      <c r="J78" s="4">
        <v>25</v>
      </c>
      <c r="K78" s="4" t="s">
        <v>124</v>
      </c>
      <c r="L78" s="4" t="s">
        <v>13</v>
      </c>
      <c r="M78" s="4">
        <v>2018</v>
      </c>
      <c r="N78" s="4">
        <v>1</v>
      </c>
      <c r="O78" s="4">
        <v>0</v>
      </c>
    </row>
    <row r="79" spans="1:15">
      <c r="A79" s="4" t="s">
        <v>171</v>
      </c>
      <c r="B79" s="4" t="s">
        <v>181</v>
      </c>
      <c r="C79" s="9" t="s">
        <v>172</v>
      </c>
      <c r="D79" s="13">
        <v>1</v>
      </c>
      <c r="E79" s="13" t="s">
        <v>399</v>
      </c>
      <c r="F79" s="13">
        <v>1</v>
      </c>
      <c r="G79" s="22">
        <v>1</v>
      </c>
      <c r="H79" s="13">
        <v>2</v>
      </c>
      <c r="I79" s="4">
        <v>4</v>
      </c>
      <c r="J79" s="4">
        <v>16</v>
      </c>
      <c r="K79" s="4" t="s">
        <v>124</v>
      </c>
      <c r="L79" s="4" t="s">
        <v>13</v>
      </c>
      <c r="M79" s="4">
        <v>2019</v>
      </c>
      <c r="N79" s="4">
        <v>1</v>
      </c>
      <c r="O79" s="4">
        <v>1</v>
      </c>
    </row>
    <row r="80" spans="1:15">
      <c r="A80" s="4" t="s">
        <v>171</v>
      </c>
      <c r="B80" s="4" t="s">
        <v>182</v>
      </c>
      <c r="C80" s="9" t="s">
        <v>400</v>
      </c>
      <c r="D80" s="13">
        <v>1</v>
      </c>
      <c r="E80" s="13" t="s">
        <v>397</v>
      </c>
      <c r="F80" s="13">
        <v>1</v>
      </c>
      <c r="G80" s="22">
        <v>0</v>
      </c>
      <c r="H80" s="13">
        <v>1</v>
      </c>
      <c r="I80" s="4">
        <v>7</v>
      </c>
      <c r="J80" s="4">
        <v>16</v>
      </c>
      <c r="K80" s="4" t="s">
        <v>124</v>
      </c>
      <c r="L80" s="4" t="s">
        <v>13</v>
      </c>
      <c r="M80" s="4">
        <v>2019</v>
      </c>
      <c r="N80" s="4">
        <v>1</v>
      </c>
      <c r="O80" s="4">
        <v>1</v>
      </c>
    </row>
    <row r="81" spans="1:15">
      <c r="A81" s="4" t="s">
        <v>171</v>
      </c>
      <c r="B81" s="4" t="s">
        <v>183</v>
      </c>
      <c r="C81" s="9" t="s">
        <v>173</v>
      </c>
      <c r="D81" s="13">
        <v>1</v>
      </c>
      <c r="E81" s="13" t="s">
        <v>397</v>
      </c>
      <c r="F81" s="13">
        <v>1</v>
      </c>
      <c r="G81" s="22">
        <v>0</v>
      </c>
      <c r="H81" s="13">
        <v>1</v>
      </c>
      <c r="I81" s="4">
        <v>9</v>
      </c>
      <c r="J81" s="4">
        <v>16</v>
      </c>
      <c r="K81" s="4" t="s">
        <v>124</v>
      </c>
      <c r="L81" s="4" t="s">
        <v>13</v>
      </c>
      <c r="M81" s="4">
        <v>2019</v>
      </c>
      <c r="N81" s="4">
        <v>1</v>
      </c>
      <c r="O81" s="4">
        <v>1</v>
      </c>
    </row>
    <row r="82" spans="1:15">
      <c r="A82" s="4" t="s">
        <v>171</v>
      </c>
      <c r="B82" s="4" t="s">
        <v>184</v>
      </c>
      <c r="C82" s="9" t="s">
        <v>174</v>
      </c>
      <c r="D82" s="13">
        <v>1</v>
      </c>
      <c r="E82" s="13" t="s">
        <v>397</v>
      </c>
      <c r="F82" s="13">
        <v>1</v>
      </c>
      <c r="G82" s="22">
        <v>0</v>
      </c>
      <c r="H82" s="13">
        <v>1</v>
      </c>
      <c r="I82" s="4">
        <v>10</v>
      </c>
      <c r="J82" s="4">
        <v>16</v>
      </c>
      <c r="K82" s="4" t="s">
        <v>124</v>
      </c>
      <c r="L82" s="4" t="s">
        <v>13</v>
      </c>
      <c r="M82" s="4">
        <v>2019</v>
      </c>
      <c r="N82" s="4">
        <v>1</v>
      </c>
      <c r="O82" s="4">
        <v>1</v>
      </c>
    </row>
    <row r="83" spans="1:15">
      <c r="A83" s="4" t="s">
        <v>171</v>
      </c>
      <c r="B83" s="4" t="s">
        <v>185</v>
      </c>
      <c r="C83" s="9" t="s">
        <v>175</v>
      </c>
      <c r="D83" s="13">
        <v>1</v>
      </c>
      <c r="E83" s="13" t="s">
        <v>399</v>
      </c>
      <c r="F83" s="13">
        <v>1</v>
      </c>
      <c r="G83" s="22">
        <v>1</v>
      </c>
      <c r="H83" s="13">
        <v>1</v>
      </c>
      <c r="I83" s="4">
        <v>11</v>
      </c>
      <c r="J83" s="4">
        <v>16</v>
      </c>
      <c r="K83" s="4" t="s">
        <v>124</v>
      </c>
      <c r="L83" s="4" t="s">
        <v>13</v>
      </c>
      <c r="M83" s="4">
        <v>2019</v>
      </c>
      <c r="N83" s="4">
        <v>1</v>
      </c>
      <c r="O83" s="4">
        <v>1</v>
      </c>
    </row>
    <row r="84" spans="1:15">
      <c r="A84" s="4" t="s">
        <v>171</v>
      </c>
      <c r="B84" s="4" t="s">
        <v>186</v>
      </c>
      <c r="C84" s="9" t="s">
        <v>176</v>
      </c>
      <c r="D84" s="13">
        <v>1</v>
      </c>
      <c r="E84" s="13" t="s">
        <v>397</v>
      </c>
      <c r="F84" s="13">
        <v>1</v>
      </c>
      <c r="G84" s="22">
        <v>0</v>
      </c>
      <c r="H84" s="13">
        <v>1</v>
      </c>
      <c r="I84" s="4">
        <v>12</v>
      </c>
      <c r="J84" s="4">
        <v>16</v>
      </c>
      <c r="K84" s="4" t="s">
        <v>124</v>
      </c>
      <c r="L84" s="4" t="s">
        <v>13</v>
      </c>
      <c r="M84" s="4">
        <v>2019</v>
      </c>
      <c r="N84" s="4">
        <v>1</v>
      </c>
      <c r="O84" s="4">
        <v>1</v>
      </c>
    </row>
    <row r="85" spans="1:15">
      <c r="A85" s="4" t="s">
        <v>171</v>
      </c>
      <c r="B85" s="4" t="s">
        <v>187</v>
      </c>
      <c r="C85" s="9" t="s">
        <v>177</v>
      </c>
      <c r="D85" s="13">
        <v>1</v>
      </c>
      <c r="E85" s="13" t="s">
        <v>399</v>
      </c>
      <c r="F85" s="13">
        <v>1</v>
      </c>
      <c r="G85" s="22">
        <v>0</v>
      </c>
      <c r="H85" s="20">
        <v>2</v>
      </c>
      <c r="I85" s="4">
        <v>13</v>
      </c>
      <c r="J85" s="4">
        <v>16</v>
      </c>
      <c r="K85" s="4" t="s">
        <v>124</v>
      </c>
      <c r="L85" s="4" t="s">
        <v>13</v>
      </c>
      <c r="M85" s="4">
        <v>2019</v>
      </c>
      <c r="N85" s="4">
        <v>1</v>
      </c>
      <c r="O85" s="4">
        <v>1</v>
      </c>
    </row>
    <row r="86" spans="1:15">
      <c r="A86" s="4" t="s">
        <v>171</v>
      </c>
      <c r="B86" s="4" t="s">
        <v>188</v>
      </c>
      <c r="C86" s="9" t="s">
        <v>178</v>
      </c>
      <c r="D86" s="13">
        <v>1</v>
      </c>
      <c r="E86" s="13" t="s">
        <v>397</v>
      </c>
      <c r="F86" s="13">
        <v>1</v>
      </c>
      <c r="G86" s="22">
        <v>1</v>
      </c>
      <c r="H86" s="13">
        <v>1</v>
      </c>
      <c r="I86" s="4">
        <v>14</v>
      </c>
      <c r="J86" s="4">
        <v>16</v>
      </c>
      <c r="K86" s="4" t="s">
        <v>124</v>
      </c>
      <c r="L86" s="4" t="s">
        <v>13</v>
      </c>
      <c r="M86" s="4">
        <v>2019</v>
      </c>
      <c r="N86" s="4">
        <v>1</v>
      </c>
      <c r="O86" s="4">
        <v>1</v>
      </c>
    </row>
    <row r="87" spans="1:15">
      <c r="A87" s="4" t="s">
        <v>171</v>
      </c>
      <c r="B87" s="4" t="s">
        <v>189</v>
      </c>
      <c r="C87" s="9" t="s">
        <v>179</v>
      </c>
      <c r="D87" s="13">
        <v>0</v>
      </c>
      <c r="F87" s="13">
        <v>1</v>
      </c>
      <c r="G87" s="22">
        <v>1</v>
      </c>
      <c r="H87" s="13">
        <v>1</v>
      </c>
      <c r="I87" s="4">
        <v>15</v>
      </c>
      <c r="J87" s="4">
        <v>16</v>
      </c>
      <c r="K87" s="4" t="s">
        <v>124</v>
      </c>
      <c r="L87" s="4" t="s">
        <v>13</v>
      </c>
      <c r="M87" s="4">
        <v>2019</v>
      </c>
      <c r="N87" s="4">
        <v>1</v>
      </c>
      <c r="O87" s="4">
        <v>1</v>
      </c>
    </row>
    <row r="88" spans="1:15">
      <c r="A88" s="4" t="s">
        <v>171</v>
      </c>
      <c r="B88" s="4" t="s">
        <v>190</v>
      </c>
      <c r="C88" s="9" t="s">
        <v>180</v>
      </c>
      <c r="D88" s="13">
        <v>0</v>
      </c>
      <c r="F88" s="13">
        <v>1</v>
      </c>
      <c r="G88" s="22">
        <v>0</v>
      </c>
      <c r="H88" s="13">
        <v>1</v>
      </c>
      <c r="I88" s="4">
        <v>16</v>
      </c>
      <c r="J88" s="4">
        <v>16</v>
      </c>
      <c r="K88" s="4" t="s">
        <v>124</v>
      </c>
      <c r="L88" s="4" t="s">
        <v>13</v>
      </c>
      <c r="M88" s="4">
        <v>2019</v>
      </c>
      <c r="N88" s="4">
        <v>1</v>
      </c>
      <c r="O88" s="4">
        <v>1</v>
      </c>
    </row>
    <row r="89" spans="1:15">
      <c r="A89" s="4" t="s">
        <v>191</v>
      </c>
      <c r="B89" s="4" t="s">
        <v>204</v>
      </c>
      <c r="C89" s="11" t="s">
        <v>196</v>
      </c>
      <c r="D89" s="13">
        <v>1</v>
      </c>
      <c r="E89" s="13" t="s">
        <v>399</v>
      </c>
      <c r="F89" s="13">
        <v>1</v>
      </c>
      <c r="G89" s="22">
        <v>1</v>
      </c>
      <c r="H89" s="13">
        <v>1</v>
      </c>
      <c r="I89" s="4">
        <v>2</v>
      </c>
      <c r="J89" s="4">
        <v>17</v>
      </c>
      <c r="K89" s="4" t="s">
        <v>124</v>
      </c>
      <c r="L89" s="4" t="s">
        <v>13</v>
      </c>
      <c r="M89" s="4">
        <v>2020</v>
      </c>
      <c r="N89" s="4">
        <v>1</v>
      </c>
      <c r="O89" s="4">
        <v>1</v>
      </c>
    </row>
    <row r="90" spans="1:15">
      <c r="A90" s="4" t="s">
        <v>191</v>
      </c>
      <c r="B90" s="4" t="s">
        <v>205</v>
      </c>
      <c r="C90" s="11" t="s">
        <v>401</v>
      </c>
      <c r="D90" s="13">
        <v>1</v>
      </c>
      <c r="E90" s="13" t="s">
        <v>397</v>
      </c>
      <c r="F90" s="13">
        <v>1</v>
      </c>
      <c r="G90" s="22">
        <v>0</v>
      </c>
      <c r="H90" s="13">
        <v>1</v>
      </c>
      <c r="I90" s="4">
        <v>5</v>
      </c>
      <c r="J90" s="4">
        <v>17</v>
      </c>
      <c r="K90" s="4" t="s">
        <v>124</v>
      </c>
      <c r="L90" s="4" t="s">
        <v>13</v>
      </c>
      <c r="M90" s="4">
        <v>2020</v>
      </c>
      <c r="N90" s="4">
        <v>1</v>
      </c>
      <c r="O90" s="4">
        <v>1</v>
      </c>
    </row>
    <row r="91" spans="1:15">
      <c r="A91" s="4" t="s">
        <v>191</v>
      </c>
      <c r="B91" s="4" t="s">
        <v>206</v>
      </c>
      <c r="C91" s="11" t="s">
        <v>197</v>
      </c>
      <c r="D91" s="13">
        <v>1</v>
      </c>
      <c r="E91" s="13" t="s">
        <v>397</v>
      </c>
      <c r="F91" s="13">
        <v>1</v>
      </c>
      <c r="G91" s="22">
        <v>0</v>
      </c>
      <c r="H91" s="13">
        <v>1</v>
      </c>
      <c r="I91" s="4">
        <v>6</v>
      </c>
      <c r="J91" s="4">
        <v>17</v>
      </c>
      <c r="K91" s="4" t="s">
        <v>124</v>
      </c>
      <c r="L91" s="4" t="s">
        <v>13</v>
      </c>
      <c r="M91" s="4">
        <v>2020</v>
      </c>
      <c r="N91" s="4">
        <v>1</v>
      </c>
      <c r="O91" s="4">
        <v>1</v>
      </c>
    </row>
    <row r="92" spans="1:15">
      <c r="A92" s="4" t="s">
        <v>191</v>
      </c>
      <c r="B92" s="4" t="s">
        <v>207</v>
      </c>
      <c r="C92" s="11" t="s">
        <v>198</v>
      </c>
      <c r="D92" s="13">
        <v>1</v>
      </c>
      <c r="E92" s="13" t="s">
        <v>397</v>
      </c>
      <c r="F92" s="13">
        <v>1</v>
      </c>
      <c r="G92" s="22">
        <v>0</v>
      </c>
      <c r="H92" s="13">
        <v>1</v>
      </c>
      <c r="I92" s="4">
        <v>9</v>
      </c>
      <c r="J92" s="4">
        <v>17</v>
      </c>
      <c r="K92" s="4" t="s">
        <v>124</v>
      </c>
      <c r="L92" s="4" t="s">
        <v>13</v>
      </c>
      <c r="M92" s="4">
        <v>2020</v>
      </c>
      <c r="N92" s="4">
        <v>1</v>
      </c>
      <c r="O92" s="4">
        <v>1</v>
      </c>
    </row>
    <row r="93" spans="1:15">
      <c r="A93" s="4" t="s">
        <v>191</v>
      </c>
      <c r="B93" s="4" t="s">
        <v>208</v>
      </c>
      <c r="C93" s="11" t="s">
        <v>156</v>
      </c>
      <c r="D93" s="13">
        <v>1</v>
      </c>
      <c r="E93" s="13" t="s">
        <v>397</v>
      </c>
      <c r="F93" s="13">
        <v>1</v>
      </c>
      <c r="G93" s="22">
        <v>0</v>
      </c>
      <c r="H93" s="13">
        <v>1</v>
      </c>
      <c r="I93" s="4">
        <v>11</v>
      </c>
      <c r="J93" s="4">
        <v>17</v>
      </c>
      <c r="K93" s="4" t="s">
        <v>124</v>
      </c>
      <c r="L93" s="4" t="s">
        <v>13</v>
      </c>
      <c r="M93" s="4">
        <v>2020</v>
      </c>
      <c r="N93" s="4">
        <v>1</v>
      </c>
      <c r="O93" s="4">
        <v>1</v>
      </c>
    </row>
    <row r="94" spans="1:15">
      <c r="A94" s="4" t="s">
        <v>191</v>
      </c>
      <c r="B94" s="4" t="s">
        <v>209</v>
      </c>
      <c r="C94" s="11" t="s">
        <v>199</v>
      </c>
      <c r="D94" s="13">
        <v>1</v>
      </c>
      <c r="E94" s="13" t="s">
        <v>399</v>
      </c>
      <c r="F94" s="13">
        <v>1</v>
      </c>
      <c r="G94" s="22">
        <v>1</v>
      </c>
      <c r="H94" s="13">
        <v>1</v>
      </c>
      <c r="I94" s="4">
        <v>12</v>
      </c>
      <c r="J94" s="4">
        <v>17</v>
      </c>
      <c r="K94" s="4" t="s">
        <v>124</v>
      </c>
      <c r="L94" s="4" t="s">
        <v>13</v>
      </c>
      <c r="M94" s="4">
        <v>2020</v>
      </c>
      <c r="N94" s="4">
        <v>1</v>
      </c>
      <c r="O94" s="4">
        <v>1</v>
      </c>
    </row>
    <row r="95" spans="1:15">
      <c r="A95" s="4" t="s">
        <v>191</v>
      </c>
      <c r="B95" s="4" t="s">
        <v>210</v>
      </c>
      <c r="C95" s="11" t="s">
        <v>200</v>
      </c>
      <c r="D95" s="13">
        <v>1</v>
      </c>
      <c r="E95" s="13" t="s">
        <v>399</v>
      </c>
      <c r="F95" s="13">
        <v>1</v>
      </c>
      <c r="G95" s="22">
        <v>0</v>
      </c>
      <c r="H95" s="13">
        <v>1</v>
      </c>
      <c r="I95" s="4">
        <v>13</v>
      </c>
      <c r="J95" s="4">
        <v>17</v>
      </c>
      <c r="K95" s="4" t="s">
        <v>124</v>
      </c>
      <c r="L95" s="4" t="s">
        <v>13</v>
      </c>
      <c r="M95" s="4">
        <v>2020</v>
      </c>
      <c r="N95" s="4">
        <v>1</v>
      </c>
      <c r="O95" s="4">
        <v>1</v>
      </c>
    </row>
    <row r="96" spans="1:15">
      <c r="A96" s="4" t="s">
        <v>191</v>
      </c>
      <c r="B96" s="4" t="s">
        <v>211</v>
      </c>
      <c r="C96" s="11" t="s">
        <v>158</v>
      </c>
      <c r="D96" s="13">
        <v>1</v>
      </c>
      <c r="E96" s="13" t="s">
        <v>399</v>
      </c>
      <c r="F96" s="13">
        <v>1</v>
      </c>
      <c r="G96" s="22">
        <v>0</v>
      </c>
      <c r="H96" s="20">
        <v>2</v>
      </c>
      <c r="I96" s="4">
        <v>14</v>
      </c>
      <c r="J96" s="4">
        <v>17</v>
      </c>
      <c r="K96" s="4" t="s">
        <v>124</v>
      </c>
      <c r="L96" s="4" t="s">
        <v>13</v>
      </c>
      <c r="M96" s="4">
        <v>2020</v>
      </c>
      <c r="N96" s="4">
        <v>1</v>
      </c>
      <c r="O96" s="4">
        <v>1</v>
      </c>
    </row>
    <row r="97" spans="1:15">
      <c r="A97" s="4" t="s">
        <v>191</v>
      </c>
      <c r="B97" s="4" t="s">
        <v>212</v>
      </c>
      <c r="C97" s="11" t="s">
        <v>201</v>
      </c>
      <c r="D97" s="13">
        <v>1</v>
      </c>
      <c r="E97" s="13" t="s">
        <v>397</v>
      </c>
      <c r="F97" s="13">
        <v>1</v>
      </c>
      <c r="G97" s="22">
        <v>1</v>
      </c>
      <c r="H97" s="13">
        <v>1</v>
      </c>
      <c r="I97" s="4">
        <v>15</v>
      </c>
      <c r="J97" s="4">
        <v>17</v>
      </c>
      <c r="K97" s="4" t="s">
        <v>124</v>
      </c>
      <c r="L97" s="4" t="s">
        <v>13</v>
      </c>
      <c r="M97" s="4">
        <v>2020</v>
      </c>
      <c r="N97" s="4">
        <v>1</v>
      </c>
      <c r="O97" s="4">
        <v>1</v>
      </c>
    </row>
    <row r="98" spans="1:15">
      <c r="A98" s="4" t="s">
        <v>191</v>
      </c>
      <c r="B98" s="4" t="s">
        <v>213</v>
      </c>
      <c r="C98" s="11" t="s">
        <v>202</v>
      </c>
      <c r="D98" s="13">
        <v>0</v>
      </c>
      <c r="F98" s="13">
        <v>1</v>
      </c>
      <c r="G98" s="22">
        <v>0</v>
      </c>
      <c r="H98" s="13">
        <v>1</v>
      </c>
      <c r="I98" s="4">
        <v>16</v>
      </c>
      <c r="J98" s="4">
        <v>17</v>
      </c>
      <c r="K98" s="4" t="s">
        <v>124</v>
      </c>
      <c r="L98" s="4" t="s">
        <v>13</v>
      </c>
      <c r="M98" s="4">
        <v>2020</v>
      </c>
      <c r="N98" s="4">
        <v>1</v>
      </c>
      <c r="O98" s="4">
        <v>1</v>
      </c>
    </row>
    <row r="99" spans="1:15">
      <c r="A99" s="4" t="s">
        <v>191</v>
      </c>
      <c r="B99" s="4" t="s">
        <v>214</v>
      </c>
      <c r="C99" s="11" t="s">
        <v>203</v>
      </c>
      <c r="D99" s="13">
        <v>0</v>
      </c>
      <c r="F99" s="13">
        <v>1</v>
      </c>
      <c r="G99" s="22">
        <v>0</v>
      </c>
      <c r="H99" s="13">
        <v>1</v>
      </c>
      <c r="I99" s="4">
        <v>17</v>
      </c>
      <c r="J99" s="4">
        <v>17</v>
      </c>
      <c r="K99" s="4" t="s">
        <v>124</v>
      </c>
      <c r="L99" s="4" t="s">
        <v>13</v>
      </c>
      <c r="M99" s="4">
        <v>2020</v>
      </c>
      <c r="N99" s="4">
        <v>1</v>
      </c>
      <c r="O99" s="4">
        <v>1</v>
      </c>
    </row>
    <row r="100" spans="1:15">
      <c r="A100" s="4" t="s">
        <v>217</v>
      </c>
      <c r="B100" s="4" t="s">
        <v>229</v>
      </c>
      <c r="C100" s="11" t="s">
        <v>218</v>
      </c>
      <c r="D100" s="13">
        <v>1</v>
      </c>
      <c r="E100" s="13" t="s">
        <v>397</v>
      </c>
      <c r="F100" s="13">
        <v>1</v>
      </c>
      <c r="G100" s="22">
        <v>0</v>
      </c>
      <c r="H100" s="13">
        <v>1</v>
      </c>
      <c r="I100" s="4">
        <v>6</v>
      </c>
      <c r="J100" s="4">
        <v>22</v>
      </c>
      <c r="K100" s="4" t="s">
        <v>124</v>
      </c>
      <c r="L100" s="4" t="s">
        <v>13</v>
      </c>
      <c r="M100" s="4">
        <v>2021</v>
      </c>
      <c r="N100" s="4">
        <v>1</v>
      </c>
      <c r="O100" s="4">
        <v>1</v>
      </c>
    </row>
    <row r="101" spans="1:15">
      <c r="A101" s="4" t="s">
        <v>217</v>
      </c>
      <c r="B101" s="4" t="s">
        <v>230</v>
      </c>
      <c r="C101" s="11" t="s">
        <v>219</v>
      </c>
      <c r="D101" s="13">
        <v>1</v>
      </c>
      <c r="E101" s="13" t="s">
        <v>397</v>
      </c>
      <c r="F101" s="13">
        <v>1</v>
      </c>
      <c r="G101" s="22">
        <v>0</v>
      </c>
      <c r="H101" s="13">
        <v>1</v>
      </c>
      <c r="I101" s="4">
        <v>8</v>
      </c>
      <c r="J101" s="4">
        <v>22</v>
      </c>
      <c r="K101" s="4" t="s">
        <v>124</v>
      </c>
      <c r="L101" s="4" t="s">
        <v>13</v>
      </c>
      <c r="M101" s="4">
        <v>2021</v>
      </c>
      <c r="N101" s="4">
        <v>1</v>
      </c>
      <c r="O101" s="4">
        <v>1</v>
      </c>
    </row>
    <row r="102" spans="1:15">
      <c r="A102" s="4" t="s">
        <v>217</v>
      </c>
      <c r="B102" s="4" t="s">
        <v>231</v>
      </c>
      <c r="C102" s="11" t="s">
        <v>220</v>
      </c>
      <c r="D102" s="13">
        <v>1</v>
      </c>
      <c r="E102" s="13" t="s">
        <v>397</v>
      </c>
      <c r="F102" s="13">
        <v>1</v>
      </c>
      <c r="G102" s="22">
        <v>0</v>
      </c>
      <c r="H102" s="13">
        <v>1</v>
      </c>
      <c r="I102" s="4">
        <v>9</v>
      </c>
      <c r="J102" s="4">
        <v>22</v>
      </c>
      <c r="K102" s="4" t="s">
        <v>124</v>
      </c>
      <c r="L102" s="4" t="s">
        <v>13</v>
      </c>
      <c r="M102" s="4">
        <v>2021</v>
      </c>
      <c r="N102" s="4">
        <v>1</v>
      </c>
      <c r="O102" s="4">
        <v>1</v>
      </c>
    </row>
    <row r="103" spans="1:15">
      <c r="A103" s="4" t="s">
        <v>217</v>
      </c>
      <c r="B103" s="4" t="s">
        <v>232</v>
      </c>
      <c r="C103" s="11" t="s">
        <v>221</v>
      </c>
      <c r="D103" s="13">
        <v>1</v>
      </c>
      <c r="E103" s="13" t="s">
        <v>397</v>
      </c>
      <c r="F103" s="13">
        <v>1</v>
      </c>
      <c r="G103" s="22">
        <v>0</v>
      </c>
      <c r="H103" s="13">
        <v>1</v>
      </c>
      <c r="I103" s="4">
        <v>12</v>
      </c>
      <c r="J103" s="4">
        <v>22</v>
      </c>
      <c r="K103" s="4" t="s">
        <v>124</v>
      </c>
      <c r="L103" s="4" t="s">
        <v>13</v>
      </c>
      <c r="M103" s="4">
        <v>2021</v>
      </c>
      <c r="N103" s="4">
        <v>1</v>
      </c>
      <c r="O103" s="4">
        <v>1</v>
      </c>
    </row>
    <row r="104" spans="1:15">
      <c r="A104" s="4" t="s">
        <v>217</v>
      </c>
      <c r="B104" s="4" t="s">
        <v>233</v>
      </c>
      <c r="C104" s="11" t="s">
        <v>222</v>
      </c>
      <c r="D104" s="13">
        <v>1</v>
      </c>
      <c r="E104" s="13" t="s">
        <v>395</v>
      </c>
      <c r="F104" s="13">
        <v>1</v>
      </c>
      <c r="G104" s="22">
        <v>0</v>
      </c>
      <c r="H104" s="20">
        <v>2</v>
      </c>
      <c r="I104" s="4">
        <v>13</v>
      </c>
      <c r="J104" s="4">
        <v>22</v>
      </c>
      <c r="K104" s="4" t="s">
        <v>124</v>
      </c>
      <c r="L104" s="4" t="s">
        <v>13</v>
      </c>
      <c r="M104" s="4">
        <v>2021</v>
      </c>
      <c r="N104" s="4">
        <v>1</v>
      </c>
      <c r="O104" s="4">
        <v>1</v>
      </c>
    </row>
    <row r="105" spans="1:15">
      <c r="A105" s="4" t="s">
        <v>217</v>
      </c>
      <c r="B105" s="4" t="s">
        <v>234</v>
      </c>
      <c r="C105" s="9" t="s">
        <v>223</v>
      </c>
      <c r="D105" s="13">
        <v>1</v>
      </c>
      <c r="E105" s="13" t="s">
        <v>397</v>
      </c>
      <c r="F105" s="13">
        <v>1</v>
      </c>
      <c r="G105" s="22">
        <v>0</v>
      </c>
      <c r="H105" s="13">
        <v>1</v>
      </c>
      <c r="I105" s="4">
        <v>15</v>
      </c>
      <c r="J105" s="4">
        <v>22</v>
      </c>
      <c r="K105" s="4" t="s">
        <v>124</v>
      </c>
      <c r="L105" s="4" t="s">
        <v>13</v>
      </c>
      <c r="M105" s="4">
        <v>2021</v>
      </c>
      <c r="N105" s="4">
        <v>1</v>
      </c>
      <c r="O105" s="4">
        <v>1</v>
      </c>
    </row>
    <row r="106" spans="1:15">
      <c r="A106" s="4" t="s">
        <v>217</v>
      </c>
      <c r="B106" s="4" t="s">
        <v>235</v>
      </c>
      <c r="C106" s="9" t="s">
        <v>224</v>
      </c>
      <c r="D106" s="13">
        <v>1</v>
      </c>
      <c r="E106" s="13" t="s">
        <v>399</v>
      </c>
      <c r="F106" s="13">
        <v>1</v>
      </c>
      <c r="G106" s="22">
        <v>0</v>
      </c>
      <c r="H106" s="20">
        <v>2</v>
      </c>
      <c r="I106" s="4">
        <v>16</v>
      </c>
      <c r="J106" s="4">
        <v>22</v>
      </c>
      <c r="K106" s="4" t="s">
        <v>124</v>
      </c>
      <c r="L106" s="4" t="s">
        <v>13</v>
      </c>
      <c r="M106" s="4">
        <v>2021</v>
      </c>
      <c r="N106" s="4">
        <v>1</v>
      </c>
      <c r="O106" s="4">
        <v>1</v>
      </c>
    </row>
    <row r="107" spans="1:15">
      <c r="A107" s="4" t="s">
        <v>217</v>
      </c>
      <c r="B107" s="4" t="s">
        <v>236</v>
      </c>
      <c r="C107" s="9" t="s">
        <v>225</v>
      </c>
      <c r="D107" s="13">
        <v>1</v>
      </c>
      <c r="E107" s="13" t="s">
        <v>399</v>
      </c>
      <c r="F107" s="13">
        <v>1</v>
      </c>
      <c r="G107" s="22">
        <v>0</v>
      </c>
      <c r="H107" s="13">
        <v>1</v>
      </c>
      <c r="I107" s="4">
        <v>18</v>
      </c>
      <c r="J107" s="4">
        <v>22</v>
      </c>
      <c r="K107" s="4" t="s">
        <v>124</v>
      </c>
      <c r="L107" s="4" t="s">
        <v>13</v>
      </c>
      <c r="M107" s="4">
        <v>2021</v>
      </c>
      <c r="N107" s="4">
        <v>1</v>
      </c>
      <c r="O107" s="4">
        <v>1</v>
      </c>
    </row>
    <row r="108" spans="1:15">
      <c r="A108" s="4" t="s">
        <v>217</v>
      </c>
      <c r="B108" s="4" t="s">
        <v>237</v>
      </c>
      <c r="C108" s="9" t="s">
        <v>226</v>
      </c>
      <c r="D108" s="13">
        <v>1</v>
      </c>
      <c r="E108" s="13" t="s">
        <v>399</v>
      </c>
      <c r="F108" s="13">
        <v>1</v>
      </c>
      <c r="G108" s="22">
        <v>0</v>
      </c>
      <c r="H108" s="20">
        <v>2</v>
      </c>
      <c r="I108" s="4">
        <v>19</v>
      </c>
      <c r="J108" s="4">
        <v>22</v>
      </c>
      <c r="K108" s="4" t="s">
        <v>124</v>
      </c>
      <c r="L108" s="4" t="s">
        <v>13</v>
      </c>
      <c r="M108" s="4">
        <v>2021</v>
      </c>
      <c r="N108" s="4">
        <v>1</v>
      </c>
      <c r="O108" s="4">
        <v>1</v>
      </c>
    </row>
    <row r="109" spans="1:15">
      <c r="A109" s="4" t="s">
        <v>217</v>
      </c>
      <c r="B109" s="4" t="s">
        <v>238</v>
      </c>
      <c r="C109" s="9" t="s">
        <v>227</v>
      </c>
      <c r="D109" s="13">
        <v>1</v>
      </c>
      <c r="E109" s="13" t="s">
        <v>397</v>
      </c>
      <c r="F109" s="13">
        <v>1</v>
      </c>
      <c r="G109" s="22">
        <v>1</v>
      </c>
      <c r="H109" s="13">
        <v>1</v>
      </c>
      <c r="I109" s="4">
        <v>20</v>
      </c>
      <c r="J109" s="4">
        <v>22</v>
      </c>
      <c r="K109" s="4" t="s">
        <v>124</v>
      </c>
      <c r="L109" s="4" t="s">
        <v>13</v>
      </c>
      <c r="M109" s="4">
        <v>2021</v>
      </c>
      <c r="N109" s="4">
        <v>1</v>
      </c>
      <c r="O109" s="4">
        <v>1</v>
      </c>
    </row>
    <row r="110" spans="1:15">
      <c r="A110" s="4" t="s">
        <v>217</v>
      </c>
      <c r="B110" s="4" t="s">
        <v>239</v>
      </c>
      <c r="C110" s="9" t="s">
        <v>402</v>
      </c>
      <c r="D110" s="13">
        <v>0</v>
      </c>
      <c r="F110" s="13">
        <v>1</v>
      </c>
      <c r="G110" s="22">
        <v>0</v>
      </c>
      <c r="H110" s="13">
        <v>1</v>
      </c>
      <c r="I110" s="4">
        <v>21</v>
      </c>
      <c r="J110" s="4">
        <v>22</v>
      </c>
      <c r="K110" s="4" t="s">
        <v>124</v>
      </c>
      <c r="L110" s="4" t="s">
        <v>13</v>
      </c>
      <c r="M110" s="4">
        <v>2021</v>
      </c>
      <c r="N110" s="4">
        <v>1</v>
      </c>
      <c r="O110" s="4">
        <v>1</v>
      </c>
    </row>
    <row r="111" spans="1:15">
      <c r="A111" s="4" t="s">
        <v>217</v>
      </c>
      <c r="B111" s="4" t="s">
        <v>240</v>
      </c>
      <c r="C111" s="9" t="s">
        <v>228</v>
      </c>
      <c r="D111" s="13">
        <v>0</v>
      </c>
      <c r="F111" s="13">
        <v>1</v>
      </c>
      <c r="G111" s="22">
        <v>0</v>
      </c>
      <c r="H111" s="13">
        <v>1</v>
      </c>
      <c r="I111" s="4">
        <v>22</v>
      </c>
      <c r="J111" s="4">
        <v>22</v>
      </c>
      <c r="K111" s="4" t="s">
        <v>124</v>
      </c>
      <c r="L111" s="4" t="s">
        <v>13</v>
      </c>
      <c r="M111" s="4">
        <v>2021</v>
      </c>
      <c r="N111" s="4">
        <v>1</v>
      </c>
      <c r="O111" s="4">
        <v>1</v>
      </c>
    </row>
    <row r="112" spans="1:15">
      <c r="A112" s="4" t="s">
        <v>241</v>
      </c>
      <c r="B112" s="4" t="s">
        <v>253</v>
      </c>
      <c r="C112" s="9" t="s">
        <v>403</v>
      </c>
      <c r="D112" s="13">
        <v>1</v>
      </c>
      <c r="E112" s="13" t="s">
        <v>397</v>
      </c>
      <c r="F112" s="13">
        <v>1</v>
      </c>
      <c r="G112" s="22">
        <v>0</v>
      </c>
      <c r="H112" s="13">
        <v>1</v>
      </c>
      <c r="I112" s="4">
        <v>8</v>
      </c>
      <c r="J112" s="4">
        <v>29</v>
      </c>
      <c r="K112" s="4" t="s">
        <v>124</v>
      </c>
      <c r="L112" s="4" t="s">
        <v>13</v>
      </c>
      <c r="M112" s="4">
        <v>2022</v>
      </c>
      <c r="N112" s="4">
        <v>1</v>
      </c>
      <c r="O112" s="4">
        <v>1</v>
      </c>
    </row>
    <row r="113" spans="1:16">
      <c r="A113" s="4" t="s">
        <v>241</v>
      </c>
      <c r="B113" s="4" t="s">
        <v>254</v>
      </c>
      <c r="C113" s="9" t="s">
        <v>219</v>
      </c>
      <c r="D113" s="13">
        <v>1</v>
      </c>
      <c r="E113" s="13" t="s">
        <v>397</v>
      </c>
      <c r="F113" s="13">
        <v>1</v>
      </c>
      <c r="G113" s="22">
        <v>0</v>
      </c>
      <c r="H113" s="13">
        <v>1</v>
      </c>
      <c r="I113" s="4">
        <v>10</v>
      </c>
      <c r="J113" s="4">
        <v>29</v>
      </c>
      <c r="K113" s="4" t="s">
        <v>124</v>
      </c>
      <c r="L113" s="4" t="s">
        <v>13</v>
      </c>
      <c r="M113" s="4">
        <v>2022</v>
      </c>
      <c r="N113" s="4">
        <v>1</v>
      </c>
      <c r="O113" s="4">
        <v>1</v>
      </c>
    </row>
    <row r="114" spans="1:16">
      <c r="A114" s="4" t="s">
        <v>241</v>
      </c>
      <c r="B114" s="4" t="s">
        <v>255</v>
      </c>
      <c r="C114" s="9" t="s">
        <v>220</v>
      </c>
      <c r="D114" s="13">
        <v>1</v>
      </c>
      <c r="E114" s="13" t="s">
        <v>397</v>
      </c>
      <c r="F114" s="13">
        <v>1</v>
      </c>
      <c r="G114" s="22">
        <v>0</v>
      </c>
      <c r="H114" s="13">
        <v>1</v>
      </c>
      <c r="I114" s="4">
        <v>11</v>
      </c>
      <c r="J114" s="4">
        <v>29</v>
      </c>
      <c r="K114" s="4" t="s">
        <v>124</v>
      </c>
      <c r="L114" s="4" t="s">
        <v>13</v>
      </c>
      <c r="M114" s="4">
        <v>2022</v>
      </c>
      <c r="N114" s="4">
        <v>1</v>
      </c>
      <c r="O114" s="4">
        <v>1</v>
      </c>
    </row>
    <row r="115" spans="1:16">
      <c r="A115" s="4" t="s">
        <v>241</v>
      </c>
      <c r="B115" s="4" t="s">
        <v>256</v>
      </c>
      <c r="C115" s="9" t="s">
        <v>242</v>
      </c>
      <c r="D115" s="13">
        <v>1</v>
      </c>
      <c r="E115" s="13" t="s">
        <v>397</v>
      </c>
      <c r="F115" s="13">
        <v>1</v>
      </c>
      <c r="G115" s="22">
        <v>1</v>
      </c>
      <c r="H115" s="13">
        <v>2</v>
      </c>
      <c r="I115" s="4">
        <v>14</v>
      </c>
      <c r="J115" s="4">
        <v>29</v>
      </c>
      <c r="K115" s="4" t="s">
        <v>124</v>
      </c>
      <c r="L115" s="4" t="s">
        <v>13</v>
      </c>
      <c r="M115" s="4">
        <v>2022</v>
      </c>
      <c r="N115" s="4">
        <v>1</v>
      </c>
      <c r="O115" s="4">
        <v>1</v>
      </c>
    </row>
    <row r="116" spans="1:16">
      <c r="A116" s="4" t="s">
        <v>241</v>
      </c>
      <c r="B116" s="4" t="s">
        <v>257</v>
      </c>
      <c r="C116" s="9" t="s">
        <v>243</v>
      </c>
      <c r="D116" s="13">
        <v>1</v>
      </c>
      <c r="E116" s="13" t="s">
        <v>397</v>
      </c>
      <c r="F116" s="13">
        <v>1</v>
      </c>
      <c r="G116" s="22">
        <v>0</v>
      </c>
      <c r="H116" s="13">
        <v>1</v>
      </c>
      <c r="I116" s="4">
        <v>16</v>
      </c>
      <c r="J116" s="4">
        <v>29</v>
      </c>
      <c r="K116" s="4" t="s">
        <v>124</v>
      </c>
      <c r="L116" s="4" t="s">
        <v>13</v>
      </c>
      <c r="M116" s="4">
        <v>2022</v>
      </c>
      <c r="N116" s="4">
        <v>1</v>
      </c>
      <c r="O116" s="4">
        <v>1</v>
      </c>
    </row>
    <row r="117" spans="1:16">
      <c r="A117" s="4" t="s">
        <v>241</v>
      </c>
      <c r="B117" s="4" t="s">
        <v>258</v>
      </c>
      <c r="C117" s="9" t="s">
        <v>244</v>
      </c>
      <c r="D117" s="13">
        <v>1</v>
      </c>
      <c r="E117" s="13" t="s">
        <v>395</v>
      </c>
      <c r="F117" s="13">
        <v>1</v>
      </c>
      <c r="G117" s="22">
        <v>0</v>
      </c>
      <c r="H117" s="20">
        <v>2</v>
      </c>
      <c r="I117" s="4">
        <v>17</v>
      </c>
      <c r="J117" s="4">
        <v>29</v>
      </c>
      <c r="K117" s="4" t="s">
        <v>124</v>
      </c>
      <c r="L117" s="4" t="s">
        <v>13</v>
      </c>
      <c r="M117" s="4">
        <v>2022</v>
      </c>
      <c r="N117" s="4">
        <v>1</v>
      </c>
      <c r="O117" s="4">
        <v>1</v>
      </c>
    </row>
    <row r="118" spans="1:16">
      <c r="A118" s="4" t="s">
        <v>241</v>
      </c>
      <c r="B118" s="4" t="s">
        <v>259</v>
      </c>
      <c r="C118" s="9" t="s">
        <v>245</v>
      </c>
      <c r="D118" s="13">
        <v>1</v>
      </c>
      <c r="E118" s="13" t="s">
        <v>397</v>
      </c>
      <c r="F118" s="13">
        <v>1</v>
      </c>
      <c r="G118" s="22">
        <v>0</v>
      </c>
      <c r="H118" s="13">
        <v>1</v>
      </c>
      <c r="I118" s="4">
        <v>19</v>
      </c>
      <c r="J118" s="4">
        <v>29</v>
      </c>
      <c r="K118" s="4" t="s">
        <v>124</v>
      </c>
      <c r="L118" s="4" t="s">
        <v>13</v>
      </c>
      <c r="M118" s="4">
        <v>2022</v>
      </c>
      <c r="N118" s="4">
        <v>1</v>
      </c>
      <c r="O118" s="4">
        <v>1</v>
      </c>
    </row>
    <row r="119" spans="1:16">
      <c r="A119" s="4" t="s">
        <v>241</v>
      </c>
      <c r="B119" s="4" t="s">
        <v>260</v>
      </c>
      <c r="C119" s="9" t="s">
        <v>246</v>
      </c>
      <c r="D119" s="13">
        <v>1</v>
      </c>
      <c r="E119" s="13" t="s">
        <v>397</v>
      </c>
      <c r="F119" s="13">
        <v>1</v>
      </c>
      <c r="G119" s="22">
        <v>0</v>
      </c>
      <c r="H119" s="13">
        <v>1</v>
      </c>
      <c r="I119" s="4">
        <v>21</v>
      </c>
      <c r="J119" s="4">
        <v>29</v>
      </c>
      <c r="K119" s="4" t="s">
        <v>124</v>
      </c>
      <c r="L119" s="4" t="s">
        <v>13</v>
      </c>
      <c r="M119" s="4">
        <v>2022</v>
      </c>
      <c r="N119" s="4">
        <v>1</v>
      </c>
      <c r="O119" s="4">
        <v>1</v>
      </c>
    </row>
    <row r="120" spans="1:16">
      <c r="A120" s="4" t="s">
        <v>241</v>
      </c>
      <c r="B120" s="4" t="s">
        <v>261</v>
      </c>
      <c r="C120" s="9" t="s">
        <v>247</v>
      </c>
      <c r="D120" s="13">
        <v>1</v>
      </c>
      <c r="E120" s="13" t="s">
        <v>399</v>
      </c>
      <c r="F120" s="13">
        <v>1</v>
      </c>
      <c r="G120" s="22">
        <v>0</v>
      </c>
      <c r="H120" s="20">
        <v>2</v>
      </c>
      <c r="I120" s="4">
        <v>22</v>
      </c>
      <c r="J120" s="4">
        <v>29</v>
      </c>
      <c r="K120" s="4" t="s">
        <v>124</v>
      </c>
      <c r="L120" s="4" t="s">
        <v>13</v>
      </c>
      <c r="M120" s="4">
        <v>2022</v>
      </c>
      <c r="N120" s="4">
        <v>1</v>
      </c>
      <c r="O120" s="4">
        <v>1</v>
      </c>
    </row>
    <row r="121" spans="1:16">
      <c r="A121" s="4" t="s">
        <v>241</v>
      </c>
      <c r="B121" s="4" t="s">
        <v>262</v>
      </c>
      <c r="C121" s="9" t="s">
        <v>248</v>
      </c>
      <c r="D121" s="13">
        <v>1</v>
      </c>
      <c r="E121" s="13" t="s">
        <v>399</v>
      </c>
      <c r="F121" s="13">
        <v>1</v>
      </c>
      <c r="G121" s="22">
        <v>0</v>
      </c>
      <c r="H121" s="20">
        <v>2</v>
      </c>
      <c r="I121" s="4">
        <v>24</v>
      </c>
      <c r="J121" s="4">
        <v>29</v>
      </c>
      <c r="K121" s="4" t="s">
        <v>124</v>
      </c>
      <c r="L121" s="4" t="s">
        <v>13</v>
      </c>
      <c r="M121" s="4">
        <v>2022</v>
      </c>
      <c r="N121" s="4">
        <v>1</v>
      </c>
      <c r="O121" s="4">
        <v>1</v>
      </c>
    </row>
    <row r="122" spans="1:16">
      <c r="A122" s="4" t="s">
        <v>241</v>
      </c>
      <c r="B122" s="4" t="s">
        <v>263</v>
      </c>
      <c r="C122" s="9" t="s">
        <v>249</v>
      </c>
      <c r="D122" s="13">
        <v>1</v>
      </c>
      <c r="E122" s="13" t="s">
        <v>397</v>
      </c>
      <c r="F122" s="13">
        <v>1</v>
      </c>
      <c r="G122" s="22">
        <v>0</v>
      </c>
      <c r="H122" s="13">
        <v>1</v>
      </c>
      <c r="I122" s="4">
        <v>25</v>
      </c>
      <c r="J122" s="4">
        <v>29</v>
      </c>
      <c r="K122" s="4" t="s">
        <v>124</v>
      </c>
      <c r="L122" s="4" t="s">
        <v>13</v>
      </c>
      <c r="M122" s="4">
        <v>2022</v>
      </c>
      <c r="N122" s="4">
        <v>1</v>
      </c>
      <c r="O122" s="4">
        <v>1</v>
      </c>
    </row>
    <row r="123" spans="1:16">
      <c r="A123" s="4" t="s">
        <v>241</v>
      </c>
      <c r="B123" s="4" t="s">
        <v>264</v>
      </c>
      <c r="C123" s="9" t="s">
        <v>250</v>
      </c>
      <c r="D123" s="13">
        <v>1</v>
      </c>
      <c r="E123" s="13" t="s">
        <v>399</v>
      </c>
      <c r="F123" s="13">
        <v>1</v>
      </c>
      <c r="G123" s="22">
        <v>0</v>
      </c>
      <c r="H123" s="20">
        <v>2</v>
      </c>
      <c r="I123" s="4">
        <v>26</v>
      </c>
      <c r="J123" s="4">
        <v>29</v>
      </c>
      <c r="K123" s="4" t="s">
        <v>124</v>
      </c>
      <c r="L123" s="4" t="s">
        <v>13</v>
      </c>
      <c r="M123" s="4">
        <v>2022</v>
      </c>
      <c r="N123" s="4">
        <v>1</v>
      </c>
      <c r="O123" s="4">
        <v>1</v>
      </c>
    </row>
    <row r="124" spans="1:16">
      <c r="A124" s="4" t="s">
        <v>241</v>
      </c>
      <c r="B124" s="4" t="s">
        <v>265</v>
      </c>
      <c r="C124" s="9" t="s">
        <v>251</v>
      </c>
      <c r="D124" s="13">
        <v>1</v>
      </c>
      <c r="E124" s="13" t="s">
        <v>397</v>
      </c>
      <c r="F124" s="13">
        <v>1</v>
      </c>
      <c r="G124" s="22">
        <v>1</v>
      </c>
      <c r="H124" s="20">
        <v>1</v>
      </c>
      <c r="I124" s="4">
        <v>27</v>
      </c>
      <c r="J124" s="4">
        <v>29</v>
      </c>
      <c r="K124" s="4" t="s">
        <v>124</v>
      </c>
      <c r="L124" s="4" t="s">
        <v>13</v>
      </c>
      <c r="M124" s="4">
        <v>2022</v>
      </c>
      <c r="N124" s="4">
        <v>1</v>
      </c>
      <c r="O124" s="4">
        <v>1</v>
      </c>
    </row>
    <row r="125" spans="1:16">
      <c r="A125" s="4" t="s">
        <v>241</v>
      </c>
      <c r="B125" s="4" t="s">
        <v>266</v>
      </c>
      <c r="C125" s="9" t="s">
        <v>404</v>
      </c>
      <c r="D125" s="13">
        <v>0</v>
      </c>
      <c r="F125" s="13">
        <v>1</v>
      </c>
      <c r="G125" s="22">
        <v>0</v>
      </c>
      <c r="H125" s="13">
        <v>1</v>
      </c>
      <c r="I125" s="4">
        <v>28</v>
      </c>
      <c r="J125" s="4">
        <v>29</v>
      </c>
      <c r="K125" s="4" t="s">
        <v>124</v>
      </c>
      <c r="L125" s="4" t="s">
        <v>13</v>
      </c>
      <c r="M125" s="4">
        <v>2022</v>
      </c>
      <c r="N125" s="4">
        <v>1</v>
      </c>
      <c r="O125" s="4">
        <v>1</v>
      </c>
    </row>
    <row r="126" spans="1:16">
      <c r="A126" s="4" t="s">
        <v>241</v>
      </c>
      <c r="B126" s="4" t="s">
        <v>267</v>
      </c>
      <c r="C126" s="9" t="s">
        <v>252</v>
      </c>
      <c r="D126" s="13">
        <v>0</v>
      </c>
      <c r="F126" s="13">
        <v>1</v>
      </c>
      <c r="G126" s="22">
        <v>0</v>
      </c>
      <c r="H126" s="13">
        <v>1</v>
      </c>
      <c r="I126" s="4">
        <v>29</v>
      </c>
      <c r="J126" s="4">
        <v>29</v>
      </c>
      <c r="K126" s="4" t="s">
        <v>124</v>
      </c>
      <c r="L126" s="4" t="s">
        <v>13</v>
      </c>
      <c r="M126" s="4">
        <v>2022</v>
      </c>
      <c r="N126" s="4">
        <v>1</v>
      </c>
      <c r="O126" s="4">
        <v>1</v>
      </c>
    </row>
    <row r="127" spans="1:16">
      <c r="A127" s="4" t="s">
        <v>275</v>
      </c>
      <c r="B127" s="4" t="s">
        <v>276</v>
      </c>
      <c r="C127" s="9" t="s">
        <v>277</v>
      </c>
      <c r="D127" s="13">
        <v>1</v>
      </c>
      <c r="E127" s="13" t="s">
        <v>399</v>
      </c>
      <c r="F127" s="13">
        <v>1</v>
      </c>
      <c r="G127" s="22">
        <v>0</v>
      </c>
      <c r="H127" s="13">
        <v>1</v>
      </c>
      <c r="I127" s="4">
        <v>6</v>
      </c>
      <c r="J127" s="4">
        <v>38</v>
      </c>
      <c r="K127" s="4" t="s">
        <v>124</v>
      </c>
      <c r="L127" s="4" t="s">
        <v>13</v>
      </c>
      <c r="M127" s="4">
        <v>2023</v>
      </c>
      <c r="N127" s="4">
        <v>1</v>
      </c>
      <c r="O127" s="4">
        <v>1</v>
      </c>
      <c r="P127" s="4"/>
    </row>
    <row r="128" spans="1:16">
      <c r="A128" s="4" t="s">
        <v>275</v>
      </c>
      <c r="B128" s="4" t="s">
        <v>278</v>
      </c>
      <c r="C128" s="14" t="s">
        <v>405</v>
      </c>
      <c r="D128" s="13">
        <v>1</v>
      </c>
      <c r="E128" s="13" t="s">
        <v>397</v>
      </c>
      <c r="F128" s="13">
        <v>1</v>
      </c>
      <c r="G128" s="22">
        <v>0</v>
      </c>
      <c r="H128" s="13">
        <v>1</v>
      </c>
      <c r="I128" s="4">
        <v>12</v>
      </c>
      <c r="J128" s="4">
        <v>38</v>
      </c>
      <c r="K128" s="4" t="s">
        <v>124</v>
      </c>
      <c r="L128" s="4" t="s">
        <v>13</v>
      </c>
      <c r="M128" s="4">
        <v>2023</v>
      </c>
      <c r="N128" s="4">
        <v>1</v>
      </c>
      <c r="O128" s="4">
        <v>1</v>
      </c>
      <c r="P128" s="4"/>
    </row>
    <row r="129" spans="1:16">
      <c r="A129" s="4" t="s">
        <v>275</v>
      </c>
      <c r="B129" s="4" t="s">
        <v>279</v>
      </c>
      <c r="C129" s="9" t="s">
        <v>280</v>
      </c>
      <c r="D129" s="13">
        <v>1</v>
      </c>
      <c r="E129" s="13" t="s">
        <v>397</v>
      </c>
      <c r="F129" s="13">
        <v>1</v>
      </c>
      <c r="G129" s="22">
        <v>0</v>
      </c>
      <c r="H129" s="13">
        <v>1</v>
      </c>
      <c r="I129" s="4">
        <v>14</v>
      </c>
      <c r="J129" s="4">
        <v>38</v>
      </c>
      <c r="K129" s="4" t="s">
        <v>124</v>
      </c>
      <c r="L129" s="4" t="s">
        <v>13</v>
      </c>
      <c r="M129" s="4">
        <v>2023</v>
      </c>
      <c r="N129" s="4">
        <v>1</v>
      </c>
      <c r="O129" s="4">
        <v>1</v>
      </c>
      <c r="P129" s="4"/>
    </row>
    <row r="130" spans="1:16">
      <c r="A130" s="4" t="s">
        <v>275</v>
      </c>
      <c r="B130" s="4" t="s">
        <v>281</v>
      </c>
      <c r="C130" s="9" t="s">
        <v>282</v>
      </c>
      <c r="D130" s="13">
        <v>1</v>
      </c>
      <c r="E130" s="13" t="s">
        <v>397</v>
      </c>
      <c r="F130" s="13">
        <v>1</v>
      </c>
      <c r="G130" s="22">
        <v>0</v>
      </c>
      <c r="H130" s="13">
        <v>1</v>
      </c>
      <c r="I130" s="4">
        <v>15</v>
      </c>
      <c r="J130" s="4">
        <v>38</v>
      </c>
      <c r="K130" s="4" t="s">
        <v>124</v>
      </c>
      <c r="L130" s="4" t="s">
        <v>13</v>
      </c>
      <c r="M130" s="4">
        <v>2023</v>
      </c>
      <c r="N130" s="4">
        <v>1</v>
      </c>
      <c r="O130" s="4">
        <v>1</v>
      </c>
      <c r="P130" s="4"/>
    </row>
    <row r="131" spans="1:16">
      <c r="A131" s="4" t="s">
        <v>275</v>
      </c>
      <c r="B131" s="4" t="s">
        <v>283</v>
      </c>
      <c r="C131" s="9" t="s">
        <v>284</v>
      </c>
      <c r="D131" s="13">
        <v>1</v>
      </c>
      <c r="E131" s="13" t="s">
        <v>397</v>
      </c>
      <c r="F131" s="13">
        <v>1</v>
      </c>
      <c r="G131" s="22">
        <v>0</v>
      </c>
      <c r="H131" s="13">
        <v>1</v>
      </c>
      <c r="I131" s="4">
        <v>19</v>
      </c>
      <c r="J131" s="4">
        <v>38</v>
      </c>
      <c r="K131" s="4" t="s">
        <v>124</v>
      </c>
      <c r="L131" s="4" t="s">
        <v>13</v>
      </c>
      <c r="M131" s="4">
        <v>2023</v>
      </c>
      <c r="N131" s="4">
        <v>1</v>
      </c>
      <c r="O131" s="4">
        <v>1</v>
      </c>
      <c r="P131" s="4"/>
    </row>
    <row r="132" spans="1:16">
      <c r="A132" s="4" t="s">
        <v>275</v>
      </c>
      <c r="B132" s="4" t="s">
        <v>285</v>
      </c>
      <c r="C132" s="14" t="s">
        <v>286</v>
      </c>
      <c r="D132" s="13">
        <v>1</v>
      </c>
      <c r="E132" s="13" t="s">
        <v>397</v>
      </c>
      <c r="F132" s="13">
        <v>1</v>
      </c>
      <c r="G132" s="22">
        <v>0</v>
      </c>
      <c r="H132" s="13">
        <v>1</v>
      </c>
      <c r="I132" s="4">
        <v>23</v>
      </c>
      <c r="J132" s="4">
        <v>38</v>
      </c>
      <c r="K132" s="4" t="s">
        <v>124</v>
      </c>
      <c r="L132" s="4" t="s">
        <v>13</v>
      </c>
      <c r="M132" s="4">
        <v>2023</v>
      </c>
      <c r="N132" s="4">
        <v>1</v>
      </c>
      <c r="O132" s="4">
        <v>1</v>
      </c>
      <c r="P132" s="4"/>
    </row>
    <row r="133" spans="1:16">
      <c r="A133" s="4" t="s">
        <v>275</v>
      </c>
      <c r="B133" s="4" t="s">
        <v>287</v>
      </c>
      <c r="C133" s="14" t="s">
        <v>288</v>
      </c>
      <c r="D133" s="13">
        <v>1</v>
      </c>
      <c r="E133" s="13" t="s">
        <v>395</v>
      </c>
      <c r="F133" s="13">
        <v>1</v>
      </c>
      <c r="G133" s="22">
        <v>0</v>
      </c>
      <c r="H133" s="20">
        <v>2</v>
      </c>
      <c r="I133" s="4">
        <v>26</v>
      </c>
      <c r="J133" s="4">
        <v>38</v>
      </c>
      <c r="K133" s="4" t="s">
        <v>124</v>
      </c>
      <c r="L133" s="4" t="s">
        <v>13</v>
      </c>
      <c r="M133" s="4">
        <v>2023</v>
      </c>
      <c r="N133" s="4">
        <v>1</v>
      </c>
      <c r="O133" s="4">
        <v>1</v>
      </c>
      <c r="P133" s="4"/>
    </row>
    <row r="134" spans="1:16">
      <c r="A134" s="4" t="s">
        <v>275</v>
      </c>
      <c r="B134" s="4" t="s">
        <v>289</v>
      </c>
      <c r="C134" s="14" t="s">
        <v>290</v>
      </c>
      <c r="D134" s="13">
        <v>1</v>
      </c>
      <c r="E134" s="13" t="s">
        <v>395</v>
      </c>
      <c r="F134" s="13">
        <v>1</v>
      </c>
      <c r="G134" s="22">
        <v>0</v>
      </c>
      <c r="H134" s="20">
        <v>2</v>
      </c>
      <c r="I134" s="4">
        <v>27</v>
      </c>
      <c r="J134" s="4">
        <v>38</v>
      </c>
      <c r="K134" s="4" t="s">
        <v>124</v>
      </c>
      <c r="L134" s="4" t="s">
        <v>13</v>
      </c>
      <c r="M134" s="4">
        <v>2023</v>
      </c>
      <c r="N134" s="4">
        <v>1</v>
      </c>
      <c r="O134" s="4">
        <v>1</v>
      </c>
      <c r="P134" s="4"/>
    </row>
    <row r="135" spans="1:16">
      <c r="A135" s="4" t="s">
        <v>275</v>
      </c>
      <c r="B135" s="4" t="s">
        <v>291</v>
      </c>
      <c r="C135" s="14" t="s">
        <v>292</v>
      </c>
      <c r="D135" s="13">
        <v>1</v>
      </c>
      <c r="E135" s="13" t="s">
        <v>397</v>
      </c>
      <c r="F135" s="13">
        <v>1</v>
      </c>
      <c r="G135" s="22">
        <v>0</v>
      </c>
      <c r="H135" s="13">
        <v>1</v>
      </c>
      <c r="I135" s="4">
        <v>28</v>
      </c>
      <c r="J135" s="4">
        <v>38</v>
      </c>
      <c r="K135" s="4" t="s">
        <v>124</v>
      </c>
      <c r="L135" s="4" t="s">
        <v>13</v>
      </c>
      <c r="M135" s="4">
        <v>2023</v>
      </c>
      <c r="N135" s="4">
        <v>1</v>
      </c>
      <c r="O135" s="4">
        <v>1</v>
      </c>
      <c r="P135" s="4"/>
    </row>
    <row r="136" spans="1:16">
      <c r="A136" s="4" t="s">
        <v>275</v>
      </c>
      <c r="B136" s="4" t="s">
        <v>293</v>
      </c>
      <c r="C136" s="14" t="s">
        <v>294</v>
      </c>
      <c r="D136" s="13">
        <v>1</v>
      </c>
      <c r="E136" s="13" t="s">
        <v>399</v>
      </c>
      <c r="F136" s="13">
        <v>1</v>
      </c>
      <c r="G136" s="22">
        <v>1</v>
      </c>
      <c r="H136" s="20">
        <v>1</v>
      </c>
      <c r="I136" s="4">
        <v>29</v>
      </c>
      <c r="J136" s="4">
        <v>38</v>
      </c>
      <c r="K136" s="4" t="s">
        <v>124</v>
      </c>
      <c r="L136" s="4" t="s">
        <v>13</v>
      </c>
      <c r="M136" s="4">
        <v>2023</v>
      </c>
      <c r="N136" s="4">
        <v>1</v>
      </c>
      <c r="O136" s="4">
        <v>1</v>
      </c>
      <c r="P136" s="4"/>
    </row>
    <row r="137" spans="1:16">
      <c r="A137" s="4" t="s">
        <v>275</v>
      </c>
      <c r="B137" s="4" t="s">
        <v>295</v>
      </c>
      <c r="C137" s="14" t="s">
        <v>296</v>
      </c>
      <c r="D137" s="13">
        <v>1</v>
      </c>
      <c r="E137" s="13" t="s">
        <v>397</v>
      </c>
      <c r="F137" s="13">
        <v>1</v>
      </c>
      <c r="G137" s="22">
        <v>1</v>
      </c>
      <c r="H137" s="20">
        <v>1</v>
      </c>
      <c r="I137" s="4">
        <v>30</v>
      </c>
      <c r="J137" s="4">
        <v>38</v>
      </c>
      <c r="K137" s="4" t="s">
        <v>124</v>
      </c>
      <c r="L137" s="4" t="s">
        <v>13</v>
      </c>
      <c r="M137" s="4">
        <v>2023</v>
      </c>
      <c r="N137" s="4">
        <v>1</v>
      </c>
      <c r="O137" s="4">
        <v>1</v>
      </c>
      <c r="P137" s="4"/>
    </row>
    <row r="138" spans="1:16">
      <c r="A138" s="4" t="s">
        <v>275</v>
      </c>
      <c r="B138" s="4" t="s">
        <v>297</v>
      </c>
      <c r="C138" s="14" t="s">
        <v>298</v>
      </c>
      <c r="D138" s="13">
        <v>1</v>
      </c>
      <c r="E138" s="13" t="s">
        <v>397</v>
      </c>
      <c r="F138" s="13">
        <v>1</v>
      </c>
      <c r="G138" s="22">
        <v>0</v>
      </c>
      <c r="H138" s="13">
        <v>1</v>
      </c>
      <c r="I138" s="4">
        <v>31</v>
      </c>
      <c r="J138" s="4">
        <v>38</v>
      </c>
      <c r="K138" s="4" t="s">
        <v>124</v>
      </c>
      <c r="L138" s="4" t="s">
        <v>13</v>
      </c>
      <c r="M138" s="4">
        <v>2023</v>
      </c>
      <c r="N138" s="4">
        <v>1</v>
      </c>
      <c r="O138" s="4">
        <v>1</v>
      </c>
      <c r="P138" s="4"/>
    </row>
    <row r="139" spans="1:16">
      <c r="A139" s="4" t="s">
        <v>275</v>
      </c>
      <c r="B139" s="4" t="s">
        <v>299</v>
      </c>
      <c r="C139" s="14" t="s">
        <v>300</v>
      </c>
      <c r="D139" s="13">
        <v>1</v>
      </c>
      <c r="E139" s="13" t="s">
        <v>399</v>
      </c>
      <c r="F139" s="13">
        <v>1</v>
      </c>
      <c r="G139" s="22">
        <v>0</v>
      </c>
      <c r="H139" s="13">
        <v>1</v>
      </c>
      <c r="I139" s="4">
        <v>32</v>
      </c>
      <c r="J139" s="4">
        <v>38</v>
      </c>
      <c r="K139" s="4" t="s">
        <v>124</v>
      </c>
      <c r="L139" s="4" t="s">
        <v>13</v>
      </c>
      <c r="M139" s="4">
        <v>2023</v>
      </c>
      <c r="N139" s="4">
        <v>1</v>
      </c>
      <c r="O139" s="4">
        <v>1</v>
      </c>
      <c r="P139" s="4"/>
    </row>
    <row r="140" spans="1:16">
      <c r="A140" s="4" t="s">
        <v>275</v>
      </c>
      <c r="B140" s="4" t="s">
        <v>301</v>
      </c>
      <c r="C140" s="9" t="s">
        <v>302</v>
      </c>
      <c r="D140" s="13">
        <v>1</v>
      </c>
      <c r="E140" s="13" t="s">
        <v>399</v>
      </c>
      <c r="F140" s="13">
        <v>1</v>
      </c>
      <c r="G140" s="22">
        <v>0</v>
      </c>
      <c r="H140" s="13">
        <v>1</v>
      </c>
      <c r="I140" s="4">
        <v>33</v>
      </c>
      <c r="J140" s="4">
        <v>38</v>
      </c>
      <c r="K140" s="4" t="s">
        <v>124</v>
      </c>
      <c r="L140" s="4" t="s">
        <v>13</v>
      </c>
      <c r="M140" s="4">
        <v>2023</v>
      </c>
      <c r="N140" s="4">
        <v>1</v>
      </c>
      <c r="O140" s="4">
        <v>1</v>
      </c>
      <c r="P140" s="4"/>
    </row>
    <row r="141" spans="1:16">
      <c r="A141" s="4" t="s">
        <v>275</v>
      </c>
      <c r="B141" s="4" t="s">
        <v>303</v>
      </c>
      <c r="C141" s="14" t="s">
        <v>304</v>
      </c>
      <c r="D141" s="13">
        <v>1</v>
      </c>
      <c r="E141" s="13" t="s">
        <v>399</v>
      </c>
      <c r="F141" s="13">
        <v>1</v>
      </c>
      <c r="G141" s="22">
        <v>0</v>
      </c>
      <c r="H141" s="20">
        <v>2</v>
      </c>
      <c r="I141" s="4">
        <v>34</v>
      </c>
      <c r="J141" s="4">
        <v>38</v>
      </c>
      <c r="K141" s="4" t="s">
        <v>124</v>
      </c>
      <c r="L141" s="4" t="s">
        <v>13</v>
      </c>
      <c r="M141" s="4">
        <v>2023</v>
      </c>
      <c r="N141" s="4">
        <v>1</v>
      </c>
      <c r="O141" s="4">
        <v>1</v>
      </c>
      <c r="P141" s="4"/>
    </row>
    <row r="142" spans="1:16">
      <c r="A142" s="4" t="s">
        <v>275</v>
      </c>
      <c r="B142" s="4" t="s">
        <v>305</v>
      </c>
      <c r="C142" s="14" t="s">
        <v>306</v>
      </c>
      <c r="D142" s="13">
        <v>1</v>
      </c>
      <c r="E142" s="13" t="s">
        <v>397</v>
      </c>
      <c r="F142" s="13">
        <v>1</v>
      </c>
      <c r="G142" s="22">
        <v>1</v>
      </c>
      <c r="H142" s="20">
        <v>1</v>
      </c>
      <c r="I142" s="4">
        <v>35</v>
      </c>
      <c r="J142" s="4">
        <v>38</v>
      </c>
      <c r="K142" s="4" t="s">
        <v>124</v>
      </c>
      <c r="L142" s="4" t="s">
        <v>13</v>
      </c>
      <c r="M142" s="4">
        <v>2023</v>
      </c>
      <c r="N142" s="4">
        <v>1</v>
      </c>
      <c r="O142" s="4">
        <v>1</v>
      </c>
      <c r="P142" s="4"/>
    </row>
    <row r="143" spans="1:16">
      <c r="A143" s="4" t="s">
        <v>275</v>
      </c>
      <c r="B143" s="4" t="s">
        <v>307</v>
      </c>
      <c r="C143" s="14" t="s">
        <v>308</v>
      </c>
      <c r="D143" s="13">
        <v>0</v>
      </c>
      <c r="F143" s="13">
        <v>1</v>
      </c>
      <c r="G143" s="22">
        <v>0</v>
      </c>
      <c r="H143" s="13">
        <v>1</v>
      </c>
      <c r="I143" s="4">
        <v>36</v>
      </c>
      <c r="J143" s="4">
        <v>38</v>
      </c>
      <c r="K143" s="4" t="s">
        <v>124</v>
      </c>
      <c r="L143" s="4" t="s">
        <v>13</v>
      </c>
      <c r="M143" s="4">
        <v>2023</v>
      </c>
      <c r="N143" s="4">
        <v>1</v>
      </c>
      <c r="O143" s="4">
        <v>1</v>
      </c>
      <c r="P143" s="4"/>
    </row>
    <row r="144" spans="1:16">
      <c r="A144" s="4" t="s">
        <v>275</v>
      </c>
      <c r="B144" s="4" t="s">
        <v>309</v>
      </c>
      <c r="C144" s="14" t="s">
        <v>310</v>
      </c>
      <c r="D144" s="13">
        <v>0</v>
      </c>
      <c r="F144" s="13">
        <v>1</v>
      </c>
      <c r="G144" s="22">
        <v>0</v>
      </c>
      <c r="H144" s="13">
        <v>1</v>
      </c>
      <c r="I144" s="4">
        <v>37</v>
      </c>
      <c r="J144" s="4">
        <v>38</v>
      </c>
      <c r="K144" s="4" t="s">
        <v>124</v>
      </c>
      <c r="L144" s="4" t="s">
        <v>13</v>
      </c>
      <c r="M144" s="4">
        <v>2023</v>
      </c>
      <c r="N144" s="4">
        <v>1</v>
      </c>
      <c r="O144" s="4">
        <v>1</v>
      </c>
      <c r="P144" s="4"/>
    </row>
    <row r="145" spans="1:16">
      <c r="A145" s="4" t="s">
        <v>275</v>
      </c>
      <c r="B145" s="4" t="s">
        <v>311</v>
      </c>
      <c r="C145" s="14" t="s">
        <v>312</v>
      </c>
      <c r="D145" s="13">
        <v>0</v>
      </c>
      <c r="F145" s="13">
        <v>1</v>
      </c>
      <c r="G145" s="22">
        <v>0</v>
      </c>
      <c r="H145" s="13">
        <v>1</v>
      </c>
      <c r="I145" s="4">
        <v>38</v>
      </c>
      <c r="J145" s="4">
        <v>38</v>
      </c>
      <c r="K145" s="4" t="s">
        <v>124</v>
      </c>
      <c r="L145" s="4" t="s">
        <v>13</v>
      </c>
      <c r="M145" s="4">
        <v>2023</v>
      </c>
      <c r="N145" s="4">
        <v>1</v>
      </c>
      <c r="O145" s="4">
        <v>1</v>
      </c>
      <c r="P145" s="4"/>
    </row>
    <row r="146" spans="1:16">
      <c r="A146" s="4" t="s">
        <v>313</v>
      </c>
      <c r="B146" s="4" t="s">
        <v>314</v>
      </c>
      <c r="C146" s="14" t="s">
        <v>315</v>
      </c>
      <c r="D146" s="13">
        <v>1</v>
      </c>
      <c r="E146" s="13" t="s">
        <v>399</v>
      </c>
      <c r="F146" s="13">
        <v>1</v>
      </c>
      <c r="G146" s="22">
        <v>0</v>
      </c>
      <c r="H146" s="13">
        <v>1</v>
      </c>
      <c r="I146" s="4">
        <v>3</v>
      </c>
      <c r="J146" s="4">
        <v>41</v>
      </c>
      <c r="K146" s="4" t="s">
        <v>124</v>
      </c>
      <c r="L146" s="4" t="s">
        <v>13</v>
      </c>
      <c r="M146" s="4">
        <v>2024</v>
      </c>
      <c r="N146" s="4">
        <v>1</v>
      </c>
      <c r="O146" s="4">
        <v>1</v>
      </c>
      <c r="P146" s="4"/>
    </row>
    <row r="147" spans="1:16">
      <c r="A147" s="4" t="s">
        <v>313</v>
      </c>
      <c r="B147" s="4" t="s">
        <v>316</v>
      </c>
      <c r="C147" s="14" t="s">
        <v>317</v>
      </c>
      <c r="D147" s="13">
        <v>1</v>
      </c>
      <c r="E147" s="13" t="s">
        <v>399</v>
      </c>
      <c r="F147" s="13">
        <v>1</v>
      </c>
      <c r="G147" s="22">
        <v>0</v>
      </c>
      <c r="H147" s="13">
        <v>1</v>
      </c>
      <c r="I147" s="4">
        <v>4</v>
      </c>
      <c r="J147" s="4">
        <v>41</v>
      </c>
      <c r="K147" s="4" t="s">
        <v>124</v>
      </c>
      <c r="L147" s="4" t="s">
        <v>13</v>
      </c>
      <c r="M147" s="4">
        <v>2024</v>
      </c>
      <c r="N147" s="4">
        <v>1</v>
      </c>
      <c r="O147" s="4">
        <v>1</v>
      </c>
      <c r="P147" s="4"/>
    </row>
    <row r="148" spans="1:16">
      <c r="A148" s="4" t="s">
        <v>313</v>
      </c>
      <c r="B148" s="4" t="s">
        <v>318</v>
      </c>
      <c r="C148" s="14" t="s">
        <v>319</v>
      </c>
      <c r="D148" s="13">
        <v>1</v>
      </c>
      <c r="E148" s="13" t="s">
        <v>399</v>
      </c>
      <c r="F148" s="13">
        <v>1</v>
      </c>
      <c r="G148" s="22">
        <v>0</v>
      </c>
      <c r="H148" s="20">
        <v>2</v>
      </c>
      <c r="I148" s="4">
        <v>8</v>
      </c>
      <c r="J148" s="4">
        <v>41</v>
      </c>
      <c r="K148" s="4" t="s">
        <v>124</v>
      </c>
      <c r="L148" s="4" t="s">
        <v>13</v>
      </c>
      <c r="M148" s="4">
        <v>2024</v>
      </c>
      <c r="N148" s="4">
        <v>1</v>
      </c>
      <c r="O148" s="4">
        <v>1</v>
      </c>
      <c r="P148" s="4"/>
    </row>
    <row r="149" spans="1:16">
      <c r="A149" s="4" t="s">
        <v>313</v>
      </c>
      <c r="B149" s="4" t="s">
        <v>320</v>
      </c>
      <c r="C149" s="14" t="s">
        <v>321</v>
      </c>
      <c r="D149" s="13">
        <v>1</v>
      </c>
      <c r="E149" s="13" t="s">
        <v>395</v>
      </c>
      <c r="F149" s="13">
        <v>1</v>
      </c>
      <c r="G149" s="22">
        <v>1</v>
      </c>
      <c r="H149" s="13">
        <v>2</v>
      </c>
      <c r="I149" s="4">
        <v>11</v>
      </c>
      <c r="J149" s="4">
        <v>41</v>
      </c>
      <c r="K149" s="4" t="s">
        <v>124</v>
      </c>
      <c r="L149" s="4" t="s">
        <v>13</v>
      </c>
      <c r="M149" s="4">
        <v>2024</v>
      </c>
      <c r="N149" s="4">
        <v>1</v>
      </c>
      <c r="O149" s="4">
        <v>1</v>
      </c>
      <c r="P149" s="4"/>
    </row>
    <row r="150" spans="1:16">
      <c r="A150" s="4" t="s">
        <v>313</v>
      </c>
      <c r="B150" s="4" t="s">
        <v>322</v>
      </c>
      <c r="C150" s="9" t="s">
        <v>323</v>
      </c>
      <c r="D150" s="13">
        <v>1</v>
      </c>
      <c r="E150" s="13" t="s">
        <v>399</v>
      </c>
      <c r="F150" s="13">
        <v>1</v>
      </c>
      <c r="G150" s="22">
        <v>0</v>
      </c>
      <c r="H150" s="13">
        <v>1</v>
      </c>
      <c r="I150" s="4">
        <v>12</v>
      </c>
      <c r="J150" s="4">
        <v>41</v>
      </c>
      <c r="K150" s="4" t="s">
        <v>124</v>
      </c>
      <c r="L150" s="4" t="s">
        <v>13</v>
      </c>
      <c r="M150" s="4">
        <v>2024</v>
      </c>
      <c r="N150" s="4">
        <v>1</v>
      </c>
      <c r="O150" s="4">
        <v>1</v>
      </c>
      <c r="P150" s="4"/>
    </row>
    <row r="151" spans="1:16">
      <c r="A151" s="4" t="s">
        <v>313</v>
      </c>
      <c r="B151" s="4" t="s">
        <v>324</v>
      </c>
      <c r="C151" s="14" t="s">
        <v>325</v>
      </c>
      <c r="D151" s="13">
        <v>1</v>
      </c>
      <c r="E151" s="13" t="s">
        <v>399</v>
      </c>
      <c r="F151" s="13">
        <v>1</v>
      </c>
      <c r="G151" s="22">
        <v>0</v>
      </c>
      <c r="H151" s="20">
        <v>2</v>
      </c>
      <c r="I151" s="4">
        <v>14</v>
      </c>
      <c r="J151" s="4">
        <v>41</v>
      </c>
      <c r="K151" s="4" t="s">
        <v>124</v>
      </c>
      <c r="L151" s="4" t="s">
        <v>13</v>
      </c>
      <c r="M151" s="4">
        <v>2024</v>
      </c>
      <c r="N151" s="4">
        <v>1</v>
      </c>
      <c r="O151" s="4">
        <v>1</v>
      </c>
      <c r="P151" s="4"/>
    </row>
    <row r="152" spans="1:16">
      <c r="A152" s="4" t="s">
        <v>313</v>
      </c>
      <c r="B152" s="4" t="s">
        <v>326</v>
      </c>
      <c r="C152" s="14" t="s">
        <v>327</v>
      </c>
      <c r="D152" s="13">
        <v>1</v>
      </c>
      <c r="E152" s="13" t="s">
        <v>397</v>
      </c>
      <c r="F152" s="13">
        <v>1</v>
      </c>
      <c r="G152" s="22">
        <v>0</v>
      </c>
      <c r="H152" s="13">
        <v>1</v>
      </c>
      <c r="I152" s="4">
        <v>15</v>
      </c>
      <c r="J152" s="4">
        <v>41</v>
      </c>
      <c r="K152" s="4" t="s">
        <v>124</v>
      </c>
      <c r="L152" s="4" t="s">
        <v>13</v>
      </c>
      <c r="M152" s="4">
        <v>2024</v>
      </c>
      <c r="N152" s="4">
        <v>1</v>
      </c>
      <c r="O152" s="4">
        <v>1</v>
      </c>
      <c r="P152" s="4"/>
    </row>
    <row r="153" spans="1:16">
      <c r="A153" s="4" t="s">
        <v>313</v>
      </c>
      <c r="B153" s="4" t="s">
        <v>328</v>
      </c>
      <c r="C153" s="14" t="s">
        <v>330</v>
      </c>
      <c r="D153" s="13">
        <v>1</v>
      </c>
      <c r="E153" s="13" t="s">
        <v>397</v>
      </c>
      <c r="F153" s="13">
        <v>1</v>
      </c>
      <c r="G153" s="22">
        <v>0</v>
      </c>
      <c r="H153" s="13">
        <v>1</v>
      </c>
      <c r="I153" s="4">
        <v>17</v>
      </c>
      <c r="J153" s="4">
        <v>41</v>
      </c>
      <c r="K153" s="4" t="s">
        <v>124</v>
      </c>
      <c r="L153" s="4" t="s">
        <v>13</v>
      </c>
      <c r="M153" s="4">
        <v>2024</v>
      </c>
      <c r="N153" s="4">
        <v>1</v>
      </c>
      <c r="O153" s="4">
        <v>1</v>
      </c>
      <c r="P153" s="4"/>
    </row>
    <row r="154" spans="1:16">
      <c r="A154" s="4" t="s">
        <v>313</v>
      </c>
      <c r="B154" s="4" t="s">
        <v>329</v>
      </c>
      <c r="C154" s="14" t="s">
        <v>331</v>
      </c>
      <c r="D154" s="13">
        <v>1</v>
      </c>
      <c r="E154" s="13" t="s">
        <v>397</v>
      </c>
      <c r="F154" s="13">
        <v>1</v>
      </c>
      <c r="G154" s="22">
        <v>0</v>
      </c>
      <c r="H154" s="13">
        <v>1</v>
      </c>
      <c r="I154" s="4">
        <v>18</v>
      </c>
      <c r="J154" s="4">
        <v>41</v>
      </c>
      <c r="K154" s="4" t="s">
        <v>124</v>
      </c>
      <c r="L154" s="4" t="s">
        <v>13</v>
      </c>
      <c r="M154" s="4">
        <v>2024</v>
      </c>
      <c r="N154" s="4">
        <v>1</v>
      </c>
      <c r="O154" s="4">
        <v>1</v>
      </c>
      <c r="P154" s="4"/>
    </row>
    <row r="155" spans="1:16">
      <c r="A155" s="4" t="s">
        <v>313</v>
      </c>
      <c r="B155" s="4" t="s">
        <v>332</v>
      </c>
      <c r="C155" s="14" t="s">
        <v>333</v>
      </c>
      <c r="D155" s="13">
        <v>0</v>
      </c>
      <c r="F155" s="13">
        <v>1</v>
      </c>
      <c r="G155" s="22">
        <v>0</v>
      </c>
      <c r="H155" s="13">
        <v>1</v>
      </c>
      <c r="I155" s="4">
        <v>21</v>
      </c>
      <c r="J155" s="4">
        <v>41</v>
      </c>
      <c r="K155" s="4" t="s">
        <v>124</v>
      </c>
      <c r="L155" s="4" t="s">
        <v>13</v>
      </c>
      <c r="M155" s="4">
        <v>2024</v>
      </c>
      <c r="N155" s="4">
        <v>1</v>
      </c>
      <c r="O155" s="4">
        <v>1</v>
      </c>
      <c r="P155" s="4"/>
    </row>
    <row r="156" spans="1:16">
      <c r="A156" s="4" t="s">
        <v>313</v>
      </c>
      <c r="B156" s="4" t="s">
        <v>334</v>
      </c>
      <c r="C156" s="14" t="s">
        <v>335</v>
      </c>
      <c r="D156" s="13">
        <v>1</v>
      </c>
      <c r="E156" s="13" t="s">
        <v>399</v>
      </c>
      <c r="F156" s="13">
        <v>1</v>
      </c>
      <c r="G156" s="22">
        <v>0</v>
      </c>
      <c r="H156" s="20">
        <v>2</v>
      </c>
      <c r="I156" s="4">
        <v>29</v>
      </c>
      <c r="J156" s="4">
        <v>41</v>
      </c>
      <c r="K156" s="4" t="s">
        <v>124</v>
      </c>
      <c r="L156" s="4" t="s">
        <v>13</v>
      </c>
      <c r="M156" s="4">
        <v>2024</v>
      </c>
      <c r="N156" s="4">
        <v>1</v>
      </c>
      <c r="O156" s="4">
        <v>1</v>
      </c>
      <c r="P156" s="4"/>
    </row>
    <row r="157" spans="1:16">
      <c r="A157" s="4" t="s">
        <v>313</v>
      </c>
      <c r="B157" s="4" t="s">
        <v>336</v>
      </c>
      <c r="C157" s="14" t="s">
        <v>298</v>
      </c>
      <c r="D157" s="13">
        <v>1</v>
      </c>
      <c r="E157" s="13" t="s">
        <v>397</v>
      </c>
      <c r="F157" s="13">
        <v>1</v>
      </c>
      <c r="G157" s="22">
        <v>0</v>
      </c>
      <c r="H157" s="13">
        <v>1</v>
      </c>
      <c r="I157" s="4">
        <v>31</v>
      </c>
      <c r="J157" s="4">
        <v>41</v>
      </c>
      <c r="K157" s="4" t="s">
        <v>124</v>
      </c>
      <c r="L157" s="4" t="s">
        <v>13</v>
      </c>
      <c r="M157" s="4">
        <v>2024</v>
      </c>
      <c r="N157" s="4">
        <v>1</v>
      </c>
      <c r="O157" s="4">
        <v>1</v>
      </c>
      <c r="P157" s="4"/>
    </row>
    <row r="158" spans="1:16">
      <c r="A158" s="4" t="s">
        <v>313</v>
      </c>
      <c r="B158" s="4" t="s">
        <v>337</v>
      </c>
      <c r="C158" s="14" t="s">
        <v>339</v>
      </c>
      <c r="D158" s="13">
        <v>1</v>
      </c>
      <c r="E158" s="13" t="s">
        <v>399</v>
      </c>
      <c r="F158" s="13">
        <v>1</v>
      </c>
      <c r="G158" s="22">
        <v>0</v>
      </c>
      <c r="H158" s="13">
        <v>1</v>
      </c>
      <c r="I158" s="4">
        <v>32</v>
      </c>
      <c r="J158" s="4">
        <v>41</v>
      </c>
      <c r="K158" s="4" t="s">
        <v>124</v>
      </c>
      <c r="L158" s="4" t="s">
        <v>13</v>
      </c>
      <c r="M158" s="4">
        <v>2024</v>
      </c>
      <c r="N158" s="4">
        <v>1</v>
      </c>
      <c r="O158" s="4">
        <v>1</v>
      </c>
      <c r="P158" s="4"/>
    </row>
    <row r="159" spans="1:16">
      <c r="A159" s="4" t="s">
        <v>313</v>
      </c>
      <c r="B159" s="4" t="s">
        <v>338</v>
      </c>
      <c r="C159" s="14" t="s">
        <v>340</v>
      </c>
      <c r="D159" s="13">
        <v>1</v>
      </c>
      <c r="E159" s="13" t="s">
        <v>399</v>
      </c>
      <c r="F159" s="13">
        <v>1</v>
      </c>
      <c r="G159" s="22">
        <v>0</v>
      </c>
      <c r="H159" s="20">
        <v>2</v>
      </c>
      <c r="I159" s="4">
        <v>33</v>
      </c>
      <c r="J159" s="4">
        <v>41</v>
      </c>
      <c r="K159" s="4" t="s">
        <v>124</v>
      </c>
      <c r="L159" s="4" t="s">
        <v>13</v>
      </c>
      <c r="M159" s="4">
        <v>2024</v>
      </c>
      <c r="N159" s="4">
        <v>1</v>
      </c>
      <c r="O159" s="4">
        <v>1</v>
      </c>
      <c r="P159" s="4"/>
    </row>
    <row r="160" spans="1:16">
      <c r="A160" s="4" t="s">
        <v>313</v>
      </c>
      <c r="B160" s="4" t="s">
        <v>406</v>
      </c>
      <c r="C160" s="14" t="s">
        <v>304</v>
      </c>
      <c r="D160" s="13">
        <v>1</v>
      </c>
      <c r="E160" s="13" t="s">
        <v>399</v>
      </c>
      <c r="F160" s="13">
        <v>1</v>
      </c>
      <c r="G160" s="22">
        <v>0</v>
      </c>
      <c r="H160" s="20">
        <v>2</v>
      </c>
      <c r="I160" s="4">
        <v>34</v>
      </c>
      <c r="J160" s="4">
        <v>41</v>
      </c>
      <c r="K160" s="4" t="s">
        <v>124</v>
      </c>
      <c r="L160" s="4" t="s">
        <v>13</v>
      </c>
      <c r="M160" s="4">
        <v>2024</v>
      </c>
      <c r="N160" s="4">
        <v>1</v>
      </c>
      <c r="O160" s="4">
        <v>1</v>
      </c>
      <c r="P160" s="4"/>
    </row>
    <row r="161" spans="1:16">
      <c r="A161" s="4" t="s">
        <v>313</v>
      </c>
      <c r="B161" s="4" t="s">
        <v>341</v>
      </c>
      <c r="C161" s="14" t="s">
        <v>306</v>
      </c>
      <c r="D161" s="13">
        <v>1</v>
      </c>
      <c r="E161" s="13" t="s">
        <v>397</v>
      </c>
      <c r="F161" s="13">
        <v>1</v>
      </c>
      <c r="G161" s="22">
        <v>1</v>
      </c>
      <c r="H161" s="13">
        <v>1</v>
      </c>
      <c r="I161" s="4">
        <v>38</v>
      </c>
      <c r="J161" s="4">
        <v>41</v>
      </c>
      <c r="K161" s="4" t="s">
        <v>124</v>
      </c>
      <c r="L161" s="4" t="s">
        <v>13</v>
      </c>
      <c r="M161" s="4">
        <v>2024</v>
      </c>
      <c r="N161" s="4">
        <v>1</v>
      </c>
      <c r="O161" s="4">
        <v>1</v>
      </c>
      <c r="P161" s="4"/>
    </row>
    <row r="162" spans="1:16">
      <c r="A162" s="4" t="s">
        <v>313</v>
      </c>
      <c r="B162" s="4" t="s">
        <v>342</v>
      </c>
      <c r="C162" s="14" t="s">
        <v>344</v>
      </c>
      <c r="D162" s="13">
        <v>0</v>
      </c>
      <c r="F162" s="13">
        <v>1</v>
      </c>
      <c r="G162" s="22">
        <v>0</v>
      </c>
      <c r="H162" s="13">
        <v>1</v>
      </c>
      <c r="I162" s="4">
        <v>39</v>
      </c>
      <c r="J162" s="4">
        <v>41</v>
      </c>
      <c r="K162" s="4" t="s">
        <v>124</v>
      </c>
      <c r="L162" s="4" t="s">
        <v>13</v>
      </c>
      <c r="M162" s="4">
        <v>2024</v>
      </c>
      <c r="N162" s="4">
        <v>1</v>
      </c>
      <c r="O162" s="4">
        <v>1</v>
      </c>
      <c r="P162" s="4"/>
    </row>
    <row r="163" spans="1:16">
      <c r="A163" s="4" t="s">
        <v>313</v>
      </c>
      <c r="B163" s="4" t="s">
        <v>343</v>
      </c>
      <c r="C163" s="14" t="s">
        <v>310</v>
      </c>
      <c r="D163" s="13">
        <v>0</v>
      </c>
      <c r="F163" s="13">
        <v>1</v>
      </c>
      <c r="G163" s="22">
        <v>0</v>
      </c>
      <c r="H163" s="13">
        <v>1</v>
      </c>
      <c r="I163" s="4">
        <v>40</v>
      </c>
      <c r="J163" s="4">
        <v>41</v>
      </c>
      <c r="K163" s="4" t="s">
        <v>124</v>
      </c>
      <c r="L163" s="4" t="s">
        <v>13</v>
      </c>
      <c r="M163" s="4">
        <v>2024</v>
      </c>
      <c r="N163" s="4">
        <v>1</v>
      </c>
      <c r="O163" s="4">
        <v>1</v>
      </c>
      <c r="P163" s="4"/>
    </row>
    <row r="164" spans="1:16">
      <c r="A164" s="4" t="s">
        <v>313</v>
      </c>
      <c r="B164" s="4" t="s">
        <v>345</v>
      </c>
      <c r="C164" s="14" t="s">
        <v>346</v>
      </c>
      <c r="D164" s="13">
        <v>0</v>
      </c>
      <c r="F164" s="13">
        <v>1</v>
      </c>
      <c r="G164" s="22">
        <v>0</v>
      </c>
      <c r="H164" s="13">
        <v>1</v>
      </c>
      <c r="I164" s="4">
        <v>41</v>
      </c>
      <c r="J164" s="4">
        <v>41</v>
      </c>
      <c r="K164" s="4" t="s">
        <v>124</v>
      </c>
      <c r="L164" s="4" t="s">
        <v>13</v>
      </c>
      <c r="M164" s="4">
        <v>2024</v>
      </c>
      <c r="N164" s="4">
        <v>1</v>
      </c>
      <c r="O164" s="4">
        <v>1</v>
      </c>
      <c r="P164" s="4"/>
    </row>
    <row r="165" spans="1:16">
      <c r="A165" s="4" t="s">
        <v>347</v>
      </c>
      <c r="B165" s="4" t="s">
        <v>348</v>
      </c>
      <c r="C165" s="9" t="s">
        <v>349</v>
      </c>
      <c r="D165" s="13">
        <v>0</v>
      </c>
      <c r="F165" s="13">
        <v>1</v>
      </c>
      <c r="G165" s="22">
        <v>0</v>
      </c>
      <c r="H165" s="13">
        <v>1</v>
      </c>
      <c r="I165" s="4">
        <v>1</v>
      </c>
      <c r="J165" s="4">
        <v>46</v>
      </c>
      <c r="K165" s="4" t="s">
        <v>124</v>
      </c>
      <c r="L165" s="4" t="s">
        <v>13</v>
      </c>
      <c r="M165" s="4">
        <v>2025</v>
      </c>
      <c r="N165" s="4">
        <v>1</v>
      </c>
      <c r="O165" s="4">
        <v>1</v>
      </c>
      <c r="P165" s="4"/>
    </row>
    <row r="166" spans="1:16">
      <c r="A166" s="4" t="s">
        <v>347</v>
      </c>
      <c r="B166" s="4" t="s">
        <v>350</v>
      </c>
      <c r="C166" s="14" t="s">
        <v>351</v>
      </c>
      <c r="D166" s="13">
        <v>0</v>
      </c>
      <c r="F166" s="13">
        <v>1</v>
      </c>
      <c r="G166" s="22">
        <v>0</v>
      </c>
      <c r="H166" s="13">
        <v>1</v>
      </c>
      <c r="I166" s="4">
        <v>2</v>
      </c>
      <c r="J166" s="4">
        <v>46</v>
      </c>
      <c r="K166" s="4" t="s">
        <v>124</v>
      </c>
      <c r="L166" s="4" t="s">
        <v>13</v>
      </c>
      <c r="M166" s="4">
        <v>2025</v>
      </c>
      <c r="N166" s="4">
        <v>1</v>
      </c>
      <c r="O166" s="4">
        <v>1</v>
      </c>
      <c r="P166" s="4"/>
    </row>
    <row r="167" spans="1:16">
      <c r="A167" s="4" t="s">
        <v>347</v>
      </c>
      <c r="B167" s="4" t="s">
        <v>352</v>
      </c>
      <c r="C167" s="14" t="s">
        <v>353</v>
      </c>
      <c r="D167" s="13">
        <v>0</v>
      </c>
      <c r="F167" s="13">
        <v>1</v>
      </c>
      <c r="G167" s="22">
        <v>0</v>
      </c>
      <c r="H167" s="13">
        <v>1</v>
      </c>
      <c r="I167" s="4">
        <v>3</v>
      </c>
      <c r="J167" s="4">
        <v>46</v>
      </c>
      <c r="K167" s="4" t="s">
        <v>124</v>
      </c>
      <c r="L167" s="4" t="s">
        <v>13</v>
      </c>
      <c r="M167" s="4">
        <v>2025</v>
      </c>
      <c r="N167" s="4">
        <v>1</v>
      </c>
      <c r="O167" s="4">
        <v>1</v>
      </c>
      <c r="P167" s="4"/>
    </row>
    <row r="168" spans="1:16">
      <c r="A168" s="4" t="s">
        <v>347</v>
      </c>
      <c r="B168" s="4" t="s">
        <v>354</v>
      </c>
      <c r="C168" s="14" t="s">
        <v>355</v>
      </c>
      <c r="D168" s="13">
        <v>1</v>
      </c>
      <c r="E168" s="13" t="s">
        <v>399</v>
      </c>
      <c r="F168" s="13">
        <v>1</v>
      </c>
      <c r="G168" s="22">
        <v>1</v>
      </c>
      <c r="H168" s="20">
        <v>1</v>
      </c>
      <c r="I168" s="4">
        <v>4</v>
      </c>
      <c r="J168" s="4">
        <v>46</v>
      </c>
      <c r="K168" s="4" t="s">
        <v>124</v>
      </c>
      <c r="L168" s="4" t="s">
        <v>13</v>
      </c>
      <c r="M168" s="4">
        <v>2025</v>
      </c>
      <c r="N168" s="4">
        <v>1</v>
      </c>
      <c r="O168" s="4">
        <v>1</v>
      </c>
      <c r="P168" s="4"/>
    </row>
    <row r="169" spans="1:16">
      <c r="A169" s="4" t="s">
        <v>347</v>
      </c>
      <c r="B169" s="4" t="s">
        <v>356</v>
      </c>
      <c r="C169" s="14" t="s">
        <v>357</v>
      </c>
      <c r="D169" s="13">
        <v>1</v>
      </c>
      <c r="E169" s="13" t="s">
        <v>397</v>
      </c>
      <c r="F169" s="13">
        <v>1</v>
      </c>
      <c r="G169" s="22">
        <v>0</v>
      </c>
      <c r="H169" s="13">
        <v>1</v>
      </c>
      <c r="I169" s="4">
        <v>5</v>
      </c>
      <c r="J169" s="4">
        <v>46</v>
      </c>
      <c r="K169" s="4" t="s">
        <v>124</v>
      </c>
      <c r="L169" s="4" t="s">
        <v>13</v>
      </c>
      <c r="M169" s="4">
        <v>2025</v>
      </c>
      <c r="N169" s="4">
        <v>1</v>
      </c>
      <c r="O169" s="4">
        <v>1</v>
      </c>
      <c r="P169" s="4"/>
    </row>
    <row r="170" spans="1:16">
      <c r="A170" s="4" t="s">
        <v>347</v>
      </c>
      <c r="B170" s="4" t="s">
        <v>358</v>
      </c>
      <c r="C170" s="14" t="s">
        <v>359</v>
      </c>
      <c r="D170" s="13">
        <v>1</v>
      </c>
      <c r="E170" s="13" t="s">
        <v>399</v>
      </c>
      <c r="F170" s="13">
        <v>1</v>
      </c>
      <c r="G170" s="22">
        <v>0</v>
      </c>
      <c r="H170" s="13">
        <v>1</v>
      </c>
      <c r="I170" s="4">
        <v>6</v>
      </c>
      <c r="J170" s="4">
        <v>46</v>
      </c>
      <c r="K170" s="4" t="s">
        <v>124</v>
      </c>
      <c r="L170" s="4" t="s">
        <v>13</v>
      </c>
      <c r="M170" s="4">
        <v>2025</v>
      </c>
      <c r="N170" s="4">
        <v>1</v>
      </c>
      <c r="O170" s="4">
        <v>1</v>
      </c>
      <c r="P170" s="4"/>
    </row>
    <row r="171" spans="1:16">
      <c r="A171" s="4" t="s">
        <v>347</v>
      </c>
      <c r="B171" s="4" t="s">
        <v>360</v>
      </c>
      <c r="C171" s="14" t="s">
        <v>361</v>
      </c>
      <c r="D171" s="13">
        <v>1</v>
      </c>
      <c r="E171" s="13" t="s">
        <v>399</v>
      </c>
      <c r="F171" s="13">
        <v>1</v>
      </c>
      <c r="G171" s="22">
        <v>0</v>
      </c>
      <c r="H171" s="13">
        <v>1</v>
      </c>
      <c r="I171" s="4">
        <v>7</v>
      </c>
      <c r="J171" s="4">
        <v>46</v>
      </c>
      <c r="K171" s="4" t="s">
        <v>124</v>
      </c>
      <c r="L171" s="4" t="s">
        <v>13</v>
      </c>
      <c r="M171" s="4">
        <v>2025</v>
      </c>
      <c r="N171" s="4">
        <v>1</v>
      </c>
      <c r="O171" s="4">
        <v>1</v>
      </c>
      <c r="P171" s="4"/>
    </row>
    <row r="172" spans="1:16">
      <c r="A172" s="4" t="s">
        <v>347</v>
      </c>
      <c r="B172" s="4" t="s">
        <v>362</v>
      </c>
      <c r="C172" s="9" t="s">
        <v>363</v>
      </c>
      <c r="D172" s="13">
        <v>1</v>
      </c>
      <c r="E172" s="13" t="s">
        <v>397</v>
      </c>
      <c r="F172" s="13">
        <v>1</v>
      </c>
      <c r="G172" s="22">
        <v>0</v>
      </c>
      <c r="H172" s="13">
        <v>1</v>
      </c>
      <c r="I172" s="4">
        <v>16</v>
      </c>
      <c r="J172" s="4">
        <v>46</v>
      </c>
      <c r="K172" s="4" t="s">
        <v>124</v>
      </c>
      <c r="L172" s="4" t="s">
        <v>13</v>
      </c>
      <c r="M172" s="4">
        <v>2025</v>
      </c>
      <c r="N172" s="4">
        <v>1</v>
      </c>
      <c r="O172" s="4">
        <v>1</v>
      </c>
      <c r="P172" s="4"/>
    </row>
    <row r="173" spans="1:16">
      <c r="A173" s="4" t="s">
        <v>347</v>
      </c>
      <c r="B173" s="4" t="s">
        <v>364</v>
      </c>
      <c r="C173" s="9" t="s">
        <v>365</v>
      </c>
      <c r="D173" s="13">
        <v>1</v>
      </c>
      <c r="E173" s="13" t="s">
        <v>397</v>
      </c>
      <c r="F173" s="13">
        <v>1</v>
      </c>
      <c r="G173" s="22">
        <v>0</v>
      </c>
      <c r="H173" s="13">
        <v>1</v>
      </c>
      <c r="I173" s="4">
        <v>18</v>
      </c>
      <c r="J173" s="4">
        <v>46</v>
      </c>
      <c r="K173" s="4" t="s">
        <v>124</v>
      </c>
      <c r="L173" s="4" t="s">
        <v>13</v>
      </c>
      <c r="M173" s="4">
        <v>2025</v>
      </c>
      <c r="N173" s="4">
        <v>1</v>
      </c>
      <c r="O173" s="4">
        <v>1</v>
      </c>
      <c r="P173" s="4"/>
    </row>
    <row r="174" spans="1:16">
      <c r="A174" s="4" t="s">
        <v>347</v>
      </c>
      <c r="B174" s="4" t="s">
        <v>366</v>
      </c>
      <c r="C174" s="9" t="s">
        <v>367</v>
      </c>
      <c r="D174" s="13">
        <v>1</v>
      </c>
      <c r="E174" s="13" t="s">
        <v>399</v>
      </c>
      <c r="F174" s="13">
        <v>1</v>
      </c>
      <c r="G174" s="22">
        <v>0</v>
      </c>
      <c r="H174" s="20">
        <v>2</v>
      </c>
      <c r="I174" s="4">
        <v>23</v>
      </c>
      <c r="J174" s="4">
        <v>46</v>
      </c>
      <c r="K174" s="4" t="s">
        <v>124</v>
      </c>
      <c r="L174" s="4" t="s">
        <v>13</v>
      </c>
      <c r="M174" s="4">
        <v>2025</v>
      </c>
      <c r="N174" s="4">
        <v>1</v>
      </c>
      <c r="O174" s="4">
        <v>1</v>
      </c>
      <c r="P174" s="4"/>
    </row>
    <row r="175" spans="1:16">
      <c r="A175" s="4" t="s">
        <v>347</v>
      </c>
      <c r="B175" s="4" t="s">
        <v>368</v>
      </c>
      <c r="C175" s="9" t="s">
        <v>369</v>
      </c>
      <c r="D175" s="13">
        <v>1</v>
      </c>
      <c r="E175" s="13" t="s">
        <v>399</v>
      </c>
      <c r="F175" s="13">
        <v>1</v>
      </c>
      <c r="G175" s="22">
        <v>1</v>
      </c>
      <c r="H175" s="13">
        <v>1</v>
      </c>
      <c r="I175" s="4">
        <v>26</v>
      </c>
      <c r="J175" s="4">
        <v>46</v>
      </c>
      <c r="K175" s="4" t="s">
        <v>124</v>
      </c>
      <c r="L175" s="4" t="s">
        <v>13</v>
      </c>
      <c r="M175" s="4">
        <v>2025</v>
      </c>
      <c r="N175" s="4">
        <v>1</v>
      </c>
      <c r="O175" s="4">
        <v>1</v>
      </c>
      <c r="P175" s="4"/>
    </row>
    <row r="176" spans="1:16">
      <c r="A176" s="4" t="s">
        <v>347</v>
      </c>
      <c r="B176" s="4" t="s">
        <v>370</v>
      </c>
      <c r="C176" s="9" t="s">
        <v>371</v>
      </c>
      <c r="D176" s="13">
        <v>1</v>
      </c>
      <c r="E176" s="13" t="s">
        <v>399</v>
      </c>
      <c r="F176" s="13">
        <v>1</v>
      </c>
      <c r="G176" s="22">
        <v>0</v>
      </c>
      <c r="H176" s="20">
        <v>2</v>
      </c>
      <c r="I176" s="4">
        <v>28</v>
      </c>
      <c r="J176" s="4">
        <v>46</v>
      </c>
      <c r="K176" s="4" t="s">
        <v>124</v>
      </c>
      <c r="L176" s="4" t="s">
        <v>13</v>
      </c>
      <c r="M176" s="4">
        <v>2025</v>
      </c>
      <c r="N176" s="4">
        <v>1</v>
      </c>
      <c r="O176" s="4">
        <v>1</v>
      </c>
      <c r="P176" s="4"/>
    </row>
    <row r="177" spans="1:16">
      <c r="A177" s="4" t="s">
        <v>347</v>
      </c>
      <c r="B177" s="4" t="s">
        <v>372</v>
      </c>
      <c r="C177" s="9" t="s">
        <v>373</v>
      </c>
      <c r="D177" s="13">
        <v>1</v>
      </c>
      <c r="E177" s="13" t="s">
        <v>399</v>
      </c>
      <c r="F177" s="13">
        <v>1</v>
      </c>
      <c r="G177" s="22">
        <v>0</v>
      </c>
      <c r="H177" s="13">
        <v>1</v>
      </c>
      <c r="I177" s="4">
        <v>30</v>
      </c>
      <c r="J177" s="4">
        <v>46</v>
      </c>
      <c r="K177" s="4" t="s">
        <v>124</v>
      </c>
      <c r="L177" s="4" t="s">
        <v>13</v>
      </c>
      <c r="M177" s="4">
        <v>2025</v>
      </c>
      <c r="N177" s="4">
        <v>1</v>
      </c>
      <c r="O177" s="4">
        <v>1</v>
      </c>
      <c r="P177" s="4"/>
    </row>
    <row r="178" spans="1:16">
      <c r="A178" s="4" t="s">
        <v>347</v>
      </c>
      <c r="B178" s="4" t="s">
        <v>374</v>
      </c>
      <c r="C178" s="9" t="s">
        <v>375</v>
      </c>
      <c r="D178" s="13">
        <v>1</v>
      </c>
      <c r="E178" s="13" t="s">
        <v>397</v>
      </c>
      <c r="F178" s="13">
        <v>1</v>
      </c>
      <c r="G178" s="22">
        <v>0</v>
      </c>
      <c r="H178" s="13">
        <v>1</v>
      </c>
      <c r="I178" s="4">
        <v>35</v>
      </c>
      <c r="J178" s="4">
        <v>46</v>
      </c>
      <c r="K178" s="4" t="s">
        <v>124</v>
      </c>
      <c r="L178" s="4" t="s">
        <v>13</v>
      </c>
      <c r="M178" s="4">
        <v>2025</v>
      </c>
      <c r="N178" s="4">
        <v>1</v>
      </c>
      <c r="O178" s="4">
        <v>1</v>
      </c>
      <c r="P178" s="4"/>
    </row>
    <row r="179" spans="1:16">
      <c r="A179" s="4" t="s">
        <v>347</v>
      </c>
      <c r="B179" s="4" t="s">
        <v>376</v>
      </c>
      <c r="C179" s="9" t="s">
        <v>377</v>
      </c>
      <c r="D179" s="13">
        <v>1</v>
      </c>
      <c r="E179" s="13" t="s">
        <v>399</v>
      </c>
      <c r="F179" s="13">
        <v>1</v>
      </c>
      <c r="G179" s="22">
        <v>0</v>
      </c>
      <c r="H179" s="13">
        <v>1</v>
      </c>
      <c r="I179" s="4">
        <v>36</v>
      </c>
      <c r="J179" s="4">
        <v>46</v>
      </c>
      <c r="K179" s="4" t="s">
        <v>124</v>
      </c>
      <c r="L179" s="4" t="s">
        <v>13</v>
      </c>
      <c r="M179" s="4">
        <v>2025</v>
      </c>
      <c r="N179" s="4">
        <v>1</v>
      </c>
      <c r="O179" s="4">
        <v>1</v>
      </c>
      <c r="P179" s="4"/>
    </row>
    <row r="180" spans="1:16">
      <c r="A180" s="4" t="s">
        <v>347</v>
      </c>
      <c r="B180" s="4" t="s">
        <v>378</v>
      </c>
      <c r="C180" s="9" t="s">
        <v>379</v>
      </c>
      <c r="D180" s="13">
        <v>1</v>
      </c>
      <c r="E180" s="13" t="s">
        <v>399</v>
      </c>
      <c r="F180" s="13">
        <v>1</v>
      </c>
      <c r="G180" s="22">
        <v>0</v>
      </c>
      <c r="H180" s="13">
        <v>1</v>
      </c>
      <c r="I180" s="4">
        <v>37</v>
      </c>
      <c r="J180" s="4">
        <v>46</v>
      </c>
      <c r="K180" s="4" t="s">
        <v>124</v>
      </c>
      <c r="L180" s="4" t="s">
        <v>13</v>
      </c>
      <c r="M180" s="4">
        <v>2025</v>
      </c>
      <c r="N180" s="4">
        <v>1</v>
      </c>
      <c r="O180" s="4">
        <v>1</v>
      </c>
      <c r="P180" s="4"/>
    </row>
    <row r="181" spans="1:16">
      <c r="A181" s="4" t="s">
        <v>347</v>
      </c>
      <c r="B181" s="4" t="s">
        <v>380</v>
      </c>
      <c r="C181" s="9" t="s">
        <v>381</v>
      </c>
      <c r="D181" s="13">
        <v>1</v>
      </c>
      <c r="E181" s="13" t="s">
        <v>397</v>
      </c>
      <c r="F181" s="13">
        <v>1</v>
      </c>
      <c r="G181" s="22">
        <v>0</v>
      </c>
      <c r="H181" s="13">
        <v>1</v>
      </c>
      <c r="I181" s="4">
        <v>38</v>
      </c>
      <c r="J181" s="4">
        <v>46</v>
      </c>
      <c r="K181" s="4" t="s">
        <v>124</v>
      </c>
      <c r="L181" s="4" t="s">
        <v>13</v>
      </c>
      <c r="M181" s="4">
        <v>2025</v>
      </c>
      <c r="N181" s="4">
        <v>1</v>
      </c>
      <c r="O181" s="4">
        <v>1</v>
      </c>
      <c r="P181" s="4"/>
    </row>
    <row r="182" spans="1:16" ht="30" customHeight="1">
      <c r="A182" s="4" t="s">
        <v>347</v>
      </c>
      <c r="B182" s="4" t="s">
        <v>385</v>
      </c>
      <c r="C182" s="9" t="s">
        <v>382</v>
      </c>
      <c r="D182" s="13">
        <v>1</v>
      </c>
      <c r="E182" s="13" t="s">
        <v>397</v>
      </c>
      <c r="F182" s="13">
        <v>1</v>
      </c>
      <c r="G182" s="22">
        <v>1</v>
      </c>
      <c r="H182" s="20">
        <v>1</v>
      </c>
      <c r="I182" s="4">
        <v>43</v>
      </c>
      <c r="J182" s="4">
        <v>46</v>
      </c>
      <c r="K182" s="4" t="s">
        <v>124</v>
      </c>
      <c r="L182" s="4" t="s">
        <v>13</v>
      </c>
      <c r="M182" s="4">
        <v>2025</v>
      </c>
      <c r="N182" s="4">
        <v>1</v>
      </c>
      <c r="O182" s="4">
        <v>1</v>
      </c>
      <c r="P182" s="4"/>
    </row>
    <row r="183" spans="1:16">
      <c r="A183" s="4" t="s">
        <v>347</v>
      </c>
      <c r="B183" s="4" t="s">
        <v>388</v>
      </c>
      <c r="C183" s="9" t="s">
        <v>383</v>
      </c>
      <c r="D183" s="13">
        <v>0</v>
      </c>
      <c r="F183" s="13">
        <v>1</v>
      </c>
      <c r="G183" s="22">
        <v>0</v>
      </c>
      <c r="H183" s="13">
        <v>1</v>
      </c>
      <c r="I183" s="4">
        <v>44</v>
      </c>
      <c r="J183" s="4">
        <v>46</v>
      </c>
      <c r="K183" s="4" t="s">
        <v>124</v>
      </c>
      <c r="L183" s="4" t="s">
        <v>13</v>
      </c>
      <c r="M183" s="4">
        <v>2025</v>
      </c>
      <c r="N183" s="4">
        <v>1</v>
      </c>
      <c r="O183" s="4">
        <v>1</v>
      </c>
      <c r="P183" s="4"/>
    </row>
    <row r="184" spans="1:16">
      <c r="A184" s="4" t="s">
        <v>347</v>
      </c>
      <c r="B184" s="4" t="s">
        <v>389</v>
      </c>
      <c r="C184" s="9" t="s">
        <v>384</v>
      </c>
      <c r="D184" s="13">
        <v>0</v>
      </c>
      <c r="F184" s="13">
        <v>1</v>
      </c>
      <c r="G184" s="22">
        <v>0</v>
      </c>
      <c r="H184" s="13">
        <v>1</v>
      </c>
      <c r="I184" s="4">
        <v>45</v>
      </c>
      <c r="J184" s="4">
        <v>46</v>
      </c>
      <c r="K184" s="4" t="s">
        <v>124</v>
      </c>
      <c r="L184" s="4" t="s">
        <v>13</v>
      </c>
      <c r="M184" s="4">
        <v>2025</v>
      </c>
      <c r="N184" s="4">
        <v>1</v>
      </c>
      <c r="O184" s="4">
        <v>1</v>
      </c>
      <c r="P184" s="4"/>
    </row>
    <row r="185" spans="1:16">
      <c r="A185" s="4" t="s">
        <v>347</v>
      </c>
      <c r="B185" s="4" t="s">
        <v>390</v>
      </c>
      <c r="C185" s="9" t="s">
        <v>386</v>
      </c>
      <c r="D185" s="13">
        <v>0</v>
      </c>
      <c r="F185" s="13">
        <v>1</v>
      </c>
      <c r="G185" s="22">
        <v>0</v>
      </c>
      <c r="H185" s="13">
        <v>1</v>
      </c>
      <c r="I185" s="4">
        <v>46</v>
      </c>
      <c r="J185" s="4">
        <v>46</v>
      </c>
      <c r="K185" s="4" t="s">
        <v>124</v>
      </c>
      <c r="L185" s="4" t="s">
        <v>13</v>
      </c>
      <c r="M185" s="4">
        <v>2025</v>
      </c>
      <c r="N185" s="4">
        <v>1</v>
      </c>
      <c r="O185" s="4">
        <v>1</v>
      </c>
      <c r="P185" s="4"/>
    </row>
    <row r="186" spans="1:16">
      <c r="A186" s="4" t="s">
        <v>414</v>
      </c>
      <c r="B186" s="4" t="s">
        <v>416</v>
      </c>
      <c r="C186" s="9" t="s">
        <v>417</v>
      </c>
      <c r="D186" s="13">
        <v>0</v>
      </c>
      <c r="F186" s="13">
        <v>1</v>
      </c>
      <c r="G186" s="23">
        <v>0</v>
      </c>
      <c r="H186" s="13">
        <v>1</v>
      </c>
      <c r="I186" s="4">
        <v>5</v>
      </c>
      <c r="J186" s="4">
        <v>11</v>
      </c>
      <c r="K186" s="4" t="s">
        <v>415</v>
      </c>
      <c r="L186" s="4" t="s">
        <v>13</v>
      </c>
      <c r="M186" s="4">
        <v>2019</v>
      </c>
      <c r="N186" s="4">
        <v>1</v>
      </c>
      <c r="O186" s="4">
        <v>1</v>
      </c>
    </row>
    <row r="187" spans="1:16">
      <c r="A187" s="4" t="s">
        <v>414</v>
      </c>
      <c r="B187" s="4" t="s">
        <v>418</v>
      </c>
      <c r="C187" s="9" t="s">
        <v>419</v>
      </c>
      <c r="D187" s="13">
        <v>0</v>
      </c>
      <c r="F187" s="13">
        <v>1</v>
      </c>
      <c r="G187" s="23">
        <v>0</v>
      </c>
      <c r="I187" s="4">
        <v>6</v>
      </c>
      <c r="J187" s="4">
        <v>11</v>
      </c>
      <c r="K187" s="4" t="s">
        <v>415</v>
      </c>
      <c r="L187" s="4" t="s">
        <v>13</v>
      </c>
      <c r="M187" s="4">
        <v>2019</v>
      </c>
      <c r="N187" s="4">
        <v>1</v>
      </c>
      <c r="O187" s="4">
        <v>1</v>
      </c>
    </row>
    <row r="188" spans="1:16" ht="17" customHeight="1">
      <c r="A188" s="4" t="s">
        <v>414</v>
      </c>
      <c r="B188" s="4" t="s">
        <v>472</v>
      </c>
      <c r="C188" s="9" t="s">
        <v>475</v>
      </c>
      <c r="F188" s="13">
        <v>1</v>
      </c>
      <c r="G188" s="23">
        <v>1</v>
      </c>
      <c r="I188" s="4">
        <v>8</v>
      </c>
      <c r="J188" s="4">
        <v>11</v>
      </c>
      <c r="K188" s="4" t="s">
        <v>415</v>
      </c>
      <c r="L188" s="4" t="s">
        <v>13</v>
      </c>
      <c r="M188" s="4">
        <v>2019</v>
      </c>
      <c r="N188" s="4">
        <v>1</v>
      </c>
      <c r="O188" s="4">
        <v>1</v>
      </c>
    </row>
    <row r="189" spans="1:16" ht="17" customHeight="1">
      <c r="A189" s="4" t="s">
        <v>414</v>
      </c>
      <c r="B189" s="4" t="s">
        <v>473</v>
      </c>
      <c r="C189" s="9" t="s">
        <v>474</v>
      </c>
      <c r="F189" s="13">
        <v>1</v>
      </c>
      <c r="G189" s="23">
        <v>1</v>
      </c>
      <c r="I189" s="4">
        <v>9</v>
      </c>
      <c r="J189" s="4">
        <v>11</v>
      </c>
      <c r="K189" s="4" t="s">
        <v>415</v>
      </c>
      <c r="L189" s="4" t="s">
        <v>13</v>
      </c>
      <c r="M189" s="4">
        <v>2019</v>
      </c>
      <c r="N189" s="4">
        <v>1</v>
      </c>
      <c r="O189" s="4">
        <v>1</v>
      </c>
    </row>
    <row r="190" spans="1:16">
      <c r="A190" s="4" t="s">
        <v>414</v>
      </c>
      <c r="B190" s="4" t="s">
        <v>476</v>
      </c>
      <c r="C190" s="9" t="s">
        <v>477</v>
      </c>
      <c r="F190" s="13">
        <v>1</v>
      </c>
      <c r="G190" s="23">
        <v>0</v>
      </c>
      <c r="I190" s="4">
        <v>10</v>
      </c>
      <c r="J190" s="4">
        <v>11</v>
      </c>
      <c r="K190" s="4" t="s">
        <v>415</v>
      </c>
      <c r="L190" s="4" t="s">
        <v>13</v>
      </c>
      <c r="M190" s="4">
        <v>2019</v>
      </c>
      <c r="N190" s="4">
        <v>1</v>
      </c>
      <c r="O190" s="4">
        <v>1</v>
      </c>
    </row>
    <row r="191" spans="1:16">
      <c r="A191" s="4" t="s">
        <v>420</v>
      </c>
      <c r="B191" s="4" t="s">
        <v>421</v>
      </c>
      <c r="C191" s="9" t="s">
        <v>422</v>
      </c>
      <c r="D191" s="13">
        <v>0</v>
      </c>
      <c r="F191" s="13">
        <v>1</v>
      </c>
      <c r="G191" s="23">
        <v>1</v>
      </c>
      <c r="I191" s="4">
        <v>1</v>
      </c>
      <c r="J191" s="4">
        <v>15</v>
      </c>
      <c r="K191" s="4" t="s">
        <v>415</v>
      </c>
      <c r="L191" s="4" t="s">
        <v>13</v>
      </c>
      <c r="M191" s="4">
        <v>2025</v>
      </c>
      <c r="N191" s="4">
        <v>1</v>
      </c>
      <c r="O191" s="4">
        <v>1</v>
      </c>
    </row>
    <row r="192" spans="1:16">
      <c r="A192" s="4" t="s">
        <v>420</v>
      </c>
      <c r="B192" s="4" t="s">
        <v>423</v>
      </c>
      <c r="C192" s="9" t="s">
        <v>424</v>
      </c>
      <c r="D192" s="13">
        <v>0</v>
      </c>
      <c r="F192" s="13">
        <v>1</v>
      </c>
      <c r="G192" s="23">
        <v>0</v>
      </c>
      <c r="I192" s="4">
        <v>2</v>
      </c>
      <c r="J192" s="4">
        <v>15</v>
      </c>
      <c r="K192" s="4" t="s">
        <v>415</v>
      </c>
      <c r="L192" s="4" t="s">
        <v>13</v>
      </c>
      <c r="M192" s="4">
        <v>2025</v>
      </c>
      <c r="N192" s="4">
        <v>1</v>
      </c>
      <c r="O192" s="4">
        <v>1</v>
      </c>
    </row>
    <row r="193" spans="1:15">
      <c r="A193" s="4" t="s">
        <v>420</v>
      </c>
      <c r="B193" s="4" t="s">
        <v>425</v>
      </c>
      <c r="C193" s="9" t="s">
        <v>426</v>
      </c>
      <c r="D193" s="13">
        <v>1</v>
      </c>
      <c r="E193" s="13" t="s">
        <v>399</v>
      </c>
      <c r="F193" s="13">
        <v>1</v>
      </c>
      <c r="G193" s="23">
        <v>1</v>
      </c>
      <c r="I193" s="4">
        <v>4</v>
      </c>
      <c r="J193" s="4">
        <v>15</v>
      </c>
      <c r="K193" s="4" t="s">
        <v>415</v>
      </c>
      <c r="L193" s="4" t="s">
        <v>13</v>
      </c>
      <c r="M193" s="4">
        <v>2025</v>
      </c>
      <c r="N193" s="4">
        <v>1</v>
      </c>
      <c r="O193" s="4">
        <v>1</v>
      </c>
    </row>
    <row r="194" spans="1:15">
      <c r="A194" s="4" t="s">
        <v>420</v>
      </c>
      <c r="B194" s="4" t="s">
        <v>427</v>
      </c>
      <c r="C194" s="9" t="s">
        <v>428</v>
      </c>
      <c r="D194" s="13">
        <v>1</v>
      </c>
      <c r="E194" s="13" t="s">
        <v>395</v>
      </c>
      <c r="F194" s="13">
        <v>1</v>
      </c>
      <c r="G194" s="23">
        <v>1</v>
      </c>
      <c r="I194" s="4">
        <v>5</v>
      </c>
      <c r="J194" s="4">
        <v>15</v>
      </c>
      <c r="K194" s="4" t="s">
        <v>415</v>
      </c>
      <c r="L194" s="4" t="s">
        <v>13</v>
      </c>
      <c r="M194" s="4">
        <v>2025</v>
      </c>
      <c r="N194" s="4">
        <v>1</v>
      </c>
      <c r="O194" s="4">
        <v>1</v>
      </c>
    </row>
    <row r="195" spans="1:15">
      <c r="A195" s="4" t="s">
        <v>420</v>
      </c>
      <c r="B195" s="4" t="s">
        <v>429</v>
      </c>
      <c r="C195" s="9" t="s">
        <v>430</v>
      </c>
      <c r="D195" s="13">
        <v>1</v>
      </c>
      <c r="E195" s="13" t="s">
        <v>399</v>
      </c>
      <c r="F195" s="13">
        <v>1</v>
      </c>
      <c r="G195" s="23">
        <v>1</v>
      </c>
      <c r="I195" s="4">
        <v>6</v>
      </c>
      <c r="J195" s="4">
        <v>15</v>
      </c>
      <c r="K195" s="4" t="s">
        <v>415</v>
      </c>
      <c r="L195" s="4" t="s">
        <v>13</v>
      </c>
      <c r="M195" s="4">
        <v>2025</v>
      </c>
      <c r="N195" s="4">
        <v>1</v>
      </c>
      <c r="O195" s="4">
        <v>1</v>
      </c>
    </row>
    <row r="196" spans="1:15">
      <c r="A196" s="4" t="s">
        <v>420</v>
      </c>
      <c r="B196" s="4" t="s">
        <v>431</v>
      </c>
      <c r="C196" s="9" t="s">
        <v>432</v>
      </c>
      <c r="D196" s="13">
        <v>1</v>
      </c>
      <c r="E196" s="13" t="s">
        <v>395</v>
      </c>
      <c r="F196" s="13">
        <v>1</v>
      </c>
      <c r="G196" s="23">
        <v>1</v>
      </c>
      <c r="I196" s="4">
        <v>7</v>
      </c>
      <c r="J196" s="4">
        <v>15</v>
      </c>
      <c r="K196" s="4" t="s">
        <v>415</v>
      </c>
      <c r="L196" s="4" t="s">
        <v>13</v>
      </c>
      <c r="M196" s="4">
        <v>2025</v>
      </c>
      <c r="N196" s="4">
        <v>1</v>
      </c>
      <c r="O196" s="4">
        <v>1</v>
      </c>
    </row>
    <row r="197" spans="1:15">
      <c r="A197" s="4" t="s">
        <v>420</v>
      </c>
      <c r="B197" s="4" t="s">
        <v>433</v>
      </c>
      <c r="C197" s="9" t="s">
        <v>434</v>
      </c>
      <c r="D197" s="13">
        <v>1</v>
      </c>
      <c r="E197" s="13" t="s">
        <v>395</v>
      </c>
      <c r="F197" s="13">
        <v>1</v>
      </c>
      <c r="G197" s="23">
        <v>1</v>
      </c>
      <c r="I197" s="4">
        <v>8</v>
      </c>
      <c r="J197" s="4">
        <v>15</v>
      </c>
      <c r="K197" s="4" t="s">
        <v>415</v>
      </c>
      <c r="L197" s="4" t="s">
        <v>13</v>
      </c>
      <c r="M197" s="4">
        <v>2025</v>
      </c>
      <c r="N197" s="4">
        <v>1</v>
      </c>
      <c r="O197" s="4">
        <v>1</v>
      </c>
    </row>
    <row r="198" spans="1:15">
      <c r="A198" s="4" t="s">
        <v>420</v>
      </c>
      <c r="B198" s="4" t="s">
        <v>435</v>
      </c>
      <c r="C198" s="9" t="s">
        <v>436</v>
      </c>
      <c r="D198" s="13">
        <v>1</v>
      </c>
      <c r="E198" s="13" t="s">
        <v>395</v>
      </c>
      <c r="F198" s="13">
        <v>1</v>
      </c>
      <c r="G198" s="23">
        <v>1</v>
      </c>
      <c r="I198" s="4">
        <v>9</v>
      </c>
      <c r="J198" s="4">
        <v>15</v>
      </c>
      <c r="K198" s="4" t="s">
        <v>415</v>
      </c>
      <c r="L198" s="4" t="s">
        <v>13</v>
      </c>
      <c r="M198" s="4">
        <v>2025</v>
      </c>
      <c r="N198" s="4">
        <v>1</v>
      </c>
      <c r="O198" s="4">
        <v>1</v>
      </c>
    </row>
    <row r="199" spans="1:15">
      <c r="A199" s="4" t="s">
        <v>420</v>
      </c>
      <c r="B199" s="4" t="s">
        <v>437</v>
      </c>
      <c r="C199" s="9" t="s">
        <v>438</v>
      </c>
      <c r="D199" s="13">
        <v>1</v>
      </c>
      <c r="E199" s="13" t="s">
        <v>399</v>
      </c>
      <c r="F199" s="13">
        <v>1</v>
      </c>
      <c r="G199" s="23">
        <v>1</v>
      </c>
      <c r="I199" s="4">
        <v>10</v>
      </c>
      <c r="J199" s="4">
        <v>15</v>
      </c>
      <c r="K199" s="4" t="s">
        <v>415</v>
      </c>
      <c r="L199" s="4" t="s">
        <v>13</v>
      </c>
      <c r="M199" s="4">
        <v>2025</v>
      </c>
      <c r="N199" s="4">
        <v>1</v>
      </c>
      <c r="O199" s="4">
        <v>1</v>
      </c>
    </row>
    <row r="200" spans="1:15">
      <c r="A200" s="4" t="s">
        <v>420</v>
      </c>
      <c r="B200" s="4" t="s">
        <v>439</v>
      </c>
      <c r="C200" s="9" t="s">
        <v>440</v>
      </c>
      <c r="D200" s="13">
        <v>1</v>
      </c>
      <c r="E200" s="13" t="s">
        <v>395</v>
      </c>
      <c r="F200" s="13">
        <v>1</v>
      </c>
      <c r="G200" s="23">
        <v>1</v>
      </c>
      <c r="I200" s="4">
        <v>11</v>
      </c>
      <c r="J200" s="4">
        <v>15</v>
      </c>
      <c r="K200" s="4" t="s">
        <v>415</v>
      </c>
      <c r="L200" s="4" t="s">
        <v>13</v>
      </c>
      <c r="M200" s="4">
        <v>2025</v>
      </c>
      <c r="N200" s="4">
        <v>1</v>
      </c>
      <c r="O200" s="4">
        <v>1</v>
      </c>
    </row>
    <row r="201" spans="1:15">
      <c r="A201" s="4" t="s">
        <v>420</v>
      </c>
      <c r="B201" s="4" t="s">
        <v>441</v>
      </c>
      <c r="C201" s="9" t="s">
        <v>442</v>
      </c>
      <c r="D201" s="13">
        <v>1</v>
      </c>
      <c r="E201" s="13" t="s">
        <v>443</v>
      </c>
      <c r="F201" s="13">
        <v>1</v>
      </c>
      <c r="G201" s="23">
        <v>1</v>
      </c>
      <c r="I201" s="4">
        <v>12</v>
      </c>
      <c r="J201" s="4">
        <v>15</v>
      </c>
      <c r="K201" s="4" t="s">
        <v>415</v>
      </c>
      <c r="L201" s="4" t="s">
        <v>13</v>
      </c>
      <c r="M201" s="4">
        <v>2025</v>
      </c>
      <c r="N201" s="4">
        <v>1</v>
      </c>
      <c r="O201" s="4">
        <v>1</v>
      </c>
    </row>
    <row r="202" spans="1:15">
      <c r="A202" s="4" t="s">
        <v>420</v>
      </c>
      <c r="B202" s="4" t="s">
        <v>444</v>
      </c>
      <c r="C202" s="9" t="s">
        <v>445</v>
      </c>
      <c r="D202" s="13">
        <v>1</v>
      </c>
      <c r="E202" s="13" t="s">
        <v>395</v>
      </c>
      <c r="F202" s="13">
        <v>1</v>
      </c>
      <c r="G202" s="23">
        <v>1</v>
      </c>
      <c r="I202" s="4">
        <v>13</v>
      </c>
      <c r="J202" s="4">
        <v>15</v>
      </c>
      <c r="K202" s="4" t="s">
        <v>415</v>
      </c>
      <c r="L202" s="4" t="s">
        <v>13</v>
      </c>
      <c r="M202" s="4">
        <v>2025</v>
      </c>
      <c r="N202" s="4">
        <v>1</v>
      </c>
      <c r="O202" s="4">
        <v>1</v>
      </c>
    </row>
    <row r="203" spans="1:15">
      <c r="A203" s="4" t="s">
        <v>420</v>
      </c>
      <c r="B203" s="4" t="s">
        <v>446</v>
      </c>
      <c r="C203" s="9" t="s">
        <v>447</v>
      </c>
      <c r="D203" s="13">
        <v>1</v>
      </c>
      <c r="E203" s="13" t="s">
        <v>399</v>
      </c>
      <c r="F203" s="13">
        <v>1</v>
      </c>
      <c r="G203" s="23">
        <v>1</v>
      </c>
      <c r="I203" s="4">
        <v>14</v>
      </c>
      <c r="J203" s="4">
        <v>15</v>
      </c>
      <c r="K203" s="4" t="s">
        <v>415</v>
      </c>
      <c r="L203" s="4" t="s">
        <v>13</v>
      </c>
      <c r="M203" s="4">
        <v>2025</v>
      </c>
      <c r="N203" s="4">
        <v>1</v>
      </c>
      <c r="O203" s="4">
        <v>1</v>
      </c>
    </row>
    <row r="204" spans="1:15">
      <c r="A204" s="4" t="s">
        <v>420</v>
      </c>
      <c r="B204" s="4" t="s">
        <v>448</v>
      </c>
      <c r="C204" s="9" t="s">
        <v>449</v>
      </c>
      <c r="D204" s="13">
        <v>1</v>
      </c>
      <c r="E204" s="13" t="s">
        <v>395</v>
      </c>
      <c r="F204" s="13">
        <v>1</v>
      </c>
      <c r="G204" s="23">
        <v>1</v>
      </c>
      <c r="I204" s="4">
        <v>15</v>
      </c>
      <c r="J204" s="4">
        <v>15</v>
      </c>
      <c r="K204" s="4" t="s">
        <v>415</v>
      </c>
      <c r="L204" s="4" t="s">
        <v>13</v>
      </c>
      <c r="M204" s="4">
        <v>2025</v>
      </c>
      <c r="N204" s="4">
        <v>1</v>
      </c>
      <c r="O204" s="4">
        <v>1</v>
      </c>
    </row>
    <row r="205" spans="1:15">
      <c r="A205" s="4" t="s">
        <v>450</v>
      </c>
      <c r="B205" s="4" t="s">
        <v>452</v>
      </c>
      <c r="C205" s="9" t="s">
        <v>453</v>
      </c>
      <c r="D205" s="13">
        <v>0</v>
      </c>
      <c r="F205" s="13">
        <v>1</v>
      </c>
      <c r="G205" s="23">
        <v>1</v>
      </c>
      <c r="I205" s="4">
        <v>2</v>
      </c>
      <c r="J205" s="4">
        <v>7</v>
      </c>
      <c r="K205" s="4" t="s">
        <v>451</v>
      </c>
      <c r="L205" s="4" t="s">
        <v>13</v>
      </c>
      <c r="M205" s="4">
        <v>2019</v>
      </c>
      <c r="N205" s="4">
        <v>1</v>
      </c>
      <c r="O205" s="4">
        <v>1</v>
      </c>
    </row>
    <row r="206" spans="1:15">
      <c r="A206" s="4" t="s">
        <v>450</v>
      </c>
      <c r="B206" s="4" t="s">
        <v>454</v>
      </c>
      <c r="C206" s="9" t="s">
        <v>455</v>
      </c>
      <c r="D206" s="13">
        <v>1</v>
      </c>
      <c r="E206" s="13" t="s">
        <v>397</v>
      </c>
      <c r="F206" s="13">
        <v>1</v>
      </c>
      <c r="G206" s="23">
        <v>1</v>
      </c>
      <c r="I206" s="4">
        <v>5</v>
      </c>
      <c r="J206" s="4">
        <v>7</v>
      </c>
      <c r="K206" s="4" t="s">
        <v>451</v>
      </c>
      <c r="L206" s="4" t="s">
        <v>13</v>
      </c>
      <c r="M206" s="4">
        <v>2019</v>
      </c>
      <c r="N206" s="4">
        <v>1</v>
      </c>
      <c r="O206" s="4">
        <v>1</v>
      </c>
    </row>
    <row r="207" spans="1:15">
      <c r="A207" s="4" t="s">
        <v>450</v>
      </c>
      <c r="B207" s="4" t="s">
        <v>456</v>
      </c>
      <c r="C207" s="9" t="s">
        <v>457</v>
      </c>
      <c r="D207" s="13">
        <v>1</v>
      </c>
      <c r="E207" s="13" t="s">
        <v>399</v>
      </c>
      <c r="F207" s="13">
        <v>1</v>
      </c>
      <c r="G207" s="23">
        <v>0</v>
      </c>
      <c r="I207" s="4">
        <v>7</v>
      </c>
      <c r="J207" s="4">
        <v>7</v>
      </c>
      <c r="K207" s="4" t="s">
        <v>451</v>
      </c>
      <c r="L207" s="4" t="s">
        <v>13</v>
      </c>
      <c r="M207" s="4">
        <v>2019</v>
      </c>
      <c r="N207" s="4">
        <v>1</v>
      </c>
      <c r="O207" s="4">
        <v>1</v>
      </c>
    </row>
    <row r="208" spans="1:15">
      <c r="A208" s="4" t="s">
        <v>458</v>
      </c>
      <c r="B208" s="4" t="s">
        <v>459</v>
      </c>
      <c r="C208" s="9" t="s">
        <v>460</v>
      </c>
      <c r="D208" s="13">
        <v>1</v>
      </c>
      <c r="E208" s="13" t="s">
        <v>399</v>
      </c>
      <c r="F208" s="13">
        <v>1</v>
      </c>
      <c r="G208" s="23">
        <v>0</v>
      </c>
      <c r="I208" s="4">
        <v>4</v>
      </c>
      <c r="J208" s="4">
        <v>5</v>
      </c>
      <c r="K208" s="4" t="s">
        <v>451</v>
      </c>
      <c r="L208" s="4" t="s">
        <v>13</v>
      </c>
      <c r="M208" s="4">
        <v>2020</v>
      </c>
      <c r="N208" s="4">
        <v>1</v>
      </c>
      <c r="O208" s="4">
        <v>1</v>
      </c>
    </row>
    <row r="209" spans="1:15">
      <c r="A209" s="4" t="s">
        <v>458</v>
      </c>
      <c r="B209" s="4" t="s">
        <v>461</v>
      </c>
      <c r="C209" s="9" t="s">
        <v>462</v>
      </c>
      <c r="D209" s="13">
        <v>1</v>
      </c>
      <c r="E209" s="13" t="s">
        <v>399</v>
      </c>
      <c r="F209" s="13">
        <v>1</v>
      </c>
      <c r="G209" s="23">
        <v>0</v>
      </c>
      <c r="I209" s="4">
        <v>5</v>
      </c>
      <c r="J209" s="4">
        <v>5</v>
      </c>
      <c r="K209" s="4" t="s">
        <v>451</v>
      </c>
      <c r="L209" s="4" t="s">
        <v>13</v>
      </c>
      <c r="M209" s="4">
        <v>2020</v>
      </c>
      <c r="N209" s="4">
        <v>1</v>
      </c>
      <c r="O209" s="4">
        <v>1</v>
      </c>
    </row>
    <row r="210" spans="1:15">
      <c r="A210" s="4" t="s">
        <v>463</v>
      </c>
      <c r="B210" s="4" t="s">
        <v>464</v>
      </c>
      <c r="C210" s="9" t="s">
        <v>465</v>
      </c>
      <c r="D210" s="13">
        <v>1</v>
      </c>
      <c r="E210" s="13" t="s">
        <v>399</v>
      </c>
      <c r="F210" s="13">
        <v>1</v>
      </c>
      <c r="G210" s="23">
        <v>1</v>
      </c>
      <c r="I210" s="4">
        <v>2</v>
      </c>
      <c r="J210" s="4">
        <v>8</v>
      </c>
      <c r="K210" s="4" t="s">
        <v>451</v>
      </c>
      <c r="L210" s="4" t="s">
        <v>13</v>
      </c>
      <c r="M210" s="4">
        <v>2021</v>
      </c>
      <c r="N210" s="4">
        <v>1</v>
      </c>
      <c r="O210" s="4">
        <v>1</v>
      </c>
    </row>
    <row r="211" spans="1:15">
      <c r="A211" s="4" t="s">
        <v>463</v>
      </c>
      <c r="B211" s="4" t="s">
        <v>466</v>
      </c>
      <c r="C211" s="9" t="s">
        <v>467</v>
      </c>
      <c r="D211" s="13">
        <v>1</v>
      </c>
      <c r="E211" s="13" t="s">
        <v>399</v>
      </c>
      <c r="F211" s="13">
        <v>1</v>
      </c>
      <c r="G211" s="23">
        <v>0</v>
      </c>
      <c r="I211" s="4">
        <v>4</v>
      </c>
      <c r="J211" s="4">
        <v>8</v>
      </c>
      <c r="K211" s="4" t="s">
        <v>451</v>
      </c>
      <c r="L211" s="4" t="s">
        <v>13</v>
      </c>
      <c r="M211" s="4">
        <v>2021</v>
      </c>
      <c r="N211" s="4">
        <v>1</v>
      </c>
      <c r="O211" s="4">
        <v>1</v>
      </c>
    </row>
    <row r="212" spans="1:15">
      <c r="A212" s="4" t="s">
        <v>463</v>
      </c>
      <c r="B212" s="4" t="s">
        <v>468</v>
      </c>
      <c r="C212" s="9" t="s">
        <v>469</v>
      </c>
      <c r="D212" s="13">
        <v>0</v>
      </c>
      <c r="F212" s="13">
        <v>1</v>
      </c>
      <c r="G212" s="23">
        <v>0</v>
      </c>
      <c r="I212" s="4">
        <v>6</v>
      </c>
      <c r="J212" s="4">
        <v>8</v>
      </c>
      <c r="K212" s="4" t="s">
        <v>451</v>
      </c>
      <c r="L212" s="4" t="s">
        <v>13</v>
      </c>
      <c r="M212" s="4">
        <v>2021</v>
      </c>
      <c r="N212" s="4">
        <v>1</v>
      </c>
      <c r="O212" s="4">
        <v>1</v>
      </c>
    </row>
    <row r="213" spans="1:15">
      <c r="A213" s="4" t="s">
        <v>463</v>
      </c>
      <c r="B213" s="4" t="s">
        <v>470</v>
      </c>
      <c r="C213" s="9" t="s">
        <v>471</v>
      </c>
      <c r="D213" s="13">
        <v>1</v>
      </c>
      <c r="E213" s="13" t="s">
        <v>397</v>
      </c>
      <c r="F213" s="13">
        <v>1</v>
      </c>
      <c r="G213" s="23">
        <v>0</v>
      </c>
      <c r="I213" s="4">
        <v>7</v>
      </c>
      <c r="J213" s="4">
        <v>8</v>
      </c>
      <c r="K213" s="4" t="s">
        <v>451</v>
      </c>
      <c r="L213" s="4" t="s">
        <v>13</v>
      </c>
      <c r="M213" s="4">
        <v>2021</v>
      </c>
      <c r="N213" s="4">
        <v>1</v>
      </c>
      <c r="O213" s="4">
        <v>1</v>
      </c>
    </row>
    <row r="214" spans="1:15">
      <c r="A214" s="4" t="s">
        <v>478</v>
      </c>
      <c r="B214" s="4" t="s">
        <v>479</v>
      </c>
      <c r="C214" t="s">
        <v>480</v>
      </c>
      <c r="F214" s="13">
        <v>1</v>
      </c>
      <c r="G214" s="23">
        <v>0</v>
      </c>
      <c r="I214" s="4">
        <v>1</v>
      </c>
      <c r="J214" s="4">
        <v>8</v>
      </c>
      <c r="K214" s="4" t="s">
        <v>451</v>
      </c>
      <c r="L214" s="4" t="s">
        <v>13</v>
      </c>
      <c r="M214" s="4">
        <v>2022</v>
      </c>
      <c r="N214" s="4">
        <v>1</v>
      </c>
      <c r="O214" s="4">
        <v>1</v>
      </c>
    </row>
    <row r="215" spans="1:15">
      <c r="A215" s="4" t="s">
        <v>478</v>
      </c>
      <c r="B215" s="4" t="s">
        <v>481</v>
      </c>
      <c r="C215" s="9" t="s">
        <v>482</v>
      </c>
      <c r="F215" s="13">
        <v>1</v>
      </c>
      <c r="G215" s="23">
        <v>1</v>
      </c>
      <c r="I215" s="4">
        <v>2</v>
      </c>
      <c r="J215" s="4">
        <v>8</v>
      </c>
      <c r="K215" s="4" t="s">
        <v>451</v>
      </c>
      <c r="L215" s="4" t="s">
        <v>13</v>
      </c>
      <c r="M215" s="4">
        <v>2022</v>
      </c>
      <c r="N215" s="4">
        <v>1</v>
      </c>
      <c r="O215" s="4">
        <v>1</v>
      </c>
    </row>
    <row r="216" spans="1:15">
      <c r="A216" s="4" t="s">
        <v>478</v>
      </c>
      <c r="B216" s="4" t="s">
        <v>485</v>
      </c>
      <c r="C216" s="9" t="s">
        <v>483</v>
      </c>
      <c r="F216" s="13">
        <v>1</v>
      </c>
      <c r="G216" s="23">
        <v>0</v>
      </c>
      <c r="I216" s="4">
        <v>5</v>
      </c>
      <c r="J216" s="4">
        <v>8</v>
      </c>
      <c r="K216" s="4" t="s">
        <v>451</v>
      </c>
      <c r="L216" s="4" t="s">
        <v>13</v>
      </c>
      <c r="M216" s="4">
        <v>2022</v>
      </c>
      <c r="N216" s="4">
        <v>1</v>
      </c>
      <c r="O216" s="4">
        <v>1</v>
      </c>
    </row>
    <row r="217" spans="1:15">
      <c r="A217" s="4" t="s">
        <v>478</v>
      </c>
      <c r="B217" s="4" t="s">
        <v>486</v>
      </c>
      <c r="C217" s="9" t="s">
        <v>484</v>
      </c>
      <c r="F217" s="13">
        <v>1</v>
      </c>
      <c r="G217" s="23">
        <v>0</v>
      </c>
      <c r="I217" s="4">
        <v>7</v>
      </c>
      <c r="J217" s="4">
        <v>8</v>
      </c>
      <c r="K217" s="4" t="s">
        <v>451</v>
      </c>
      <c r="L217" s="4" t="s">
        <v>13</v>
      </c>
      <c r="M217" s="4">
        <v>2022</v>
      </c>
      <c r="N217" s="4">
        <v>1</v>
      </c>
      <c r="O217" s="4">
        <v>1</v>
      </c>
    </row>
    <row r="218" spans="1:15">
      <c r="A218" s="4" t="s">
        <v>487</v>
      </c>
      <c r="B218" s="4" t="s">
        <v>492</v>
      </c>
      <c r="C218" s="9" t="s">
        <v>488</v>
      </c>
      <c r="F218" s="13">
        <v>1</v>
      </c>
      <c r="G218" s="23">
        <v>0</v>
      </c>
      <c r="I218" s="4">
        <v>3</v>
      </c>
      <c r="J218" s="4">
        <v>10</v>
      </c>
      <c r="K218" s="4" t="s">
        <v>451</v>
      </c>
      <c r="L218" s="4" t="s">
        <v>13</v>
      </c>
      <c r="M218" s="4">
        <v>2023</v>
      </c>
      <c r="N218" s="4">
        <v>1</v>
      </c>
      <c r="O218" s="4">
        <v>1</v>
      </c>
    </row>
    <row r="219" spans="1:15">
      <c r="A219" s="4" t="s">
        <v>487</v>
      </c>
      <c r="B219" s="4" t="s">
        <v>493</v>
      </c>
      <c r="C219" s="9" t="s">
        <v>489</v>
      </c>
      <c r="F219" s="13">
        <v>1</v>
      </c>
      <c r="G219" s="23">
        <v>0</v>
      </c>
      <c r="I219" s="4">
        <v>4</v>
      </c>
      <c r="J219" s="4">
        <v>10</v>
      </c>
      <c r="K219" s="4" t="s">
        <v>451</v>
      </c>
      <c r="L219" s="4" t="s">
        <v>13</v>
      </c>
      <c r="M219" s="4">
        <v>2023</v>
      </c>
      <c r="N219" s="4">
        <v>1</v>
      </c>
      <c r="O219" s="4">
        <v>1</v>
      </c>
    </row>
    <row r="220" spans="1:15">
      <c r="A220" s="4" t="s">
        <v>487</v>
      </c>
      <c r="B220" s="4" t="s">
        <v>494</v>
      </c>
      <c r="C220" s="9" t="s">
        <v>490</v>
      </c>
      <c r="F220" s="13">
        <v>1</v>
      </c>
      <c r="G220" s="23">
        <v>1</v>
      </c>
      <c r="I220" s="4">
        <v>5</v>
      </c>
      <c r="J220" s="4">
        <v>10</v>
      </c>
      <c r="K220" s="4" t="s">
        <v>451</v>
      </c>
      <c r="L220" s="4" t="s">
        <v>13</v>
      </c>
      <c r="M220" s="4">
        <v>2023</v>
      </c>
      <c r="N220" s="4">
        <v>1</v>
      </c>
      <c r="O220" s="4">
        <v>1</v>
      </c>
    </row>
    <row r="221" spans="1:15">
      <c r="A221" s="4" t="s">
        <v>487</v>
      </c>
      <c r="B221" s="4" t="s">
        <v>495</v>
      </c>
      <c r="C221" s="9" t="s">
        <v>491</v>
      </c>
      <c r="F221" s="13">
        <v>1</v>
      </c>
      <c r="G221" s="23">
        <v>0</v>
      </c>
      <c r="I221" s="4">
        <v>10</v>
      </c>
      <c r="J221" s="4">
        <v>10</v>
      </c>
      <c r="K221" s="4" t="s">
        <v>451</v>
      </c>
      <c r="L221" s="4" t="s">
        <v>13</v>
      </c>
      <c r="M221" s="4">
        <v>2023</v>
      </c>
      <c r="N221" s="4">
        <v>1</v>
      </c>
      <c r="O221" s="4">
        <v>1</v>
      </c>
    </row>
    <row r="222" spans="1:15">
      <c r="A222" s="4" t="s">
        <v>496</v>
      </c>
      <c r="B222" s="4" t="s">
        <v>506</v>
      </c>
      <c r="C222" s="9" t="s">
        <v>497</v>
      </c>
      <c r="F222" s="13">
        <v>1</v>
      </c>
      <c r="G222" s="23">
        <v>1</v>
      </c>
      <c r="I222" s="4">
        <v>2</v>
      </c>
      <c r="J222" s="4">
        <v>11</v>
      </c>
      <c r="K222" s="4" t="s">
        <v>451</v>
      </c>
      <c r="L222" s="4" t="s">
        <v>13</v>
      </c>
      <c r="M222" s="4">
        <v>2024</v>
      </c>
      <c r="N222" s="4">
        <v>1</v>
      </c>
      <c r="O222" s="4">
        <v>1</v>
      </c>
    </row>
    <row r="223" spans="1:15">
      <c r="A223" s="4" t="s">
        <v>496</v>
      </c>
      <c r="B223" s="4" t="s">
        <v>507</v>
      </c>
      <c r="C223" s="9" t="s">
        <v>498</v>
      </c>
      <c r="F223" s="13">
        <v>1</v>
      </c>
      <c r="G223" s="23">
        <v>1</v>
      </c>
      <c r="I223" s="4">
        <v>3</v>
      </c>
      <c r="J223" s="4">
        <v>11</v>
      </c>
      <c r="K223" s="4" t="s">
        <v>451</v>
      </c>
      <c r="L223" s="4" t="s">
        <v>13</v>
      </c>
      <c r="M223" s="4">
        <v>2024</v>
      </c>
      <c r="N223" s="4">
        <v>1</v>
      </c>
      <c r="O223" s="4">
        <v>1</v>
      </c>
    </row>
    <row r="224" spans="1:15">
      <c r="A224" s="4" t="s">
        <v>496</v>
      </c>
      <c r="B224" s="4" t="s">
        <v>508</v>
      </c>
      <c r="C224" s="9" t="s">
        <v>499</v>
      </c>
      <c r="F224" s="13">
        <v>1</v>
      </c>
      <c r="G224" s="23">
        <v>0</v>
      </c>
      <c r="I224" s="4">
        <v>4</v>
      </c>
      <c r="J224" s="4">
        <v>11</v>
      </c>
      <c r="K224" s="4" t="s">
        <v>451</v>
      </c>
      <c r="L224" s="4" t="s">
        <v>13</v>
      </c>
      <c r="M224" s="4">
        <v>2024</v>
      </c>
      <c r="N224" s="4">
        <v>1</v>
      </c>
      <c r="O224" s="4">
        <v>1</v>
      </c>
    </row>
    <row r="225" spans="1:15">
      <c r="A225" s="4" t="s">
        <v>496</v>
      </c>
      <c r="B225" s="4" t="s">
        <v>509</v>
      </c>
      <c r="C225" s="9" t="s">
        <v>500</v>
      </c>
      <c r="F225" s="13">
        <v>1</v>
      </c>
      <c r="G225" s="23">
        <v>0</v>
      </c>
      <c r="I225" s="4">
        <v>5</v>
      </c>
      <c r="J225" s="4">
        <v>11</v>
      </c>
      <c r="K225" s="4" t="s">
        <v>451</v>
      </c>
      <c r="L225" s="4" t="s">
        <v>13</v>
      </c>
      <c r="M225" s="4">
        <v>2024</v>
      </c>
      <c r="N225" s="4">
        <v>1</v>
      </c>
      <c r="O225" s="4">
        <v>1</v>
      </c>
    </row>
    <row r="226" spans="1:15">
      <c r="A226" s="4" t="s">
        <v>496</v>
      </c>
      <c r="B226" s="4" t="s">
        <v>510</v>
      </c>
      <c r="C226" s="9" t="s">
        <v>501</v>
      </c>
      <c r="F226" s="13">
        <v>1</v>
      </c>
      <c r="G226" s="23">
        <v>1</v>
      </c>
      <c r="I226" s="4">
        <v>6</v>
      </c>
      <c r="J226" s="4">
        <v>11</v>
      </c>
      <c r="K226" s="4" t="s">
        <v>451</v>
      </c>
      <c r="L226" s="4" t="s">
        <v>13</v>
      </c>
      <c r="M226" s="4">
        <v>2024</v>
      </c>
      <c r="N226" s="4">
        <v>1</v>
      </c>
      <c r="O226" s="4">
        <v>1</v>
      </c>
    </row>
    <row r="227" spans="1:15">
      <c r="A227" s="4" t="s">
        <v>496</v>
      </c>
      <c r="B227" s="4" t="s">
        <v>511</v>
      </c>
      <c r="C227" s="9" t="s">
        <v>502</v>
      </c>
      <c r="F227" s="13">
        <v>1</v>
      </c>
      <c r="G227" s="23">
        <v>1</v>
      </c>
      <c r="I227" s="4">
        <v>7</v>
      </c>
      <c r="J227" s="4">
        <v>11</v>
      </c>
      <c r="K227" s="4" t="s">
        <v>451</v>
      </c>
      <c r="L227" s="4" t="s">
        <v>13</v>
      </c>
      <c r="M227" s="4">
        <v>2024</v>
      </c>
      <c r="N227" s="4">
        <v>1</v>
      </c>
      <c r="O227" s="4">
        <v>1</v>
      </c>
    </row>
    <row r="228" spans="1:15">
      <c r="A228" s="4" t="s">
        <v>496</v>
      </c>
      <c r="B228" s="4" t="s">
        <v>512</v>
      </c>
      <c r="C228" s="9" t="s">
        <v>503</v>
      </c>
      <c r="F228" s="13">
        <v>1</v>
      </c>
      <c r="G228" s="23">
        <v>1</v>
      </c>
      <c r="I228" s="4">
        <v>9</v>
      </c>
      <c r="J228" s="4">
        <v>11</v>
      </c>
      <c r="K228" s="4" t="s">
        <v>451</v>
      </c>
      <c r="L228" s="4" t="s">
        <v>13</v>
      </c>
      <c r="M228" s="4">
        <v>2024</v>
      </c>
      <c r="N228" s="4">
        <v>1</v>
      </c>
      <c r="O228" s="4">
        <v>1</v>
      </c>
    </row>
    <row r="229" spans="1:15">
      <c r="A229" s="4" t="s">
        <v>496</v>
      </c>
      <c r="B229" s="4" t="s">
        <v>513</v>
      </c>
      <c r="C229" s="9" t="s">
        <v>504</v>
      </c>
      <c r="F229" s="13">
        <v>1</v>
      </c>
      <c r="G229" s="23">
        <v>1</v>
      </c>
      <c r="I229" s="4">
        <v>10</v>
      </c>
      <c r="J229" s="4">
        <v>11</v>
      </c>
      <c r="K229" s="4" t="s">
        <v>451</v>
      </c>
      <c r="L229" s="4" t="s">
        <v>13</v>
      </c>
      <c r="M229" s="4">
        <v>2024</v>
      </c>
      <c r="N229" s="4">
        <v>1</v>
      </c>
      <c r="O229" s="4">
        <v>1</v>
      </c>
    </row>
    <row r="230" spans="1:15">
      <c r="A230" s="4" t="s">
        <v>496</v>
      </c>
      <c r="B230" s="4" t="s">
        <v>514</v>
      </c>
      <c r="C230" s="9" t="s">
        <v>505</v>
      </c>
      <c r="F230" s="13">
        <v>1</v>
      </c>
      <c r="G230" s="23">
        <v>0</v>
      </c>
      <c r="I230" s="4">
        <v>11</v>
      </c>
      <c r="J230" s="4">
        <v>11</v>
      </c>
      <c r="K230" s="4" t="s">
        <v>451</v>
      </c>
      <c r="L230" s="4" t="s">
        <v>13</v>
      </c>
      <c r="M230" s="4">
        <v>2024</v>
      </c>
      <c r="N230" s="4">
        <v>1</v>
      </c>
      <c r="O230" s="4">
        <v>1</v>
      </c>
    </row>
    <row r="231" spans="1:15">
      <c r="A231" s="4" t="s">
        <v>516</v>
      </c>
      <c r="B231" s="4" t="s">
        <v>515</v>
      </c>
      <c r="C231" s="9" t="s">
        <v>517</v>
      </c>
      <c r="F231" s="13">
        <v>1</v>
      </c>
      <c r="G231" s="23">
        <v>1</v>
      </c>
      <c r="I231" s="4">
        <v>1</v>
      </c>
      <c r="J231" s="4">
        <v>10</v>
      </c>
      <c r="K231" s="4" t="s">
        <v>451</v>
      </c>
      <c r="L231" s="4" t="s">
        <v>13</v>
      </c>
      <c r="M231" s="4">
        <v>2025</v>
      </c>
      <c r="N231" s="4">
        <v>1</v>
      </c>
      <c r="O231" s="4">
        <v>1</v>
      </c>
    </row>
    <row r="232" spans="1:15">
      <c r="A232" s="4" t="s">
        <v>516</v>
      </c>
      <c r="B232" s="4" t="s">
        <v>518</v>
      </c>
      <c r="C232" s="9" t="s">
        <v>519</v>
      </c>
      <c r="F232" s="13">
        <v>1</v>
      </c>
      <c r="G232" s="23">
        <v>1</v>
      </c>
      <c r="I232" s="4">
        <v>2</v>
      </c>
      <c r="J232" s="4">
        <v>10</v>
      </c>
      <c r="K232" s="4" t="s">
        <v>451</v>
      </c>
      <c r="L232" s="4" t="s">
        <v>13</v>
      </c>
      <c r="M232" s="4">
        <v>2025</v>
      </c>
      <c r="N232" s="4">
        <v>1</v>
      </c>
      <c r="O232" s="4">
        <v>1</v>
      </c>
    </row>
    <row r="233" spans="1:15">
      <c r="A233" s="4" t="s">
        <v>516</v>
      </c>
      <c r="B233" s="4" t="s">
        <v>525</v>
      </c>
      <c r="C233" s="9" t="s">
        <v>520</v>
      </c>
      <c r="F233" s="13">
        <v>1</v>
      </c>
      <c r="G233" s="23">
        <v>1</v>
      </c>
      <c r="I233" s="4">
        <v>3</v>
      </c>
      <c r="J233" s="4">
        <v>10</v>
      </c>
      <c r="K233" s="4" t="s">
        <v>451</v>
      </c>
      <c r="L233" s="4" t="s">
        <v>13</v>
      </c>
      <c r="M233" s="4">
        <v>2025</v>
      </c>
      <c r="N233" s="4">
        <v>1</v>
      </c>
      <c r="O233" s="4">
        <v>1</v>
      </c>
    </row>
    <row r="234" spans="1:15">
      <c r="A234" s="4" t="s">
        <v>516</v>
      </c>
      <c r="B234" s="4" t="s">
        <v>526</v>
      </c>
      <c r="C234" s="9" t="s">
        <v>521</v>
      </c>
      <c r="F234" s="13">
        <v>1</v>
      </c>
      <c r="G234" s="23">
        <v>1</v>
      </c>
      <c r="I234" s="4">
        <v>4</v>
      </c>
      <c r="J234" s="4">
        <v>10</v>
      </c>
      <c r="K234" s="4" t="s">
        <v>451</v>
      </c>
      <c r="L234" s="4" t="s">
        <v>13</v>
      </c>
      <c r="M234" s="4">
        <v>2025</v>
      </c>
      <c r="N234" s="4">
        <v>1</v>
      </c>
      <c r="O234" s="4">
        <v>1</v>
      </c>
    </row>
    <row r="235" spans="1:15">
      <c r="A235" s="4" t="s">
        <v>516</v>
      </c>
      <c r="B235" s="4" t="s">
        <v>527</v>
      </c>
      <c r="C235" s="9" t="s">
        <v>522</v>
      </c>
      <c r="F235" s="13">
        <v>1</v>
      </c>
      <c r="G235" s="23">
        <v>0</v>
      </c>
      <c r="I235" s="4">
        <v>5</v>
      </c>
      <c r="J235" s="4">
        <v>10</v>
      </c>
      <c r="K235" s="4" t="s">
        <v>451</v>
      </c>
      <c r="L235" s="4" t="s">
        <v>13</v>
      </c>
      <c r="M235" s="4">
        <v>2025</v>
      </c>
      <c r="N235" s="4">
        <v>1</v>
      </c>
      <c r="O235" s="4">
        <v>1</v>
      </c>
    </row>
    <row r="236" spans="1:15">
      <c r="A236" s="4" t="s">
        <v>516</v>
      </c>
      <c r="B236" s="4" t="s">
        <v>528</v>
      </c>
      <c r="C236" s="9" t="s">
        <v>523</v>
      </c>
      <c r="F236" s="13">
        <v>1</v>
      </c>
      <c r="G236" s="23">
        <v>1</v>
      </c>
      <c r="I236" s="4">
        <v>6</v>
      </c>
      <c r="J236" s="4">
        <v>10</v>
      </c>
      <c r="K236" s="4" t="s">
        <v>451</v>
      </c>
      <c r="L236" s="4" t="s">
        <v>13</v>
      </c>
      <c r="M236" s="4">
        <v>2025</v>
      </c>
      <c r="N236" s="4">
        <v>1</v>
      </c>
      <c r="O236" s="4">
        <v>1</v>
      </c>
    </row>
    <row r="237" spans="1:15">
      <c r="A237" s="4" t="s">
        <v>516</v>
      </c>
      <c r="B237" s="4" t="s">
        <v>529</v>
      </c>
      <c r="C237" s="9" t="s">
        <v>524</v>
      </c>
      <c r="F237" s="13">
        <v>1</v>
      </c>
      <c r="G237" s="23">
        <v>1</v>
      </c>
      <c r="I237" s="4">
        <v>9</v>
      </c>
      <c r="J237" s="4">
        <v>10</v>
      </c>
      <c r="K237" s="4" t="s">
        <v>451</v>
      </c>
      <c r="L237" s="4" t="s">
        <v>13</v>
      </c>
      <c r="M237" s="4">
        <v>2025</v>
      </c>
      <c r="N237" s="4">
        <v>1</v>
      </c>
      <c r="O237" s="4">
        <v>1</v>
      </c>
    </row>
    <row r="238" spans="1:15">
      <c r="A238" s="4" t="s">
        <v>531</v>
      </c>
      <c r="B238" s="4" t="s">
        <v>532</v>
      </c>
      <c r="C238" s="9" t="s">
        <v>533</v>
      </c>
      <c r="F238" s="13">
        <v>1</v>
      </c>
      <c r="G238" s="23">
        <v>1</v>
      </c>
      <c r="I238" s="4">
        <v>2</v>
      </c>
      <c r="J238" s="4">
        <v>4</v>
      </c>
      <c r="K238" s="4" t="s">
        <v>538</v>
      </c>
      <c r="L238" s="4" t="s">
        <v>13</v>
      </c>
      <c r="M238" s="4">
        <v>2021</v>
      </c>
      <c r="N238" s="4">
        <v>1</v>
      </c>
      <c r="O238" s="4">
        <v>1</v>
      </c>
    </row>
    <row r="239" spans="1:15">
      <c r="A239" s="4" t="s">
        <v>531</v>
      </c>
      <c r="B239" s="4" t="s">
        <v>534</v>
      </c>
      <c r="C239" s="9" t="s">
        <v>535</v>
      </c>
      <c r="F239" s="13">
        <v>1</v>
      </c>
      <c r="G239" s="23">
        <v>0</v>
      </c>
      <c r="I239" s="4">
        <v>3</v>
      </c>
      <c r="J239" s="4">
        <v>4</v>
      </c>
      <c r="K239" s="4" t="s">
        <v>538</v>
      </c>
      <c r="L239" s="4" t="s">
        <v>13</v>
      </c>
      <c r="M239" s="4">
        <v>2021</v>
      </c>
      <c r="N239" s="4">
        <v>1</v>
      </c>
      <c r="O239" s="4">
        <v>1</v>
      </c>
    </row>
    <row r="240" spans="1:15">
      <c r="A240" s="4" t="s">
        <v>531</v>
      </c>
      <c r="B240" s="4" t="s">
        <v>536</v>
      </c>
      <c r="C240" s="9" t="s">
        <v>537</v>
      </c>
      <c r="F240" s="13">
        <v>1</v>
      </c>
      <c r="G240" s="23">
        <v>0</v>
      </c>
      <c r="I240" s="4">
        <v>4</v>
      </c>
      <c r="J240" s="4">
        <v>4</v>
      </c>
      <c r="K240" s="4" t="s">
        <v>538</v>
      </c>
      <c r="L240" s="4" t="s">
        <v>13</v>
      </c>
      <c r="M240" s="4">
        <v>2021</v>
      </c>
      <c r="N240" s="4">
        <v>1</v>
      </c>
      <c r="O240" s="4">
        <v>1</v>
      </c>
    </row>
    <row r="241" spans="1:15">
      <c r="A241" s="4" t="s">
        <v>539</v>
      </c>
      <c r="B241" s="4" t="s">
        <v>541</v>
      </c>
      <c r="C241" s="9" t="s">
        <v>540</v>
      </c>
      <c r="F241" s="13">
        <v>1</v>
      </c>
      <c r="G241" s="23">
        <v>0</v>
      </c>
      <c r="I241" s="4">
        <v>5</v>
      </c>
      <c r="J241" s="4">
        <v>7</v>
      </c>
      <c r="K241" s="4" t="s">
        <v>538</v>
      </c>
      <c r="L241" s="4" t="s">
        <v>13</v>
      </c>
      <c r="M241" s="4">
        <v>2022</v>
      </c>
      <c r="N241" s="4">
        <v>1</v>
      </c>
      <c r="O241" s="4">
        <v>1</v>
      </c>
    </row>
    <row r="242" spans="1:15">
      <c r="A242" s="4" t="s">
        <v>542</v>
      </c>
      <c r="B242" s="4" t="s">
        <v>546</v>
      </c>
      <c r="C242" t="s">
        <v>543</v>
      </c>
      <c r="F242" s="13">
        <v>1</v>
      </c>
      <c r="G242" s="23">
        <v>1</v>
      </c>
      <c r="I242" s="4">
        <v>2</v>
      </c>
      <c r="J242" s="4">
        <v>5</v>
      </c>
      <c r="K242" s="4" t="s">
        <v>538</v>
      </c>
      <c r="L242" s="4" t="s">
        <v>13</v>
      </c>
      <c r="M242" s="4">
        <v>2023</v>
      </c>
      <c r="N242" s="4">
        <v>1</v>
      </c>
      <c r="O242" s="4">
        <v>1</v>
      </c>
    </row>
    <row r="243" spans="1:15">
      <c r="A243" s="4" t="s">
        <v>542</v>
      </c>
      <c r="B243" s="4" t="s">
        <v>547</v>
      </c>
      <c r="C243" s="9" t="s">
        <v>544</v>
      </c>
      <c r="F243" s="13">
        <v>1</v>
      </c>
      <c r="G243" s="23">
        <v>0</v>
      </c>
      <c r="I243" s="4">
        <v>3</v>
      </c>
      <c r="J243" s="4">
        <v>5</v>
      </c>
      <c r="K243" s="4" t="s">
        <v>538</v>
      </c>
      <c r="L243" s="4" t="s">
        <v>13</v>
      </c>
      <c r="M243" s="4">
        <v>2023</v>
      </c>
      <c r="N243" s="4">
        <v>1</v>
      </c>
      <c r="O243" s="4">
        <v>1</v>
      </c>
    </row>
    <row r="244" spans="1:15">
      <c r="A244" s="4" t="s">
        <v>542</v>
      </c>
      <c r="B244" s="4" t="s">
        <v>548</v>
      </c>
      <c r="C244" s="9" t="s">
        <v>545</v>
      </c>
      <c r="F244" s="13">
        <v>1</v>
      </c>
      <c r="G244" s="23">
        <v>0</v>
      </c>
      <c r="I244" s="4">
        <v>4</v>
      </c>
      <c r="J244" s="4">
        <v>5</v>
      </c>
      <c r="K244" s="4" t="s">
        <v>538</v>
      </c>
      <c r="L244" s="4" t="s">
        <v>13</v>
      </c>
      <c r="M244" s="4">
        <v>2023</v>
      </c>
      <c r="N244" s="4">
        <v>1</v>
      </c>
      <c r="O244" s="4">
        <v>1</v>
      </c>
    </row>
    <row r="245" spans="1:15">
      <c r="A245" s="4" t="s">
        <v>550</v>
      </c>
      <c r="B245" s="4" t="s">
        <v>549</v>
      </c>
      <c r="C245" s="9" t="s">
        <v>551</v>
      </c>
      <c r="F245" s="13">
        <v>1</v>
      </c>
      <c r="G245" s="23">
        <v>1</v>
      </c>
      <c r="I245" s="4">
        <v>1</v>
      </c>
      <c r="J245" s="4">
        <v>5</v>
      </c>
      <c r="K245" s="4" t="s">
        <v>538</v>
      </c>
      <c r="L245" s="4" t="s">
        <v>13</v>
      </c>
      <c r="M245" s="4">
        <v>2024</v>
      </c>
      <c r="N245" s="4">
        <v>1</v>
      </c>
      <c r="O245" s="4">
        <v>1</v>
      </c>
    </row>
    <row r="246" spans="1:15">
      <c r="A246" s="4" t="s">
        <v>550</v>
      </c>
      <c r="B246" s="4" t="s">
        <v>552</v>
      </c>
      <c r="C246" s="9" t="s">
        <v>553</v>
      </c>
      <c r="F246" s="13">
        <v>1</v>
      </c>
      <c r="G246" s="23">
        <v>1</v>
      </c>
      <c r="I246" s="4">
        <v>2</v>
      </c>
      <c r="J246" s="4">
        <v>5</v>
      </c>
      <c r="K246" s="4" t="s">
        <v>538</v>
      </c>
      <c r="L246" s="4" t="s">
        <v>13</v>
      </c>
      <c r="M246" s="4">
        <v>2024</v>
      </c>
      <c r="N246" s="4">
        <v>1</v>
      </c>
      <c r="O246" s="4">
        <v>1</v>
      </c>
    </row>
    <row r="247" spans="1:15">
      <c r="A247" s="4" t="s">
        <v>550</v>
      </c>
      <c r="B247" s="4" t="s">
        <v>557</v>
      </c>
      <c r="C247" s="9" t="s">
        <v>554</v>
      </c>
      <c r="F247" s="13">
        <v>1</v>
      </c>
      <c r="G247" s="23">
        <v>1</v>
      </c>
      <c r="I247" s="4">
        <v>3</v>
      </c>
      <c r="J247" s="4">
        <v>5</v>
      </c>
      <c r="K247" s="4" t="s">
        <v>538</v>
      </c>
      <c r="L247" s="4" t="s">
        <v>13</v>
      </c>
      <c r="M247" s="4">
        <v>2024</v>
      </c>
      <c r="N247" s="4">
        <v>1</v>
      </c>
      <c r="O247" s="4">
        <v>1</v>
      </c>
    </row>
    <row r="248" spans="1:15">
      <c r="A248" s="4" t="s">
        <v>550</v>
      </c>
      <c r="B248" s="4" t="s">
        <v>558</v>
      </c>
      <c r="C248" s="9" t="s">
        <v>555</v>
      </c>
      <c r="F248" s="13">
        <v>1</v>
      </c>
      <c r="G248" s="23">
        <v>0</v>
      </c>
      <c r="I248" s="4">
        <v>4</v>
      </c>
      <c r="J248" s="4">
        <v>5</v>
      </c>
      <c r="K248" s="4" t="s">
        <v>538</v>
      </c>
      <c r="L248" s="4" t="s">
        <v>13</v>
      </c>
      <c r="M248" s="4">
        <v>2024</v>
      </c>
      <c r="N248" s="4">
        <v>1</v>
      </c>
      <c r="O248" s="4">
        <v>1</v>
      </c>
    </row>
    <row r="249" spans="1:15">
      <c r="A249" s="4" t="s">
        <v>550</v>
      </c>
      <c r="B249" s="4" t="s">
        <v>559</v>
      </c>
      <c r="C249" s="9" t="s">
        <v>556</v>
      </c>
      <c r="F249" s="13">
        <v>1</v>
      </c>
      <c r="G249" s="23">
        <v>0</v>
      </c>
      <c r="I249" s="4">
        <v>5</v>
      </c>
      <c r="J249" s="4">
        <v>5</v>
      </c>
      <c r="K249" s="4" t="s">
        <v>538</v>
      </c>
      <c r="L249" s="4" t="s">
        <v>13</v>
      </c>
      <c r="M249" s="4">
        <v>2024</v>
      </c>
      <c r="N249" s="4">
        <v>1</v>
      </c>
      <c r="O249" s="4">
        <v>1</v>
      </c>
    </row>
    <row r="250" spans="1:15">
      <c r="A250" s="4" t="s">
        <v>561</v>
      </c>
      <c r="B250" s="4" t="s">
        <v>560</v>
      </c>
      <c r="C250" s="9" t="s">
        <v>562</v>
      </c>
      <c r="F250" s="13">
        <v>1</v>
      </c>
      <c r="G250" s="23">
        <v>1</v>
      </c>
      <c r="I250" s="4">
        <v>1</v>
      </c>
      <c r="J250" s="4">
        <v>8</v>
      </c>
      <c r="K250" s="4" t="s">
        <v>538</v>
      </c>
      <c r="L250" s="4" t="s">
        <v>13</v>
      </c>
      <c r="M250" s="4">
        <v>2025</v>
      </c>
      <c r="N250" s="4">
        <v>1</v>
      </c>
      <c r="O250" s="4">
        <v>1</v>
      </c>
    </row>
    <row r="251" spans="1:15">
      <c r="A251" s="4" t="s">
        <v>561</v>
      </c>
      <c r="B251" s="4" t="s">
        <v>563</v>
      </c>
      <c r="C251" s="9" t="s">
        <v>564</v>
      </c>
      <c r="F251" s="13">
        <v>1</v>
      </c>
      <c r="G251" s="23">
        <v>1</v>
      </c>
      <c r="I251" s="4">
        <v>2</v>
      </c>
      <c r="J251" s="4">
        <v>8</v>
      </c>
      <c r="K251" s="4" t="s">
        <v>538</v>
      </c>
      <c r="L251" s="4" t="s">
        <v>13</v>
      </c>
      <c r="M251" s="4">
        <v>2025</v>
      </c>
      <c r="N251" s="4">
        <v>1</v>
      </c>
      <c r="O251" s="4">
        <v>1</v>
      </c>
    </row>
    <row r="252" spans="1:15">
      <c r="A252" s="4" t="s">
        <v>561</v>
      </c>
      <c r="B252" s="4" t="s">
        <v>569</v>
      </c>
      <c r="C252" s="9" t="s">
        <v>565</v>
      </c>
      <c r="F252" s="13">
        <v>1</v>
      </c>
      <c r="G252" s="23">
        <v>1</v>
      </c>
      <c r="I252" s="4">
        <v>3</v>
      </c>
      <c r="J252" s="4">
        <v>8</v>
      </c>
      <c r="K252" s="4" t="s">
        <v>538</v>
      </c>
      <c r="L252" s="4" t="s">
        <v>13</v>
      </c>
      <c r="M252" s="4">
        <v>2025</v>
      </c>
      <c r="N252" s="4">
        <v>1</v>
      </c>
      <c r="O252" s="4">
        <v>1</v>
      </c>
    </row>
    <row r="253" spans="1:15">
      <c r="A253" s="4" t="s">
        <v>561</v>
      </c>
      <c r="B253" s="4" t="s">
        <v>570</v>
      </c>
      <c r="C253" s="9" t="s">
        <v>566</v>
      </c>
      <c r="F253" s="13">
        <v>1</v>
      </c>
      <c r="G253" s="23">
        <v>1</v>
      </c>
      <c r="I253" s="4">
        <v>4</v>
      </c>
      <c r="J253" s="4">
        <v>8</v>
      </c>
      <c r="K253" s="4" t="s">
        <v>538</v>
      </c>
      <c r="L253" s="4" t="s">
        <v>13</v>
      </c>
      <c r="M253" s="4">
        <v>2025</v>
      </c>
      <c r="N253" s="4">
        <v>1</v>
      </c>
      <c r="O253" s="4">
        <v>1</v>
      </c>
    </row>
    <row r="254" spans="1:15">
      <c r="A254" s="4" t="s">
        <v>561</v>
      </c>
      <c r="B254" s="4" t="s">
        <v>571</v>
      </c>
      <c r="C254" s="9" t="s">
        <v>567</v>
      </c>
      <c r="F254" s="13">
        <v>1</v>
      </c>
      <c r="G254" s="23">
        <v>1</v>
      </c>
      <c r="I254" s="4">
        <v>5</v>
      </c>
      <c r="J254" s="4">
        <v>8</v>
      </c>
      <c r="K254" s="4" t="s">
        <v>538</v>
      </c>
      <c r="L254" s="4" t="s">
        <v>13</v>
      </c>
      <c r="M254" s="4">
        <v>2025</v>
      </c>
      <c r="N254" s="4">
        <v>1</v>
      </c>
      <c r="O254" s="4">
        <v>1</v>
      </c>
    </row>
    <row r="255" spans="1:15">
      <c r="A255" s="4" t="s">
        <v>561</v>
      </c>
      <c r="B255" s="4" t="s">
        <v>572</v>
      </c>
      <c r="C255" s="9" t="s">
        <v>568</v>
      </c>
      <c r="F255" s="13">
        <v>1</v>
      </c>
      <c r="G255" s="23">
        <v>0</v>
      </c>
      <c r="I255" s="4">
        <v>6</v>
      </c>
      <c r="J255" s="4">
        <v>8</v>
      </c>
      <c r="K255" s="4" t="s">
        <v>538</v>
      </c>
      <c r="L255" s="4" t="s">
        <v>13</v>
      </c>
      <c r="M255" s="4">
        <v>2025</v>
      </c>
      <c r="N255" s="4">
        <v>1</v>
      </c>
      <c r="O255" s="4">
        <v>1</v>
      </c>
    </row>
    <row r="256" spans="1:15">
      <c r="A256" s="4" t="s">
        <v>573</v>
      </c>
      <c r="B256" s="4" t="s">
        <v>574</v>
      </c>
      <c r="C256" s="10" t="s">
        <v>575</v>
      </c>
      <c r="F256" s="13">
        <v>1</v>
      </c>
      <c r="G256" s="23">
        <v>1</v>
      </c>
      <c r="I256" s="4">
        <v>1</v>
      </c>
      <c r="J256" s="4">
        <v>10</v>
      </c>
      <c r="K256" s="4" t="s">
        <v>582</v>
      </c>
      <c r="L256" s="4" t="s">
        <v>13</v>
      </c>
      <c r="M256" s="4">
        <v>2025</v>
      </c>
      <c r="N256" s="4">
        <v>1</v>
      </c>
      <c r="O256" s="4">
        <v>1</v>
      </c>
    </row>
    <row r="257" spans="1:15">
      <c r="A257" s="4" t="s">
        <v>573</v>
      </c>
      <c r="B257" s="4" t="s">
        <v>576</v>
      </c>
      <c r="C257" s="9" t="s">
        <v>577</v>
      </c>
      <c r="F257" s="13">
        <v>1</v>
      </c>
      <c r="G257" s="23">
        <v>0</v>
      </c>
      <c r="I257" s="4">
        <v>2</v>
      </c>
      <c r="J257" s="4">
        <v>10</v>
      </c>
      <c r="K257" s="4" t="s">
        <v>582</v>
      </c>
      <c r="L257" s="4" t="s">
        <v>13</v>
      </c>
      <c r="M257" s="4">
        <v>2025</v>
      </c>
      <c r="N257" s="4">
        <v>1</v>
      </c>
      <c r="O257" s="4">
        <v>1</v>
      </c>
    </row>
    <row r="258" spans="1:15">
      <c r="A258" s="4" t="s">
        <v>573</v>
      </c>
      <c r="B258" s="4" t="s">
        <v>578</v>
      </c>
      <c r="C258" s="9" t="s">
        <v>579</v>
      </c>
      <c r="F258" s="13">
        <v>1</v>
      </c>
      <c r="G258" s="23">
        <v>1</v>
      </c>
      <c r="I258" s="4">
        <v>4</v>
      </c>
      <c r="J258" s="4">
        <v>10</v>
      </c>
      <c r="K258" s="4" t="s">
        <v>582</v>
      </c>
      <c r="L258" s="4" t="s">
        <v>13</v>
      </c>
      <c r="M258" s="4">
        <v>2025</v>
      </c>
      <c r="N258" s="4">
        <v>1</v>
      </c>
      <c r="O258" s="4">
        <v>1</v>
      </c>
    </row>
    <row r="259" spans="1:15">
      <c r="A259" s="4" t="s">
        <v>573</v>
      </c>
      <c r="B259" s="4" t="s">
        <v>580</v>
      </c>
      <c r="C259" s="9" t="s">
        <v>581</v>
      </c>
      <c r="F259" s="13">
        <v>1</v>
      </c>
      <c r="G259" s="23">
        <v>1</v>
      </c>
      <c r="I259" s="4">
        <v>5</v>
      </c>
      <c r="J259" s="4">
        <v>10</v>
      </c>
      <c r="K259" s="4" t="s">
        <v>582</v>
      </c>
      <c r="L259" s="4" t="s">
        <v>13</v>
      </c>
      <c r="M259" s="4">
        <v>2025</v>
      </c>
      <c r="N259" s="4">
        <v>1</v>
      </c>
      <c r="O259" s="4">
        <v>1</v>
      </c>
    </row>
    <row r="260" spans="1:15">
      <c r="A260" s="4" t="s">
        <v>584</v>
      </c>
      <c r="B260" s="4" t="s">
        <v>583</v>
      </c>
      <c r="C260" s="9" t="s">
        <v>585</v>
      </c>
      <c r="F260" s="13">
        <v>1</v>
      </c>
      <c r="G260" s="23">
        <v>1</v>
      </c>
      <c r="I260" s="4">
        <v>1</v>
      </c>
      <c r="J260" s="4">
        <v>11</v>
      </c>
      <c r="K260" s="4" t="s">
        <v>582</v>
      </c>
      <c r="L260" s="4" t="s">
        <v>13</v>
      </c>
      <c r="M260" s="4">
        <v>2024</v>
      </c>
      <c r="N260" s="4">
        <v>1</v>
      </c>
      <c r="O260" s="4">
        <v>1</v>
      </c>
    </row>
    <row r="261" spans="1:15">
      <c r="A261" s="4" t="s">
        <v>584</v>
      </c>
      <c r="B261" s="4" t="s">
        <v>590</v>
      </c>
      <c r="C261" s="9" t="s">
        <v>577</v>
      </c>
      <c r="F261" s="13">
        <v>1</v>
      </c>
      <c r="G261" s="23">
        <v>0</v>
      </c>
      <c r="I261" s="4">
        <v>2</v>
      </c>
      <c r="J261" s="4">
        <v>11</v>
      </c>
      <c r="K261" s="4" t="s">
        <v>582</v>
      </c>
      <c r="L261" s="4" t="s">
        <v>13</v>
      </c>
      <c r="M261" s="4">
        <v>2024</v>
      </c>
      <c r="N261" s="4">
        <v>1</v>
      </c>
      <c r="O261" s="4">
        <v>1</v>
      </c>
    </row>
    <row r="262" spans="1:15" ht="18">
      <c r="A262" s="4" t="s">
        <v>584</v>
      </c>
      <c r="B262" s="4" t="s">
        <v>591</v>
      </c>
      <c r="C262" s="26" t="s">
        <v>586</v>
      </c>
      <c r="F262" s="13">
        <v>1</v>
      </c>
      <c r="G262" s="23">
        <v>1</v>
      </c>
      <c r="I262" s="4">
        <v>3</v>
      </c>
      <c r="J262" s="4">
        <v>11</v>
      </c>
      <c r="K262" s="4" t="s">
        <v>582</v>
      </c>
      <c r="L262" s="4" t="s">
        <v>13</v>
      </c>
      <c r="M262" s="4">
        <v>2024</v>
      </c>
      <c r="N262" s="4">
        <v>1</v>
      </c>
      <c r="O262" s="4">
        <v>1</v>
      </c>
    </row>
    <row r="263" spans="1:15">
      <c r="A263" s="4" t="s">
        <v>584</v>
      </c>
      <c r="B263" s="4" t="s">
        <v>592</v>
      </c>
      <c r="C263" s="9" t="s">
        <v>587</v>
      </c>
      <c r="F263" s="13">
        <v>1</v>
      </c>
      <c r="G263" s="23">
        <v>1</v>
      </c>
      <c r="I263" s="4">
        <v>4</v>
      </c>
      <c r="J263" s="4">
        <v>11</v>
      </c>
      <c r="K263" s="4" t="s">
        <v>582</v>
      </c>
      <c r="L263" s="4" t="s">
        <v>13</v>
      </c>
      <c r="M263" s="4">
        <v>2024</v>
      </c>
      <c r="N263" s="4">
        <v>1</v>
      </c>
      <c r="O263" s="4">
        <v>1</v>
      </c>
    </row>
    <row r="264" spans="1:15">
      <c r="A264" s="4" t="s">
        <v>584</v>
      </c>
      <c r="B264" s="4" t="s">
        <v>593</v>
      </c>
      <c r="C264" s="9" t="s">
        <v>588</v>
      </c>
      <c r="F264" s="13">
        <v>1</v>
      </c>
      <c r="G264" s="23">
        <v>0</v>
      </c>
      <c r="I264" s="4">
        <v>5</v>
      </c>
      <c r="J264" s="4">
        <v>11</v>
      </c>
      <c r="K264" s="4" t="s">
        <v>582</v>
      </c>
      <c r="L264" s="4" t="s">
        <v>13</v>
      </c>
      <c r="M264" s="4">
        <v>2024</v>
      </c>
      <c r="N264" s="4">
        <v>1</v>
      </c>
      <c r="O264" s="4">
        <v>1</v>
      </c>
    </row>
    <row r="265" spans="1:15">
      <c r="A265" s="4" t="s">
        <v>584</v>
      </c>
      <c r="B265" s="4" t="s">
        <v>594</v>
      </c>
      <c r="C265" s="9" t="s">
        <v>589</v>
      </c>
      <c r="F265" s="13">
        <v>1</v>
      </c>
      <c r="G265" s="23">
        <v>1</v>
      </c>
      <c r="I265" s="4">
        <v>6</v>
      </c>
      <c r="J265" s="4">
        <v>11</v>
      </c>
      <c r="K265" s="4" t="s">
        <v>582</v>
      </c>
      <c r="L265" s="4" t="s">
        <v>13</v>
      </c>
      <c r="M265" s="4">
        <v>2024</v>
      </c>
      <c r="N265" s="4">
        <v>1</v>
      </c>
      <c r="O265" s="4">
        <v>1</v>
      </c>
    </row>
    <row r="266" spans="1:15">
      <c r="A266" s="4" t="s">
        <v>596</v>
      </c>
      <c r="B266" s="4" t="s">
        <v>595</v>
      </c>
      <c r="C266" s="9" t="s">
        <v>597</v>
      </c>
      <c r="F266" s="13">
        <v>1</v>
      </c>
      <c r="G266" s="23">
        <v>0</v>
      </c>
      <c r="I266" s="4">
        <v>1</v>
      </c>
      <c r="J266" s="4">
        <v>13</v>
      </c>
      <c r="K266" s="4" t="s">
        <v>582</v>
      </c>
      <c r="L266" s="4" t="s">
        <v>13</v>
      </c>
      <c r="M266" s="4">
        <v>2023</v>
      </c>
      <c r="N266" s="4">
        <v>1</v>
      </c>
      <c r="O266" s="4">
        <v>1</v>
      </c>
    </row>
    <row r="267" spans="1:15">
      <c r="A267" s="4" t="s">
        <v>596</v>
      </c>
      <c r="B267" s="4" t="s">
        <v>599</v>
      </c>
      <c r="C267" s="9" t="s">
        <v>598</v>
      </c>
      <c r="F267" s="13">
        <v>1</v>
      </c>
      <c r="G267" s="23">
        <v>0</v>
      </c>
      <c r="I267" s="4">
        <v>2</v>
      </c>
      <c r="J267" s="4">
        <v>13</v>
      </c>
      <c r="K267" s="4" t="s">
        <v>582</v>
      </c>
      <c r="L267" s="4" t="s">
        <v>13</v>
      </c>
      <c r="M267" s="4">
        <v>2023</v>
      </c>
      <c r="N267" s="4">
        <v>1</v>
      </c>
      <c r="O267" s="4">
        <v>1</v>
      </c>
    </row>
    <row r="268" spans="1:15">
      <c r="A268" s="4" t="s">
        <v>596</v>
      </c>
      <c r="B268" s="4" t="s">
        <v>604</v>
      </c>
      <c r="C268" s="9" t="s">
        <v>600</v>
      </c>
      <c r="F268" s="13">
        <v>1</v>
      </c>
      <c r="G268" s="23">
        <v>0</v>
      </c>
      <c r="I268" s="4">
        <v>5</v>
      </c>
      <c r="J268" s="4">
        <v>13</v>
      </c>
      <c r="K268" s="4" t="s">
        <v>582</v>
      </c>
      <c r="L268" s="4" t="s">
        <v>13</v>
      </c>
      <c r="M268" s="4">
        <v>2023</v>
      </c>
      <c r="N268" s="4">
        <v>1</v>
      </c>
      <c r="O268" s="4">
        <v>1</v>
      </c>
    </row>
    <row r="269" spans="1:15">
      <c r="A269" s="4" t="s">
        <v>596</v>
      </c>
      <c r="B269" s="4" t="s">
        <v>605</v>
      </c>
      <c r="C269" s="9" t="s">
        <v>601</v>
      </c>
      <c r="F269" s="13">
        <v>1</v>
      </c>
      <c r="G269" s="23">
        <v>1</v>
      </c>
      <c r="I269" s="4">
        <v>6</v>
      </c>
      <c r="J269" s="4">
        <v>13</v>
      </c>
      <c r="K269" s="4" t="s">
        <v>582</v>
      </c>
      <c r="L269" s="4" t="s">
        <v>13</v>
      </c>
      <c r="M269" s="4">
        <v>2023</v>
      </c>
      <c r="N269" s="4">
        <v>1</v>
      </c>
      <c r="O269" s="4">
        <v>1</v>
      </c>
    </row>
    <row r="270" spans="1:15">
      <c r="A270" s="4" t="s">
        <v>596</v>
      </c>
      <c r="B270" s="4" t="s">
        <v>606</v>
      </c>
      <c r="C270" s="9" t="s">
        <v>602</v>
      </c>
      <c r="F270" s="13">
        <v>1</v>
      </c>
      <c r="G270" s="23">
        <v>0</v>
      </c>
      <c r="I270" s="4">
        <v>8</v>
      </c>
      <c r="J270" s="4">
        <v>13</v>
      </c>
      <c r="K270" s="4" t="s">
        <v>582</v>
      </c>
      <c r="L270" s="4" t="s">
        <v>13</v>
      </c>
      <c r="M270" s="4">
        <v>2023</v>
      </c>
      <c r="N270" s="4">
        <v>1</v>
      </c>
      <c r="O270" s="4">
        <v>1</v>
      </c>
    </row>
    <row r="271" spans="1:15">
      <c r="A271" s="4" t="s">
        <v>596</v>
      </c>
      <c r="B271" s="4" t="s">
        <v>607</v>
      </c>
      <c r="C271" s="9" t="s">
        <v>603</v>
      </c>
      <c r="F271" s="13">
        <v>1</v>
      </c>
      <c r="G271" s="23">
        <v>0</v>
      </c>
      <c r="I271" s="4">
        <v>9</v>
      </c>
      <c r="J271" s="4">
        <v>13</v>
      </c>
      <c r="K271" s="4" t="s">
        <v>582</v>
      </c>
      <c r="L271" s="4" t="s">
        <v>13</v>
      </c>
      <c r="M271" s="4">
        <v>2023</v>
      </c>
      <c r="N271" s="4">
        <v>1</v>
      </c>
      <c r="O271" s="4">
        <v>1</v>
      </c>
    </row>
    <row r="272" spans="1:15">
      <c r="A272" s="4" t="s">
        <v>608</v>
      </c>
      <c r="B272" s="4" t="s">
        <v>610</v>
      </c>
      <c r="C272" s="9" t="s">
        <v>609</v>
      </c>
      <c r="F272" s="13">
        <v>1</v>
      </c>
      <c r="G272" s="23">
        <v>0</v>
      </c>
      <c r="I272" s="4">
        <v>2</v>
      </c>
      <c r="J272" s="4">
        <v>7</v>
      </c>
      <c r="K272" s="4" t="s">
        <v>582</v>
      </c>
      <c r="L272" s="4" t="s">
        <v>13</v>
      </c>
      <c r="M272" s="4">
        <v>2022</v>
      </c>
      <c r="N272" s="4">
        <v>1</v>
      </c>
      <c r="O272" s="4">
        <v>1</v>
      </c>
    </row>
    <row r="273" spans="1:15" ht="18">
      <c r="A273" s="4" t="s">
        <v>615</v>
      </c>
      <c r="B273" s="4" t="s">
        <v>613</v>
      </c>
      <c r="C273" s="25" t="s">
        <v>611</v>
      </c>
      <c r="F273" s="13">
        <v>1</v>
      </c>
      <c r="G273" s="23">
        <v>1</v>
      </c>
      <c r="I273" s="4">
        <v>4</v>
      </c>
      <c r="J273" s="4">
        <v>10</v>
      </c>
      <c r="K273" s="4" t="s">
        <v>582</v>
      </c>
      <c r="L273" s="4" t="s">
        <v>13</v>
      </c>
      <c r="M273" s="4">
        <v>2021</v>
      </c>
      <c r="N273" s="4">
        <v>1</v>
      </c>
      <c r="O273" s="4">
        <v>1</v>
      </c>
    </row>
    <row r="274" spans="1:15">
      <c r="A274" s="4" t="s">
        <v>615</v>
      </c>
      <c r="B274" s="4" t="s">
        <v>614</v>
      </c>
      <c r="C274" s="24" t="s">
        <v>612</v>
      </c>
      <c r="F274" s="13">
        <v>1</v>
      </c>
      <c r="G274" s="23">
        <v>0</v>
      </c>
      <c r="I274" s="4">
        <v>6</v>
      </c>
      <c r="J274" s="4">
        <v>10</v>
      </c>
      <c r="K274" s="4" t="s">
        <v>582</v>
      </c>
      <c r="L274" s="4" t="s">
        <v>13</v>
      </c>
      <c r="M274" s="4">
        <v>2021</v>
      </c>
      <c r="N274" s="4">
        <v>1</v>
      </c>
      <c r="O274" s="4">
        <v>1</v>
      </c>
    </row>
    <row r="275" spans="1:15" ht="18">
      <c r="A275" s="4" t="s">
        <v>616</v>
      </c>
      <c r="B275" s="4" t="s">
        <v>620</v>
      </c>
      <c r="C275" s="25" t="s">
        <v>617</v>
      </c>
      <c r="F275" s="13">
        <v>1</v>
      </c>
      <c r="G275" s="23">
        <v>0</v>
      </c>
      <c r="I275" s="4">
        <v>8</v>
      </c>
      <c r="J275" s="4">
        <v>17</v>
      </c>
      <c r="K275" s="4" t="s">
        <v>582</v>
      </c>
      <c r="L275" s="4" t="s">
        <v>13</v>
      </c>
      <c r="M275" s="4">
        <v>2019</v>
      </c>
      <c r="N275" s="4">
        <v>1</v>
      </c>
      <c r="O275" s="4">
        <v>1</v>
      </c>
    </row>
    <row r="276" spans="1:15" ht="18">
      <c r="A276" s="4" t="s">
        <v>616</v>
      </c>
      <c r="B276" s="4" t="s">
        <v>621</v>
      </c>
      <c r="C276" s="25" t="s">
        <v>618</v>
      </c>
      <c r="F276" s="13">
        <v>1</v>
      </c>
      <c r="G276" s="23">
        <v>0</v>
      </c>
      <c r="I276" s="4">
        <v>14</v>
      </c>
      <c r="J276" s="4">
        <v>17</v>
      </c>
      <c r="K276" s="4" t="s">
        <v>582</v>
      </c>
      <c r="L276" s="4" t="s">
        <v>13</v>
      </c>
      <c r="M276" s="4">
        <v>2019</v>
      </c>
      <c r="N276" s="4">
        <v>1</v>
      </c>
      <c r="O276" s="4">
        <v>1</v>
      </c>
    </row>
    <row r="277" spans="1:15" ht="18">
      <c r="A277" s="4" t="s">
        <v>616</v>
      </c>
      <c r="B277" s="4" t="s">
        <v>622</v>
      </c>
      <c r="C277" s="25" t="s">
        <v>619</v>
      </c>
      <c r="F277" s="13">
        <v>1</v>
      </c>
      <c r="G277" s="23">
        <v>0</v>
      </c>
      <c r="I277" s="4">
        <v>15</v>
      </c>
      <c r="J277" s="4">
        <v>17</v>
      </c>
      <c r="K277" s="4" t="s">
        <v>582</v>
      </c>
      <c r="L277" s="4" t="s">
        <v>13</v>
      </c>
      <c r="M277" s="4">
        <v>2019</v>
      </c>
      <c r="N277" s="4">
        <v>1</v>
      </c>
      <c r="O277" s="4">
        <v>1</v>
      </c>
    </row>
    <row r="278" spans="1:15" ht="18">
      <c r="A278" s="4" t="s">
        <v>623</v>
      </c>
      <c r="B278" s="4" t="s">
        <v>624</v>
      </c>
      <c r="C278" s="25" t="s">
        <v>625</v>
      </c>
      <c r="F278" s="13">
        <v>0</v>
      </c>
      <c r="I278" s="4">
        <v>1</v>
      </c>
      <c r="J278" s="4">
        <v>10</v>
      </c>
      <c r="K278" s="4" t="s">
        <v>644</v>
      </c>
      <c r="L278" s="4" t="s">
        <v>13</v>
      </c>
      <c r="M278" s="4">
        <v>2023</v>
      </c>
      <c r="N278" s="4">
        <v>1</v>
      </c>
      <c r="O278" s="4">
        <v>1</v>
      </c>
    </row>
    <row r="279" spans="1:15">
      <c r="A279" s="4" t="s">
        <v>623</v>
      </c>
      <c r="B279" s="4" t="s">
        <v>627</v>
      </c>
      <c r="C279" t="s">
        <v>626</v>
      </c>
      <c r="F279" s="13">
        <v>1</v>
      </c>
      <c r="G279" s="23">
        <v>1</v>
      </c>
      <c r="I279" s="4">
        <v>2</v>
      </c>
      <c r="J279" s="4">
        <v>10</v>
      </c>
      <c r="K279" s="4" t="s">
        <v>644</v>
      </c>
      <c r="L279" s="4" t="s">
        <v>13</v>
      </c>
      <c r="M279" s="4">
        <v>2023</v>
      </c>
      <c r="N279" s="4">
        <v>1</v>
      </c>
      <c r="O279" s="4">
        <v>1</v>
      </c>
    </row>
    <row r="280" spans="1:15" ht="18">
      <c r="A280" s="4" t="s">
        <v>623</v>
      </c>
      <c r="B280" s="4" t="s">
        <v>637</v>
      </c>
      <c r="C280" s="25" t="s">
        <v>628</v>
      </c>
      <c r="F280" s="13">
        <v>0</v>
      </c>
      <c r="I280" s="4">
        <v>3</v>
      </c>
      <c r="J280" s="4">
        <v>10</v>
      </c>
      <c r="K280" s="4" t="s">
        <v>644</v>
      </c>
      <c r="L280" s="4" t="s">
        <v>13</v>
      </c>
      <c r="M280" s="4">
        <v>2023</v>
      </c>
      <c r="N280" s="4">
        <v>1</v>
      </c>
      <c r="O280" s="4">
        <v>1</v>
      </c>
    </row>
    <row r="281" spans="1:15" ht="18">
      <c r="A281" s="4" t="s">
        <v>623</v>
      </c>
      <c r="B281" s="4" t="s">
        <v>638</v>
      </c>
      <c r="C281" s="25" t="s">
        <v>629</v>
      </c>
      <c r="F281" s="13">
        <v>0</v>
      </c>
      <c r="I281" s="4">
        <v>4</v>
      </c>
      <c r="J281" s="4">
        <v>10</v>
      </c>
      <c r="K281" s="4" t="s">
        <v>644</v>
      </c>
      <c r="L281" s="4" t="s">
        <v>13</v>
      </c>
      <c r="M281" s="4">
        <v>2023</v>
      </c>
      <c r="N281" s="4">
        <v>1</v>
      </c>
      <c r="O281" s="4">
        <v>1</v>
      </c>
    </row>
    <row r="282" spans="1:15" ht="18">
      <c r="A282" s="4" t="s">
        <v>623</v>
      </c>
      <c r="B282" s="4" t="s">
        <v>639</v>
      </c>
      <c r="C282" s="25" t="s">
        <v>630</v>
      </c>
      <c r="F282" s="13">
        <v>0</v>
      </c>
      <c r="I282" s="4">
        <v>5</v>
      </c>
      <c r="J282" s="4">
        <v>10</v>
      </c>
      <c r="K282" s="4" t="s">
        <v>644</v>
      </c>
      <c r="L282" s="4" t="s">
        <v>13</v>
      </c>
      <c r="M282" s="4">
        <v>2023</v>
      </c>
      <c r="N282" s="4">
        <v>1</v>
      </c>
      <c r="O282" s="4">
        <v>1</v>
      </c>
    </row>
    <row r="283" spans="1:15" ht="18">
      <c r="A283" s="4" t="s">
        <v>623</v>
      </c>
      <c r="B283" s="4" t="s">
        <v>640</v>
      </c>
      <c r="C283" s="25" t="s">
        <v>631</v>
      </c>
      <c r="F283" s="13">
        <v>0</v>
      </c>
      <c r="I283" s="4">
        <v>6</v>
      </c>
      <c r="J283" s="4">
        <v>10</v>
      </c>
      <c r="K283" s="4" t="s">
        <v>644</v>
      </c>
      <c r="L283" s="4" t="s">
        <v>13</v>
      </c>
      <c r="M283" s="4">
        <v>2023</v>
      </c>
      <c r="N283" s="4">
        <v>1</v>
      </c>
      <c r="O283" s="4">
        <v>1</v>
      </c>
    </row>
    <row r="284" spans="1:15" ht="18">
      <c r="A284" s="4" t="s">
        <v>623</v>
      </c>
      <c r="B284" s="4" t="s">
        <v>641</v>
      </c>
      <c r="C284" s="25" t="s">
        <v>632</v>
      </c>
      <c r="F284" s="13">
        <v>1</v>
      </c>
      <c r="G284" s="23">
        <v>1</v>
      </c>
      <c r="I284" s="4">
        <v>7</v>
      </c>
      <c r="J284" s="4">
        <v>10</v>
      </c>
      <c r="K284" s="4" t="s">
        <v>644</v>
      </c>
      <c r="L284" s="4" t="s">
        <v>13</v>
      </c>
      <c r="M284" s="4">
        <v>2023</v>
      </c>
      <c r="N284" s="4">
        <v>1</v>
      </c>
      <c r="O284" s="4">
        <v>1</v>
      </c>
    </row>
    <row r="285" spans="1:15" ht="18">
      <c r="A285" s="4" t="s">
        <v>623</v>
      </c>
      <c r="B285" s="4" t="s">
        <v>642</v>
      </c>
      <c r="C285" s="25" t="s">
        <v>633</v>
      </c>
      <c r="F285" s="13">
        <v>1</v>
      </c>
      <c r="G285" s="23">
        <v>1</v>
      </c>
      <c r="I285" s="4">
        <v>8</v>
      </c>
      <c r="J285" s="4">
        <v>10</v>
      </c>
      <c r="K285" s="4" t="s">
        <v>644</v>
      </c>
      <c r="L285" s="4" t="s">
        <v>13</v>
      </c>
      <c r="M285" s="4">
        <v>2023</v>
      </c>
      <c r="N285" s="4">
        <v>1</v>
      </c>
      <c r="O285" s="4">
        <v>1</v>
      </c>
    </row>
    <row r="286" spans="1:15" ht="18">
      <c r="A286" s="4" t="s">
        <v>623</v>
      </c>
      <c r="B286" s="4" t="s">
        <v>643</v>
      </c>
      <c r="C286" s="25" t="s">
        <v>634</v>
      </c>
      <c r="F286" s="13">
        <v>1</v>
      </c>
      <c r="G286" s="23">
        <v>1</v>
      </c>
      <c r="I286" s="4">
        <v>9</v>
      </c>
      <c r="J286" s="4">
        <v>10</v>
      </c>
      <c r="K286" s="4" t="s">
        <v>644</v>
      </c>
      <c r="L286" s="4" t="s">
        <v>13</v>
      </c>
      <c r="M286" s="4">
        <v>2023</v>
      </c>
      <c r="N286" s="4">
        <v>1</v>
      </c>
      <c r="O286" s="4">
        <v>1</v>
      </c>
    </row>
    <row r="287" spans="1:15" ht="18">
      <c r="A287" s="4" t="s">
        <v>623</v>
      </c>
      <c r="B287" s="4" t="s">
        <v>647</v>
      </c>
      <c r="C287" s="25" t="s">
        <v>635</v>
      </c>
      <c r="F287" s="13">
        <v>1</v>
      </c>
      <c r="G287" s="23">
        <v>0</v>
      </c>
      <c r="I287" s="4">
        <v>10</v>
      </c>
      <c r="J287" s="4">
        <v>10</v>
      </c>
      <c r="K287" s="4" t="s">
        <v>644</v>
      </c>
      <c r="L287" s="4" t="s">
        <v>13</v>
      </c>
      <c r="M287" s="4">
        <v>2023</v>
      </c>
      <c r="N287" s="4">
        <v>1</v>
      </c>
      <c r="O287" s="4">
        <v>1</v>
      </c>
    </row>
    <row r="288" spans="1:15">
      <c r="A288" s="4" t="s">
        <v>646</v>
      </c>
      <c r="B288" s="4" t="s">
        <v>645</v>
      </c>
      <c r="C288" s="9" t="s">
        <v>636</v>
      </c>
      <c r="F288" s="13">
        <v>1</v>
      </c>
      <c r="G288" s="23">
        <v>1</v>
      </c>
      <c r="I288" s="4">
        <v>1</v>
      </c>
      <c r="J288" s="4">
        <v>7</v>
      </c>
      <c r="K288" s="4" t="s">
        <v>644</v>
      </c>
      <c r="L288" s="4" t="s">
        <v>13</v>
      </c>
      <c r="M288" s="4">
        <v>2024</v>
      </c>
      <c r="N288" s="4">
        <v>1</v>
      </c>
      <c r="O288" s="4">
        <v>1</v>
      </c>
    </row>
    <row r="289" spans="1:15" ht="18">
      <c r="A289" s="4" t="s">
        <v>646</v>
      </c>
      <c r="B289" s="4" t="s">
        <v>649</v>
      </c>
      <c r="C289" s="25" t="s">
        <v>648</v>
      </c>
      <c r="F289" s="13">
        <v>0</v>
      </c>
      <c r="I289" s="4">
        <v>2</v>
      </c>
      <c r="J289" s="4">
        <v>7</v>
      </c>
      <c r="K289" s="4" t="s">
        <v>644</v>
      </c>
      <c r="L289" s="4" t="s">
        <v>13</v>
      </c>
      <c r="M289" s="4">
        <v>2024</v>
      </c>
      <c r="N289" s="4">
        <v>1</v>
      </c>
      <c r="O289" s="4">
        <v>1</v>
      </c>
    </row>
    <row r="290" spans="1:15" ht="18">
      <c r="A290" s="4" t="s">
        <v>646</v>
      </c>
      <c r="B290" s="4" t="s">
        <v>651</v>
      </c>
      <c r="C290" s="25" t="s">
        <v>650</v>
      </c>
      <c r="F290" s="13">
        <v>1</v>
      </c>
      <c r="G290" s="23">
        <v>1</v>
      </c>
      <c r="I290" s="4">
        <v>3</v>
      </c>
      <c r="J290" s="4">
        <v>7</v>
      </c>
      <c r="K290" s="4" t="s">
        <v>644</v>
      </c>
      <c r="L290" s="4" t="s">
        <v>13</v>
      </c>
      <c r="M290" s="4">
        <v>2024</v>
      </c>
      <c r="N290" s="4">
        <v>1</v>
      </c>
      <c r="O290" s="4">
        <v>1</v>
      </c>
    </row>
    <row r="291" spans="1:15" ht="18">
      <c r="A291" s="4" t="s">
        <v>646</v>
      </c>
      <c r="B291" s="4" t="s">
        <v>653</v>
      </c>
      <c r="C291" s="25" t="s">
        <v>652</v>
      </c>
      <c r="F291" s="13">
        <v>1</v>
      </c>
      <c r="G291" s="23">
        <v>1</v>
      </c>
      <c r="I291" s="4">
        <v>4</v>
      </c>
      <c r="J291" s="4">
        <v>7</v>
      </c>
      <c r="K291" s="4" t="s">
        <v>644</v>
      </c>
      <c r="L291" s="4" t="s">
        <v>13</v>
      </c>
      <c r="M291" s="4">
        <v>2024</v>
      </c>
      <c r="N291" s="4">
        <v>1</v>
      </c>
      <c r="O291" s="4">
        <v>1</v>
      </c>
    </row>
    <row r="292" spans="1:15" ht="18">
      <c r="A292" s="4" t="s">
        <v>646</v>
      </c>
      <c r="B292" s="4" t="s">
        <v>655</v>
      </c>
      <c r="C292" s="25" t="s">
        <v>654</v>
      </c>
      <c r="F292" s="13">
        <v>0</v>
      </c>
      <c r="I292" s="4">
        <v>5</v>
      </c>
      <c r="J292" s="4">
        <v>7</v>
      </c>
      <c r="K292" s="4" t="s">
        <v>644</v>
      </c>
      <c r="L292" s="4" t="s">
        <v>13</v>
      </c>
      <c r="M292" s="4">
        <v>2024</v>
      </c>
      <c r="N292" s="4">
        <v>1</v>
      </c>
      <c r="O292" s="4">
        <v>1</v>
      </c>
    </row>
    <row r="293" spans="1:15" ht="18">
      <c r="A293" s="4" t="s">
        <v>646</v>
      </c>
      <c r="B293" s="4" t="s">
        <v>658</v>
      </c>
      <c r="C293" s="25" t="s">
        <v>656</v>
      </c>
      <c r="F293" s="13">
        <v>0</v>
      </c>
      <c r="I293" s="4">
        <v>6</v>
      </c>
      <c r="J293" s="4">
        <v>7</v>
      </c>
      <c r="K293" s="4" t="s">
        <v>644</v>
      </c>
      <c r="L293" s="4" t="s">
        <v>13</v>
      </c>
      <c r="M293" s="4">
        <v>2024</v>
      </c>
      <c r="N293" s="4">
        <v>1</v>
      </c>
      <c r="O293" s="4">
        <v>1</v>
      </c>
    </row>
    <row r="294" spans="1:15" ht="18">
      <c r="A294" s="4" t="s">
        <v>646</v>
      </c>
      <c r="B294" s="4" t="s">
        <v>659</v>
      </c>
      <c r="C294" s="25" t="s">
        <v>657</v>
      </c>
      <c r="F294" s="13">
        <v>0</v>
      </c>
      <c r="I294" s="4">
        <v>7</v>
      </c>
      <c r="J294" s="4">
        <v>7</v>
      </c>
      <c r="K294" s="4" t="s">
        <v>644</v>
      </c>
      <c r="L294" s="4" t="s">
        <v>13</v>
      </c>
      <c r="M294" s="4">
        <v>2024</v>
      </c>
      <c r="N294" s="4">
        <v>1</v>
      </c>
      <c r="O294" s="4">
        <v>1</v>
      </c>
    </row>
    <row r="295" spans="1:15" ht="18">
      <c r="A295" s="4" t="s">
        <v>660</v>
      </c>
      <c r="B295" s="4" t="s">
        <v>661</v>
      </c>
      <c r="C295" s="25" t="s">
        <v>662</v>
      </c>
      <c r="F295" s="13">
        <v>0</v>
      </c>
      <c r="I295" s="4">
        <v>1</v>
      </c>
      <c r="J295" s="4">
        <v>8</v>
      </c>
      <c r="K295" s="4" t="s">
        <v>644</v>
      </c>
      <c r="L295" s="4" t="s">
        <v>13</v>
      </c>
      <c r="M295" s="4">
        <v>2025</v>
      </c>
      <c r="N295" s="4">
        <v>1</v>
      </c>
      <c r="O295" s="4">
        <v>1</v>
      </c>
    </row>
    <row r="296" spans="1:15" ht="18">
      <c r="A296" s="4" t="s">
        <v>660</v>
      </c>
      <c r="B296" s="4" t="s">
        <v>670</v>
      </c>
      <c r="C296" s="25" t="s">
        <v>663</v>
      </c>
      <c r="F296" s="13">
        <v>0</v>
      </c>
      <c r="I296" s="4">
        <v>2</v>
      </c>
      <c r="J296" s="4">
        <v>8</v>
      </c>
      <c r="K296" s="4" t="s">
        <v>644</v>
      </c>
      <c r="L296" s="4" t="s">
        <v>13</v>
      </c>
      <c r="M296" s="4">
        <v>2025</v>
      </c>
      <c r="N296" s="4">
        <v>1</v>
      </c>
      <c r="O296" s="4">
        <v>1</v>
      </c>
    </row>
    <row r="297" spans="1:15" ht="18">
      <c r="A297" s="4" t="s">
        <v>660</v>
      </c>
      <c r="B297" s="4" t="s">
        <v>671</v>
      </c>
      <c r="C297" s="25" t="s">
        <v>664</v>
      </c>
      <c r="F297" s="13">
        <v>1</v>
      </c>
      <c r="G297" s="23">
        <v>1</v>
      </c>
      <c r="I297" s="4">
        <v>3</v>
      </c>
      <c r="J297" s="4">
        <v>8</v>
      </c>
      <c r="K297" s="4" t="s">
        <v>644</v>
      </c>
      <c r="L297" s="4" t="s">
        <v>13</v>
      </c>
      <c r="M297" s="4">
        <v>2025</v>
      </c>
      <c r="N297" s="4">
        <v>1</v>
      </c>
      <c r="O297" s="4">
        <v>1</v>
      </c>
    </row>
    <row r="298" spans="1:15" ht="18">
      <c r="A298" s="4" t="s">
        <v>660</v>
      </c>
      <c r="B298" s="4" t="s">
        <v>672</v>
      </c>
      <c r="C298" s="25" t="s">
        <v>665</v>
      </c>
      <c r="F298" s="13">
        <v>0</v>
      </c>
      <c r="I298" s="4">
        <v>4</v>
      </c>
      <c r="J298" s="4">
        <v>8</v>
      </c>
      <c r="K298" s="4" t="s">
        <v>644</v>
      </c>
      <c r="L298" s="4" t="s">
        <v>13</v>
      </c>
      <c r="M298" s="4">
        <v>2025</v>
      </c>
      <c r="N298" s="4">
        <v>1</v>
      </c>
      <c r="O298" s="4">
        <v>1</v>
      </c>
    </row>
    <row r="299" spans="1:15" ht="18">
      <c r="A299" s="4" t="s">
        <v>660</v>
      </c>
      <c r="B299" s="4" t="s">
        <v>673</v>
      </c>
      <c r="C299" s="25" t="s">
        <v>666</v>
      </c>
      <c r="F299" s="13">
        <v>0</v>
      </c>
      <c r="I299" s="4">
        <v>5</v>
      </c>
      <c r="J299" s="4">
        <v>8</v>
      </c>
      <c r="K299" s="4" t="s">
        <v>644</v>
      </c>
      <c r="L299" s="4" t="s">
        <v>13</v>
      </c>
      <c r="M299" s="4">
        <v>2025</v>
      </c>
      <c r="N299" s="4">
        <v>1</v>
      </c>
      <c r="O299" s="4">
        <v>1</v>
      </c>
    </row>
    <row r="300" spans="1:15" ht="18">
      <c r="A300" s="4" t="s">
        <v>660</v>
      </c>
      <c r="B300" s="4" t="s">
        <v>674</v>
      </c>
      <c r="C300" s="25" t="s">
        <v>667</v>
      </c>
      <c r="F300" s="13">
        <v>1</v>
      </c>
      <c r="G300" s="23">
        <v>0</v>
      </c>
      <c r="I300" s="4">
        <v>6</v>
      </c>
      <c r="J300" s="4">
        <v>8</v>
      </c>
      <c r="K300" s="4" t="s">
        <v>644</v>
      </c>
      <c r="L300" s="4" t="s">
        <v>13</v>
      </c>
      <c r="M300" s="4">
        <v>2025</v>
      </c>
      <c r="N300" s="4">
        <v>1</v>
      </c>
      <c r="O300" s="4">
        <v>1</v>
      </c>
    </row>
    <row r="301" spans="1:15" ht="18">
      <c r="A301" s="4" t="s">
        <v>660</v>
      </c>
      <c r="B301" s="4" t="s">
        <v>675</v>
      </c>
      <c r="C301" s="25" t="s">
        <v>668</v>
      </c>
      <c r="F301" s="13">
        <v>0</v>
      </c>
      <c r="I301" s="4">
        <v>7</v>
      </c>
      <c r="J301" s="4">
        <v>8</v>
      </c>
      <c r="K301" s="4" t="s">
        <v>644</v>
      </c>
      <c r="L301" s="4" t="s">
        <v>13</v>
      </c>
      <c r="M301" s="4">
        <v>2025</v>
      </c>
      <c r="N301" s="4">
        <v>1</v>
      </c>
      <c r="O301" s="4">
        <v>1</v>
      </c>
    </row>
    <row r="302" spans="1:15" ht="18">
      <c r="A302" s="4" t="s">
        <v>660</v>
      </c>
      <c r="B302" s="4" t="s">
        <v>676</v>
      </c>
      <c r="C302" s="25" t="s">
        <v>669</v>
      </c>
      <c r="F302" s="13">
        <v>0</v>
      </c>
      <c r="I302" s="4">
        <v>8</v>
      </c>
      <c r="J302" s="4">
        <v>8</v>
      </c>
      <c r="K302" s="4" t="s">
        <v>644</v>
      </c>
      <c r="L302" s="4" t="s">
        <v>13</v>
      </c>
      <c r="M302" s="4">
        <v>2025</v>
      </c>
      <c r="N302" s="4">
        <v>1</v>
      </c>
      <c r="O302" s="4">
        <v>1</v>
      </c>
    </row>
    <row r="303" spans="1:15" ht="18">
      <c r="A303" s="4" t="s">
        <v>677</v>
      </c>
      <c r="B303" s="4" t="s">
        <v>678</v>
      </c>
      <c r="C303" s="25" t="s">
        <v>679</v>
      </c>
      <c r="F303" s="13">
        <v>0</v>
      </c>
      <c r="I303" s="4">
        <v>1</v>
      </c>
      <c r="J303" s="4">
        <v>6</v>
      </c>
      <c r="K303" s="4" t="s">
        <v>690</v>
      </c>
      <c r="L303" s="4" t="s">
        <v>13</v>
      </c>
      <c r="M303" s="4">
        <v>2025</v>
      </c>
      <c r="N303" s="4">
        <v>1</v>
      </c>
      <c r="O303" s="4">
        <v>1</v>
      </c>
    </row>
    <row r="304" spans="1:15" ht="18">
      <c r="A304" s="4" t="s">
        <v>677</v>
      </c>
      <c r="B304" s="4" t="s">
        <v>680</v>
      </c>
      <c r="C304" s="25" t="s">
        <v>681</v>
      </c>
      <c r="F304" s="13">
        <v>0</v>
      </c>
      <c r="I304" s="4">
        <v>2</v>
      </c>
      <c r="J304" s="4">
        <v>6</v>
      </c>
      <c r="K304" s="4" t="s">
        <v>690</v>
      </c>
      <c r="L304" s="4" t="s">
        <v>13</v>
      </c>
      <c r="M304" s="4">
        <v>2025</v>
      </c>
      <c r="N304" s="4">
        <v>1</v>
      </c>
      <c r="O304" s="4">
        <v>1</v>
      </c>
    </row>
    <row r="305" spans="1:15">
      <c r="A305" s="4" t="s">
        <v>677</v>
      </c>
      <c r="B305" s="4" t="s">
        <v>686</v>
      </c>
      <c r="C305" t="s">
        <v>682</v>
      </c>
      <c r="F305" s="13">
        <v>0</v>
      </c>
      <c r="I305" s="4">
        <v>3</v>
      </c>
      <c r="J305" s="4">
        <v>6</v>
      </c>
      <c r="K305" s="4" t="s">
        <v>690</v>
      </c>
      <c r="L305" s="4" t="s">
        <v>13</v>
      </c>
      <c r="M305" s="4">
        <v>2025</v>
      </c>
      <c r="N305" s="4">
        <v>1</v>
      </c>
      <c r="O305" s="4">
        <v>1</v>
      </c>
    </row>
    <row r="306" spans="1:15" ht="18">
      <c r="A306" s="4" t="s">
        <v>677</v>
      </c>
      <c r="B306" s="4" t="s">
        <v>687</v>
      </c>
      <c r="C306" s="25" t="s">
        <v>683</v>
      </c>
      <c r="F306" s="13">
        <v>1</v>
      </c>
      <c r="G306" s="23">
        <v>0</v>
      </c>
      <c r="I306" s="4">
        <v>4</v>
      </c>
      <c r="J306" s="4">
        <v>6</v>
      </c>
      <c r="K306" s="4" t="s">
        <v>690</v>
      </c>
      <c r="L306" s="4" t="s">
        <v>13</v>
      </c>
      <c r="M306" s="4">
        <v>2025</v>
      </c>
      <c r="N306" s="4">
        <v>1</v>
      </c>
      <c r="O306" s="4">
        <v>1</v>
      </c>
    </row>
    <row r="307" spans="1:15">
      <c r="A307" s="4" t="s">
        <v>677</v>
      </c>
      <c r="B307" s="4" t="s">
        <v>688</v>
      </c>
      <c r="C307" t="s">
        <v>684</v>
      </c>
      <c r="F307" s="13">
        <v>0</v>
      </c>
      <c r="I307" s="4">
        <v>5</v>
      </c>
      <c r="J307" s="4">
        <v>6</v>
      </c>
      <c r="K307" s="4" t="s">
        <v>690</v>
      </c>
      <c r="L307" s="4" t="s">
        <v>13</v>
      </c>
      <c r="M307" s="4">
        <v>2025</v>
      </c>
      <c r="N307" s="4">
        <v>1</v>
      </c>
      <c r="O307" s="4">
        <v>1</v>
      </c>
    </row>
    <row r="308" spans="1:15" ht="18">
      <c r="A308" s="4" t="s">
        <v>677</v>
      </c>
      <c r="B308" s="4" t="s">
        <v>689</v>
      </c>
      <c r="C308" s="25" t="s">
        <v>685</v>
      </c>
      <c r="F308" s="13">
        <v>0</v>
      </c>
      <c r="I308" s="4">
        <v>6</v>
      </c>
      <c r="J308" s="4">
        <v>6</v>
      </c>
      <c r="K308" s="4" t="s">
        <v>690</v>
      </c>
      <c r="L308" s="4" t="s">
        <v>13</v>
      </c>
      <c r="M308" s="4">
        <v>2025</v>
      </c>
      <c r="N308" s="4">
        <v>1</v>
      </c>
      <c r="O308" s="4">
        <v>1</v>
      </c>
    </row>
    <row r="309" spans="1:15">
      <c r="A309" s="4" t="s">
        <v>691</v>
      </c>
      <c r="B309" s="4" t="s">
        <v>710</v>
      </c>
      <c r="C309" t="s">
        <v>692</v>
      </c>
      <c r="F309" s="13">
        <v>0</v>
      </c>
      <c r="I309" s="4">
        <v>1</v>
      </c>
      <c r="J309" s="4">
        <v>18</v>
      </c>
      <c r="K309" s="4" t="s">
        <v>728</v>
      </c>
      <c r="L309" s="4" t="s">
        <v>13</v>
      </c>
      <c r="M309" s="4">
        <v>2025</v>
      </c>
      <c r="N309" s="4">
        <v>1</v>
      </c>
      <c r="O309" s="4">
        <v>1</v>
      </c>
    </row>
    <row r="310" spans="1:15">
      <c r="A310" s="4" t="s">
        <v>691</v>
      </c>
      <c r="B310" s="4" t="s">
        <v>711</v>
      </c>
      <c r="C310" t="s">
        <v>693</v>
      </c>
      <c r="F310" s="13">
        <v>0</v>
      </c>
      <c r="I310" s="4">
        <v>2</v>
      </c>
      <c r="J310" s="4">
        <v>18</v>
      </c>
      <c r="K310" s="4" t="s">
        <v>728</v>
      </c>
      <c r="L310" s="4" t="s">
        <v>13</v>
      </c>
      <c r="M310" s="4">
        <v>2025</v>
      </c>
      <c r="N310" s="4">
        <v>1</v>
      </c>
      <c r="O310" s="4">
        <v>1</v>
      </c>
    </row>
    <row r="311" spans="1:15">
      <c r="A311" s="4" t="s">
        <v>691</v>
      </c>
      <c r="B311" s="4" t="s">
        <v>712</v>
      </c>
      <c r="C311" t="s">
        <v>694</v>
      </c>
      <c r="F311" s="13">
        <v>0</v>
      </c>
      <c r="I311" s="4">
        <v>3</v>
      </c>
      <c r="J311" s="4">
        <v>18</v>
      </c>
      <c r="K311" s="4" t="s">
        <v>728</v>
      </c>
      <c r="L311" s="4" t="s">
        <v>13</v>
      </c>
      <c r="M311" s="4">
        <v>2025</v>
      </c>
      <c r="N311" s="4">
        <v>1</v>
      </c>
      <c r="O311" s="4">
        <v>1</v>
      </c>
    </row>
    <row r="312" spans="1:15">
      <c r="A312" s="4" t="s">
        <v>691</v>
      </c>
      <c r="B312" s="4" t="s">
        <v>713</v>
      </c>
      <c r="C312" t="s">
        <v>695</v>
      </c>
      <c r="F312" s="13">
        <v>1</v>
      </c>
      <c r="G312" s="23">
        <v>0</v>
      </c>
      <c r="I312" s="4">
        <v>4</v>
      </c>
      <c r="J312" s="4">
        <v>18</v>
      </c>
      <c r="K312" s="4" t="s">
        <v>728</v>
      </c>
      <c r="L312" s="4" t="s">
        <v>13</v>
      </c>
      <c r="M312" s="4">
        <v>2025</v>
      </c>
      <c r="N312" s="4">
        <v>1</v>
      </c>
      <c r="O312" s="4">
        <v>1</v>
      </c>
    </row>
    <row r="313" spans="1:15">
      <c r="A313" s="4" t="s">
        <v>691</v>
      </c>
      <c r="B313" s="4" t="s">
        <v>714</v>
      </c>
      <c r="C313" t="s">
        <v>696</v>
      </c>
      <c r="F313" s="13">
        <v>0</v>
      </c>
      <c r="I313" s="4">
        <v>5</v>
      </c>
      <c r="J313" s="4">
        <v>18</v>
      </c>
      <c r="K313" s="4" t="s">
        <v>728</v>
      </c>
      <c r="L313" s="4" t="s">
        <v>13</v>
      </c>
      <c r="M313" s="4">
        <v>2025</v>
      </c>
      <c r="N313" s="4">
        <v>1</v>
      </c>
      <c r="O313" s="4">
        <v>1</v>
      </c>
    </row>
    <row r="314" spans="1:15">
      <c r="A314" s="4" t="s">
        <v>691</v>
      </c>
      <c r="B314" s="4" t="s">
        <v>715</v>
      </c>
      <c r="C314" t="s">
        <v>697</v>
      </c>
      <c r="F314" s="13">
        <v>0</v>
      </c>
      <c r="I314" s="4">
        <v>6</v>
      </c>
      <c r="J314" s="4">
        <v>18</v>
      </c>
      <c r="K314" s="4" t="s">
        <v>728</v>
      </c>
      <c r="L314" s="4" t="s">
        <v>13</v>
      </c>
      <c r="M314" s="4">
        <v>2025</v>
      </c>
      <c r="N314" s="4">
        <v>1</v>
      </c>
      <c r="O314" s="4">
        <v>1</v>
      </c>
    </row>
    <row r="315" spans="1:15">
      <c r="A315" s="4" t="s">
        <v>691</v>
      </c>
      <c r="B315" s="4" t="s">
        <v>716</v>
      </c>
      <c r="C315" t="s">
        <v>698</v>
      </c>
      <c r="F315" s="13">
        <v>1</v>
      </c>
      <c r="G315" s="23">
        <v>0</v>
      </c>
      <c r="I315" s="4">
        <v>7</v>
      </c>
      <c r="J315" s="4">
        <v>18</v>
      </c>
      <c r="K315" s="4" t="s">
        <v>728</v>
      </c>
      <c r="L315" s="4" t="s">
        <v>13</v>
      </c>
      <c r="M315" s="4">
        <v>2025</v>
      </c>
      <c r="N315" s="4">
        <v>1</v>
      </c>
      <c r="O315" s="4">
        <v>1</v>
      </c>
    </row>
    <row r="316" spans="1:15">
      <c r="A316" s="4" t="s">
        <v>691</v>
      </c>
      <c r="B316" s="4" t="s">
        <v>717</v>
      </c>
      <c r="C316" t="s">
        <v>699</v>
      </c>
      <c r="F316" s="13">
        <v>1</v>
      </c>
      <c r="G316" s="23">
        <v>0</v>
      </c>
      <c r="I316" s="4">
        <v>8</v>
      </c>
      <c r="J316" s="4">
        <v>18</v>
      </c>
      <c r="K316" s="4" t="s">
        <v>728</v>
      </c>
      <c r="L316" s="4" t="s">
        <v>13</v>
      </c>
      <c r="M316" s="4">
        <v>2025</v>
      </c>
      <c r="N316" s="4">
        <v>1</v>
      </c>
      <c r="O316" s="4">
        <v>1</v>
      </c>
    </row>
    <row r="317" spans="1:15">
      <c r="A317" s="4" t="s">
        <v>691</v>
      </c>
      <c r="B317" s="4" t="s">
        <v>718</v>
      </c>
      <c r="C317" t="s">
        <v>700</v>
      </c>
      <c r="F317" s="13">
        <v>0</v>
      </c>
      <c r="I317" s="4">
        <v>9</v>
      </c>
      <c r="J317" s="4">
        <v>18</v>
      </c>
      <c r="K317" s="4" t="s">
        <v>728</v>
      </c>
      <c r="L317" s="4" t="s">
        <v>13</v>
      </c>
      <c r="M317" s="4">
        <v>2025</v>
      </c>
      <c r="N317" s="4">
        <v>1</v>
      </c>
      <c r="O317" s="4">
        <v>1</v>
      </c>
    </row>
    <row r="318" spans="1:15">
      <c r="A318" s="4" t="s">
        <v>691</v>
      </c>
      <c r="B318" s="4" t="s">
        <v>719</v>
      </c>
      <c r="C318" t="s">
        <v>701</v>
      </c>
      <c r="F318" s="13">
        <v>0</v>
      </c>
      <c r="I318" s="4">
        <v>10</v>
      </c>
      <c r="J318" s="4">
        <v>18</v>
      </c>
      <c r="K318" s="4" t="s">
        <v>728</v>
      </c>
      <c r="L318" s="4" t="s">
        <v>13</v>
      </c>
      <c r="M318" s="4">
        <v>2025</v>
      </c>
      <c r="N318" s="4">
        <v>1</v>
      </c>
      <c r="O318" s="4">
        <v>1</v>
      </c>
    </row>
    <row r="319" spans="1:15">
      <c r="A319" s="4" t="s">
        <v>691</v>
      </c>
      <c r="B319" s="4" t="s">
        <v>720</v>
      </c>
      <c r="C319" t="s">
        <v>702</v>
      </c>
      <c r="F319" s="13">
        <v>1</v>
      </c>
      <c r="G319" s="23">
        <v>0</v>
      </c>
      <c r="I319" s="4">
        <v>11</v>
      </c>
      <c r="J319" s="4">
        <v>18</v>
      </c>
      <c r="K319" s="4" t="s">
        <v>728</v>
      </c>
      <c r="L319" s="4" t="s">
        <v>13</v>
      </c>
      <c r="M319" s="4">
        <v>2025</v>
      </c>
      <c r="N319" s="4">
        <v>1</v>
      </c>
      <c r="O319" s="4">
        <v>1</v>
      </c>
    </row>
    <row r="320" spans="1:15">
      <c r="A320" s="4" t="s">
        <v>691</v>
      </c>
      <c r="B320" s="4" t="s">
        <v>721</v>
      </c>
      <c r="C320" t="s">
        <v>703</v>
      </c>
      <c r="F320" s="13">
        <v>0</v>
      </c>
      <c r="I320" s="4">
        <v>12</v>
      </c>
      <c r="J320" s="4">
        <v>18</v>
      </c>
      <c r="K320" s="4" t="s">
        <v>728</v>
      </c>
      <c r="L320" s="4" t="s">
        <v>13</v>
      </c>
      <c r="M320" s="4">
        <v>2025</v>
      </c>
      <c r="N320" s="4">
        <v>1</v>
      </c>
      <c r="O320" s="4">
        <v>1</v>
      </c>
    </row>
    <row r="321" spans="1:15">
      <c r="A321" s="4" t="s">
        <v>691</v>
      </c>
      <c r="B321" s="4" t="s">
        <v>722</v>
      </c>
      <c r="C321" t="s">
        <v>704</v>
      </c>
      <c r="F321" s="13">
        <v>1</v>
      </c>
      <c r="G321" s="23">
        <v>0</v>
      </c>
      <c r="I321" s="4">
        <v>13</v>
      </c>
      <c r="J321" s="4">
        <v>18</v>
      </c>
      <c r="K321" s="4" t="s">
        <v>728</v>
      </c>
      <c r="L321" s="4" t="s">
        <v>13</v>
      </c>
      <c r="M321" s="4">
        <v>2025</v>
      </c>
      <c r="N321" s="4">
        <v>1</v>
      </c>
      <c r="O321" s="4">
        <v>1</v>
      </c>
    </row>
    <row r="322" spans="1:15">
      <c r="A322" s="4" t="s">
        <v>691</v>
      </c>
      <c r="B322" s="4" t="s">
        <v>723</v>
      </c>
      <c r="C322" t="s">
        <v>705</v>
      </c>
      <c r="F322" s="13">
        <v>1</v>
      </c>
      <c r="G322" s="23">
        <v>0</v>
      </c>
      <c r="I322" s="4">
        <v>14</v>
      </c>
      <c r="J322" s="4">
        <v>18</v>
      </c>
      <c r="K322" s="4" t="s">
        <v>728</v>
      </c>
      <c r="L322" s="4" t="s">
        <v>13</v>
      </c>
      <c r="M322" s="4">
        <v>2025</v>
      </c>
      <c r="N322" s="4">
        <v>1</v>
      </c>
      <c r="O322" s="4">
        <v>1</v>
      </c>
    </row>
    <row r="323" spans="1:15">
      <c r="A323" s="4" t="s">
        <v>691</v>
      </c>
      <c r="B323" s="4" t="s">
        <v>724</v>
      </c>
      <c r="C323" t="s">
        <v>706</v>
      </c>
      <c r="F323" s="13">
        <v>0</v>
      </c>
      <c r="H323" s="19"/>
      <c r="I323" s="4">
        <v>15</v>
      </c>
      <c r="J323" s="4">
        <v>18</v>
      </c>
      <c r="K323" s="4" t="s">
        <v>728</v>
      </c>
      <c r="L323" s="4" t="s">
        <v>13</v>
      </c>
      <c r="M323" s="4">
        <v>2025</v>
      </c>
      <c r="N323" s="4">
        <v>1</v>
      </c>
      <c r="O323" s="4">
        <v>1</v>
      </c>
    </row>
    <row r="324" spans="1:15">
      <c r="A324" s="4" t="s">
        <v>691</v>
      </c>
      <c r="B324" s="4" t="s">
        <v>725</v>
      </c>
      <c r="C324" t="s">
        <v>707</v>
      </c>
      <c r="F324" s="13">
        <v>0</v>
      </c>
      <c r="I324" s="4">
        <v>16</v>
      </c>
      <c r="J324" s="4">
        <v>18</v>
      </c>
      <c r="K324" s="4" t="s">
        <v>728</v>
      </c>
      <c r="L324" s="4" t="s">
        <v>13</v>
      </c>
      <c r="M324" s="4">
        <v>2025</v>
      </c>
      <c r="N324" s="4">
        <v>1</v>
      </c>
      <c r="O324" s="4">
        <v>1</v>
      </c>
    </row>
    <row r="325" spans="1:15">
      <c r="A325" s="4" t="s">
        <v>691</v>
      </c>
      <c r="B325" s="4" t="s">
        <v>726</v>
      </c>
      <c r="C325" t="s">
        <v>708</v>
      </c>
      <c r="F325" s="13">
        <v>1</v>
      </c>
      <c r="G325" s="23">
        <v>0</v>
      </c>
      <c r="I325" s="4">
        <v>17</v>
      </c>
      <c r="J325" s="4">
        <v>18</v>
      </c>
      <c r="K325" s="4" t="s">
        <v>728</v>
      </c>
      <c r="L325" s="4" t="s">
        <v>13</v>
      </c>
      <c r="M325" s="4">
        <v>2025</v>
      </c>
      <c r="N325" s="4">
        <v>1</v>
      </c>
      <c r="O325" s="4">
        <v>1</v>
      </c>
    </row>
    <row r="326" spans="1:15">
      <c r="A326" s="4" t="s">
        <v>691</v>
      </c>
      <c r="B326" s="4" t="s">
        <v>727</v>
      </c>
      <c r="C326" t="s">
        <v>709</v>
      </c>
      <c r="F326" s="13">
        <v>0</v>
      </c>
      <c r="I326" s="4">
        <v>18</v>
      </c>
      <c r="J326" s="4">
        <v>18</v>
      </c>
      <c r="K326" s="4" t="s">
        <v>728</v>
      </c>
      <c r="L326" s="4" t="s">
        <v>13</v>
      </c>
      <c r="M326" s="4">
        <v>2025</v>
      </c>
      <c r="N326" s="4">
        <v>1</v>
      </c>
      <c r="O326" s="4">
        <v>1</v>
      </c>
    </row>
    <row r="327" spans="1:15">
      <c r="A327" s="4" t="s">
        <v>730</v>
      </c>
      <c r="B327" s="4" t="s">
        <v>729</v>
      </c>
      <c r="C327" t="s">
        <v>731</v>
      </c>
      <c r="F327" s="13">
        <v>1</v>
      </c>
      <c r="G327" s="23">
        <v>1</v>
      </c>
      <c r="I327" s="4">
        <v>1</v>
      </c>
      <c r="J327" s="4">
        <v>11</v>
      </c>
      <c r="K327" s="4" t="s">
        <v>728</v>
      </c>
      <c r="L327" s="4" t="s">
        <v>13</v>
      </c>
      <c r="M327" s="4">
        <v>2024</v>
      </c>
      <c r="N327" s="4">
        <v>1</v>
      </c>
      <c r="O327" s="4">
        <v>1</v>
      </c>
    </row>
    <row r="328" spans="1:15">
      <c r="A328" s="4" t="s">
        <v>730</v>
      </c>
      <c r="B328" s="4" t="s">
        <v>742</v>
      </c>
      <c r="C328" t="s">
        <v>732</v>
      </c>
      <c r="F328" s="13">
        <v>1</v>
      </c>
      <c r="G328" s="23">
        <v>0</v>
      </c>
      <c r="I328" s="4">
        <v>2</v>
      </c>
      <c r="J328" s="4">
        <v>11</v>
      </c>
      <c r="K328" s="4" t="s">
        <v>728</v>
      </c>
      <c r="L328" s="4" t="s">
        <v>13</v>
      </c>
      <c r="M328" s="4">
        <v>2024</v>
      </c>
      <c r="N328" s="4">
        <v>1</v>
      </c>
      <c r="O328" s="4">
        <v>1</v>
      </c>
    </row>
    <row r="329" spans="1:15">
      <c r="A329" s="4" t="s">
        <v>730</v>
      </c>
      <c r="B329" s="4" t="s">
        <v>743</v>
      </c>
      <c r="C329" t="s">
        <v>733</v>
      </c>
      <c r="F329" s="13">
        <v>0</v>
      </c>
      <c r="I329" s="4">
        <v>3</v>
      </c>
      <c r="J329" s="4">
        <v>11</v>
      </c>
      <c r="K329" s="4" t="s">
        <v>728</v>
      </c>
      <c r="L329" s="4" t="s">
        <v>13</v>
      </c>
      <c r="M329" s="4">
        <v>2024</v>
      </c>
      <c r="N329" s="4">
        <v>1</v>
      </c>
      <c r="O329" s="4">
        <v>1</v>
      </c>
    </row>
    <row r="330" spans="1:15">
      <c r="A330" s="4" t="s">
        <v>730</v>
      </c>
      <c r="B330" s="4" t="s">
        <v>744</v>
      </c>
      <c r="C330" t="s">
        <v>734</v>
      </c>
      <c r="F330" s="13">
        <v>0</v>
      </c>
      <c r="I330" s="4">
        <v>4</v>
      </c>
      <c r="J330" s="4">
        <v>11</v>
      </c>
      <c r="K330" s="4" t="s">
        <v>728</v>
      </c>
      <c r="L330" s="4" t="s">
        <v>13</v>
      </c>
      <c r="M330" s="4">
        <v>2024</v>
      </c>
      <c r="N330" s="4">
        <v>1</v>
      </c>
      <c r="O330" s="4">
        <v>1</v>
      </c>
    </row>
    <row r="331" spans="1:15">
      <c r="A331" s="4" t="s">
        <v>730</v>
      </c>
      <c r="B331" s="4" t="s">
        <v>745</v>
      </c>
      <c r="C331" t="s">
        <v>735</v>
      </c>
      <c r="F331" s="13">
        <v>0</v>
      </c>
      <c r="I331" s="4">
        <v>5</v>
      </c>
      <c r="J331" s="4">
        <v>11</v>
      </c>
      <c r="K331" s="4" t="s">
        <v>728</v>
      </c>
      <c r="L331" s="4" t="s">
        <v>13</v>
      </c>
      <c r="M331" s="4">
        <v>2024</v>
      </c>
      <c r="N331" s="4">
        <v>1</v>
      </c>
      <c r="O331" s="4">
        <v>1</v>
      </c>
    </row>
    <row r="332" spans="1:15">
      <c r="A332" s="4" t="s">
        <v>730</v>
      </c>
      <c r="B332" s="4" t="s">
        <v>746</v>
      </c>
      <c r="C332" t="s">
        <v>736</v>
      </c>
      <c r="F332" s="13">
        <v>0</v>
      </c>
      <c r="I332" s="4">
        <v>6</v>
      </c>
      <c r="J332" s="4">
        <v>11</v>
      </c>
      <c r="K332" s="4" t="s">
        <v>728</v>
      </c>
      <c r="L332" s="4" t="s">
        <v>13</v>
      </c>
      <c r="M332" s="4">
        <v>2024</v>
      </c>
      <c r="N332" s="4">
        <v>1</v>
      </c>
      <c r="O332" s="4">
        <v>1</v>
      </c>
    </row>
    <row r="333" spans="1:15">
      <c r="A333" s="4" t="s">
        <v>730</v>
      </c>
      <c r="B333" s="4" t="s">
        <v>747</v>
      </c>
      <c r="C333" t="s">
        <v>737</v>
      </c>
      <c r="F333" s="13">
        <v>1</v>
      </c>
      <c r="G333" s="23">
        <v>1</v>
      </c>
      <c r="I333" s="4">
        <v>7</v>
      </c>
      <c r="J333" s="4">
        <v>11</v>
      </c>
      <c r="K333" s="4" t="s">
        <v>728</v>
      </c>
      <c r="L333" s="4" t="s">
        <v>13</v>
      </c>
      <c r="M333" s="4">
        <v>2024</v>
      </c>
      <c r="N333" s="4">
        <v>1</v>
      </c>
      <c r="O333" s="4">
        <v>1</v>
      </c>
    </row>
    <row r="334" spans="1:15">
      <c r="A334" s="4" t="s">
        <v>730</v>
      </c>
      <c r="B334" s="4" t="s">
        <v>748</v>
      </c>
      <c r="C334" t="s">
        <v>738</v>
      </c>
      <c r="F334" s="13">
        <v>1</v>
      </c>
      <c r="G334" s="23">
        <v>1</v>
      </c>
      <c r="I334" s="4">
        <v>8</v>
      </c>
      <c r="J334" s="4">
        <v>11</v>
      </c>
      <c r="K334" s="4" t="s">
        <v>728</v>
      </c>
      <c r="L334" s="4" t="s">
        <v>13</v>
      </c>
      <c r="M334" s="4">
        <v>2024</v>
      </c>
      <c r="N334" s="4">
        <v>1</v>
      </c>
      <c r="O334" s="4">
        <v>1</v>
      </c>
    </row>
    <row r="335" spans="1:15">
      <c r="A335" s="4" t="s">
        <v>730</v>
      </c>
      <c r="B335" s="4" t="s">
        <v>749</v>
      </c>
      <c r="C335" t="s">
        <v>739</v>
      </c>
      <c r="F335" s="13">
        <v>1</v>
      </c>
      <c r="G335" s="23">
        <v>0</v>
      </c>
      <c r="I335" s="4">
        <v>9</v>
      </c>
      <c r="J335" s="4">
        <v>11</v>
      </c>
      <c r="K335" s="4" t="s">
        <v>728</v>
      </c>
      <c r="L335" s="4" t="s">
        <v>13</v>
      </c>
      <c r="M335" s="4">
        <v>2024</v>
      </c>
      <c r="N335" s="4">
        <v>1</v>
      </c>
      <c r="O335" s="4">
        <v>1</v>
      </c>
    </row>
    <row r="336" spans="1:15">
      <c r="A336" s="4" t="s">
        <v>730</v>
      </c>
      <c r="B336" s="4" t="s">
        <v>750</v>
      </c>
      <c r="C336" t="s">
        <v>740</v>
      </c>
      <c r="F336" s="13">
        <v>0</v>
      </c>
      <c r="I336" s="4">
        <v>10</v>
      </c>
      <c r="J336" s="4">
        <v>11</v>
      </c>
      <c r="K336" s="4" t="s">
        <v>728</v>
      </c>
      <c r="L336" s="4" t="s">
        <v>13</v>
      </c>
      <c r="M336" s="4">
        <v>2024</v>
      </c>
      <c r="N336" s="4">
        <v>1</v>
      </c>
      <c r="O336" s="4">
        <v>1</v>
      </c>
    </row>
    <row r="337" spans="1:15">
      <c r="A337" s="4" t="s">
        <v>730</v>
      </c>
      <c r="B337" s="4" t="s">
        <v>751</v>
      </c>
      <c r="C337" t="s">
        <v>741</v>
      </c>
      <c r="F337" s="13">
        <v>1</v>
      </c>
      <c r="G337" s="23">
        <v>0</v>
      </c>
      <c r="I337" s="4">
        <v>11</v>
      </c>
      <c r="J337" s="4">
        <v>11</v>
      </c>
      <c r="K337" s="4" t="s">
        <v>728</v>
      </c>
      <c r="L337" s="4" t="s">
        <v>13</v>
      </c>
      <c r="M337" s="4">
        <v>2024</v>
      </c>
      <c r="N337" s="4">
        <v>1</v>
      </c>
      <c r="O337" s="4">
        <v>1</v>
      </c>
    </row>
    <row r="338" spans="1:15">
      <c r="A338" s="4" t="s">
        <v>752</v>
      </c>
      <c r="B338" s="4" t="s">
        <v>753</v>
      </c>
      <c r="C338" t="s">
        <v>754</v>
      </c>
      <c r="F338" s="13">
        <v>0</v>
      </c>
      <c r="I338" s="4">
        <v>1</v>
      </c>
      <c r="J338" s="4">
        <v>9</v>
      </c>
      <c r="K338" s="4" t="s">
        <v>728</v>
      </c>
      <c r="L338" s="4" t="s">
        <v>13</v>
      </c>
      <c r="M338" s="4">
        <v>2023</v>
      </c>
      <c r="N338" s="4">
        <v>1</v>
      </c>
      <c r="O338" s="4">
        <v>1</v>
      </c>
    </row>
    <row r="339" spans="1:15">
      <c r="A339" s="4" t="s">
        <v>752</v>
      </c>
      <c r="B339" s="4" t="s">
        <v>763</v>
      </c>
      <c r="C339" t="s">
        <v>755</v>
      </c>
      <c r="F339" s="13">
        <v>0</v>
      </c>
      <c r="I339" s="4">
        <v>2</v>
      </c>
      <c r="J339" s="4">
        <v>9</v>
      </c>
      <c r="K339" s="4" t="s">
        <v>728</v>
      </c>
      <c r="L339" s="4" t="s">
        <v>13</v>
      </c>
      <c r="M339" s="4">
        <v>2023</v>
      </c>
      <c r="N339" s="4">
        <v>1</v>
      </c>
      <c r="O339" s="4">
        <v>1</v>
      </c>
    </row>
    <row r="340" spans="1:15">
      <c r="A340" s="4" t="s">
        <v>752</v>
      </c>
      <c r="B340" s="4" t="s">
        <v>764</v>
      </c>
      <c r="C340" t="s">
        <v>756</v>
      </c>
      <c r="F340" s="13">
        <v>0</v>
      </c>
      <c r="I340" s="4">
        <v>3</v>
      </c>
      <c r="J340" s="4">
        <v>9</v>
      </c>
      <c r="K340" s="4" t="s">
        <v>728</v>
      </c>
      <c r="L340" s="4" t="s">
        <v>13</v>
      </c>
      <c r="M340" s="4">
        <v>2023</v>
      </c>
      <c r="N340" s="4">
        <v>1</v>
      </c>
      <c r="O340" s="4">
        <v>1</v>
      </c>
    </row>
    <row r="341" spans="1:15">
      <c r="A341" s="4" t="s">
        <v>752</v>
      </c>
      <c r="B341" s="4" t="s">
        <v>765</v>
      </c>
      <c r="C341" t="s">
        <v>757</v>
      </c>
      <c r="F341" s="13">
        <v>1</v>
      </c>
      <c r="G341" s="23">
        <v>0</v>
      </c>
      <c r="I341" s="4">
        <v>4</v>
      </c>
      <c r="J341" s="4">
        <v>9</v>
      </c>
      <c r="K341" s="4" t="s">
        <v>728</v>
      </c>
      <c r="L341" s="4" t="s">
        <v>13</v>
      </c>
      <c r="M341" s="4">
        <v>2023</v>
      </c>
      <c r="N341" s="4">
        <v>1</v>
      </c>
      <c r="O341" s="4">
        <v>1</v>
      </c>
    </row>
    <row r="342" spans="1:15">
      <c r="A342" s="4" t="s">
        <v>752</v>
      </c>
      <c r="B342" s="4" t="s">
        <v>766</v>
      </c>
      <c r="C342" t="s">
        <v>758</v>
      </c>
      <c r="F342" s="13">
        <v>1</v>
      </c>
      <c r="G342" s="23">
        <v>0</v>
      </c>
      <c r="I342" s="4">
        <v>5</v>
      </c>
      <c r="J342" s="4">
        <v>9</v>
      </c>
      <c r="K342" s="4" t="s">
        <v>728</v>
      </c>
      <c r="L342" s="4" t="s">
        <v>13</v>
      </c>
      <c r="M342" s="4">
        <v>2023</v>
      </c>
      <c r="N342" s="4">
        <v>1</v>
      </c>
      <c r="O342" s="4">
        <v>1</v>
      </c>
    </row>
    <row r="343" spans="1:15">
      <c r="A343" s="4" t="s">
        <v>752</v>
      </c>
      <c r="B343" s="4" t="s">
        <v>767</v>
      </c>
      <c r="C343" t="s">
        <v>759</v>
      </c>
      <c r="F343" s="13">
        <v>1</v>
      </c>
      <c r="G343" s="23">
        <v>0</v>
      </c>
      <c r="I343" s="4">
        <v>6</v>
      </c>
      <c r="J343" s="4">
        <v>9</v>
      </c>
      <c r="K343" s="4" t="s">
        <v>728</v>
      </c>
      <c r="L343" s="4" t="s">
        <v>13</v>
      </c>
      <c r="M343" s="4">
        <v>2023</v>
      </c>
      <c r="N343" s="4">
        <v>1</v>
      </c>
      <c r="O343" s="4">
        <v>1</v>
      </c>
    </row>
    <row r="344" spans="1:15">
      <c r="A344" s="4" t="s">
        <v>752</v>
      </c>
      <c r="B344" s="4" t="s">
        <v>768</v>
      </c>
      <c r="C344" t="s">
        <v>760</v>
      </c>
      <c r="F344" s="13">
        <v>0</v>
      </c>
      <c r="I344" s="4">
        <v>7</v>
      </c>
      <c r="J344" s="4">
        <v>9</v>
      </c>
      <c r="K344" s="4" t="s">
        <v>728</v>
      </c>
      <c r="L344" s="4" t="s">
        <v>13</v>
      </c>
      <c r="M344" s="4">
        <v>2023</v>
      </c>
      <c r="N344" s="4">
        <v>1</v>
      </c>
      <c r="O344" s="4">
        <v>1</v>
      </c>
    </row>
    <row r="345" spans="1:15">
      <c r="A345" s="4" t="s">
        <v>752</v>
      </c>
      <c r="B345" s="4" t="s">
        <v>769</v>
      </c>
      <c r="C345" t="s">
        <v>761</v>
      </c>
      <c r="F345" s="13">
        <v>1</v>
      </c>
      <c r="G345" s="23">
        <v>0</v>
      </c>
      <c r="I345" s="4">
        <v>8</v>
      </c>
      <c r="J345" s="4">
        <v>9</v>
      </c>
      <c r="K345" s="4" t="s">
        <v>728</v>
      </c>
      <c r="L345" s="4" t="s">
        <v>13</v>
      </c>
      <c r="M345" s="4">
        <v>2023</v>
      </c>
      <c r="N345" s="4">
        <v>1</v>
      </c>
      <c r="O345" s="4">
        <v>1</v>
      </c>
    </row>
    <row r="346" spans="1:15">
      <c r="A346" s="4" t="s">
        <v>752</v>
      </c>
      <c r="B346" s="4" t="s">
        <v>770</v>
      </c>
      <c r="C346" t="s">
        <v>762</v>
      </c>
      <c r="F346" s="13">
        <v>0</v>
      </c>
      <c r="I346" s="4">
        <v>9</v>
      </c>
      <c r="J346" s="4">
        <v>9</v>
      </c>
      <c r="K346" s="4" t="s">
        <v>728</v>
      </c>
      <c r="L346" s="4" t="s">
        <v>13</v>
      </c>
      <c r="M346" s="4">
        <v>2023</v>
      </c>
      <c r="N346" s="4">
        <v>1</v>
      </c>
      <c r="O346" s="4">
        <v>1</v>
      </c>
    </row>
    <row r="347" spans="1:15">
      <c r="A347" s="4" t="s">
        <v>771</v>
      </c>
      <c r="B347" s="4" t="s">
        <v>772</v>
      </c>
      <c r="C347" t="s">
        <v>773</v>
      </c>
      <c r="F347" s="13">
        <v>1</v>
      </c>
      <c r="G347" s="23">
        <v>0</v>
      </c>
      <c r="I347" s="4">
        <v>1</v>
      </c>
      <c r="J347" s="4">
        <v>8</v>
      </c>
      <c r="K347" s="4" t="s">
        <v>728</v>
      </c>
      <c r="L347" s="4" t="s">
        <v>13</v>
      </c>
      <c r="M347" s="4">
        <v>2019</v>
      </c>
      <c r="N347" s="4">
        <v>1</v>
      </c>
      <c r="O347" s="4">
        <v>1</v>
      </c>
    </row>
    <row r="348" spans="1:15">
      <c r="A348" s="4" t="s">
        <v>771</v>
      </c>
      <c r="B348" s="4" t="s">
        <v>782</v>
      </c>
      <c r="C348" t="s">
        <v>774</v>
      </c>
      <c r="F348" s="13">
        <v>0</v>
      </c>
      <c r="I348" s="4">
        <v>2</v>
      </c>
      <c r="J348" s="4">
        <v>8</v>
      </c>
      <c r="K348" s="4" t="s">
        <v>728</v>
      </c>
      <c r="L348" s="4" t="s">
        <v>13</v>
      </c>
      <c r="M348" s="4">
        <v>2019</v>
      </c>
      <c r="N348" s="4">
        <v>1</v>
      </c>
      <c r="O348" s="4">
        <v>1</v>
      </c>
    </row>
    <row r="349" spans="1:15">
      <c r="A349" s="4" t="s">
        <v>771</v>
      </c>
      <c r="B349" s="4" t="s">
        <v>783</v>
      </c>
      <c r="C349" t="s">
        <v>775</v>
      </c>
      <c r="F349" s="13">
        <v>0</v>
      </c>
      <c r="I349" s="4">
        <v>3</v>
      </c>
      <c r="J349" s="4">
        <v>8</v>
      </c>
      <c r="K349" s="4" t="s">
        <v>728</v>
      </c>
      <c r="L349" s="4" t="s">
        <v>13</v>
      </c>
      <c r="M349" s="4">
        <v>2019</v>
      </c>
      <c r="N349" s="4">
        <v>1</v>
      </c>
      <c r="O349" s="4">
        <v>1</v>
      </c>
    </row>
    <row r="350" spans="1:15">
      <c r="A350" s="4" t="s">
        <v>771</v>
      </c>
      <c r="B350" s="4" t="s">
        <v>784</v>
      </c>
      <c r="C350" t="s">
        <v>776</v>
      </c>
      <c r="F350" s="13">
        <v>1</v>
      </c>
      <c r="G350" s="23">
        <v>0</v>
      </c>
      <c r="I350" s="4">
        <v>4</v>
      </c>
      <c r="J350" s="4">
        <v>8</v>
      </c>
      <c r="K350" s="4" t="s">
        <v>728</v>
      </c>
      <c r="L350" s="4" t="s">
        <v>13</v>
      </c>
      <c r="M350" s="4">
        <v>2019</v>
      </c>
      <c r="N350" s="4">
        <v>1</v>
      </c>
      <c r="O350" s="4">
        <v>1</v>
      </c>
    </row>
    <row r="351" spans="1:15">
      <c r="A351" s="4" t="s">
        <v>771</v>
      </c>
      <c r="B351" s="4" t="s">
        <v>785</v>
      </c>
      <c r="C351" t="s">
        <v>777</v>
      </c>
      <c r="F351" s="13">
        <v>0</v>
      </c>
      <c r="I351" s="4">
        <v>5</v>
      </c>
      <c r="J351" s="4">
        <v>8</v>
      </c>
      <c r="K351" s="4" t="s">
        <v>728</v>
      </c>
      <c r="L351" s="4" t="s">
        <v>13</v>
      </c>
      <c r="M351" s="4">
        <v>2019</v>
      </c>
      <c r="N351" s="4">
        <v>1</v>
      </c>
      <c r="O351" s="4">
        <v>1</v>
      </c>
    </row>
    <row r="352" spans="1:15">
      <c r="A352" s="4" t="s">
        <v>771</v>
      </c>
      <c r="B352" s="4" t="s">
        <v>786</v>
      </c>
      <c r="C352" t="s">
        <v>778</v>
      </c>
      <c r="F352" s="13">
        <v>0</v>
      </c>
      <c r="I352" s="4">
        <v>6</v>
      </c>
      <c r="J352" s="4">
        <v>8</v>
      </c>
      <c r="K352" s="4" t="s">
        <v>728</v>
      </c>
      <c r="L352" s="4" t="s">
        <v>13</v>
      </c>
      <c r="M352" s="4">
        <v>2019</v>
      </c>
      <c r="N352" s="4">
        <v>1</v>
      </c>
      <c r="O352" s="4">
        <v>1</v>
      </c>
    </row>
    <row r="353" spans="1:15">
      <c r="A353" s="4" t="s">
        <v>771</v>
      </c>
      <c r="B353" s="4" t="s">
        <v>787</v>
      </c>
      <c r="C353" t="s">
        <v>779</v>
      </c>
      <c r="F353" s="13">
        <v>0</v>
      </c>
      <c r="I353" s="4">
        <v>7</v>
      </c>
      <c r="J353" s="4">
        <v>8</v>
      </c>
      <c r="K353" s="4" t="s">
        <v>728</v>
      </c>
      <c r="L353" s="4" t="s">
        <v>13</v>
      </c>
      <c r="M353" s="4">
        <v>2019</v>
      </c>
      <c r="N353" s="4">
        <v>1</v>
      </c>
      <c r="O353" s="4">
        <v>1</v>
      </c>
    </row>
    <row r="354" spans="1:15">
      <c r="A354" s="4" t="s">
        <v>771</v>
      </c>
      <c r="B354" s="4" t="s">
        <v>788</v>
      </c>
      <c r="C354" t="s">
        <v>780</v>
      </c>
      <c r="F354" s="13">
        <v>0</v>
      </c>
      <c r="I354" s="4">
        <v>8</v>
      </c>
      <c r="J354" s="4">
        <v>8</v>
      </c>
      <c r="K354" s="4" t="s">
        <v>728</v>
      </c>
      <c r="L354" s="4" t="s">
        <v>13</v>
      </c>
      <c r="M354" s="4">
        <v>2019</v>
      </c>
      <c r="N354" s="4">
        <v>1</v>
      </c>
      <c r="O354" s="4">
        <v>1</v>
      </c>
    </row>
    <row r="355" spans="1:15">
      <c r="A355" s="4" t="s">
        <v>790</v>
      </c>
      <c r="B355" s="4" t="s">
        <v>789</v>
      </c>
      <c r="C355" t="s">
        <v>781</v>
      </c>
      <c r="F355" s="13">
        <v>0</v>
      </c>
      <c r="I355" s="4">
        <v>1</v>
      </c>
      <c r="J355" s="4">
        <v>6</v>
      </c>
      <c r="K355" s="4" t="s">
        <v>728</v>
      </c>
      <c r="L355" s="4" t="s">
        <v>13</v>
      </c>
      <c r="M355" s="4">
        <v>2021</v>
      </c>
      <c r="N355" s="4">
        <v>1</v>
      </c>
      <c r="O355" s="4">
        <v>1</v>
      </c>
    </row>
    <row r="356" spans="1:15">
      <c r="A356" s="4" t="s">
        <v>790</v>
      </c>
      <c r="B356" s="4" t="s">
        <v>796</v>
      </c>
      <c r="C356" t="s">
        <v>791</v>
      </c>
      <c r="F356" s="13">
        <v>0</v>
      </c>
      <c r="I356" s="4">
        <v>2</v>
      </c>
      <c r="J356" s="4">
        <v>6</v>
      </c>
      <c r="K356" s="4" t="s">
        <v>728</v>
      </c>
      <c r="L356" s="4" t="s">
        <v>13</v>
      </c>
      <c r="M356" s="4">
        <v>2021</v>
      </c>
      <c r="N356" s="4">
        <v>1</v>
      </c>
      <c r="O356" s="4">
        <v>1</v>
      </c>
    </row>
    <row r="357" spans="1:15">
      <c r="A357" s="4" t="s">
        <v>790</v>
      </c>
      <c r="B357" s="4" t="s">
        <v>797</v>
      </c>
      <c r="C357" t="s">
        <v>792</v>
      </c>
      <c r="F357" s="13">
        <v>0</v>
      </c>
      <c r="I357" s="4">
        <v>3</v>
      </c>
      <c r="J357" s="4">
        <v>6</v>
      </c>
      <c r="K357" s="4" t="s">
        <v>728</v>
      </c>
      <c r="L357" s="4" t="s">
        <v>13</v>
      </c>
      <c r="M357" s="4">
        <v>2021</v>
      </c>
      <c r="N357" s="4">
        <v>1</v>
      </c>
      <c r="O357" s="4">
        <v>1</v>
      </c>
    </row>
    <row r="358" spans="1:15">
      <c r="A358" s="4" t="s">
        <v>790</v>
      </c>
      <c r="B358" s="4" t="s">
        <v>798</v>
      </c>
      <c r="C358" t="s">
        <v>793</v>
      </c>
      <c r="F358" s="13">
        <v>0</v>
      </c>
      <c r="I358" s="4">
        <v>4</v>
      </c>
      <c r="J358" s="4">
        <v>6</v>
      </c>
      <c r="K358" s="4" t="s">
        <v>728</v>
      </c>
      <c r="L358" s="4" t="s">
        <v>13</v>
      </c>
      <c r="M358" s="4">
        <v>2021</v>
      </c>
      <c r="N358" s="4">
        <v>1</v>
      </c>
      <c r="O358" s="4">
        <v>1</v>
      </c>
    </row>
    <row r="359" spans="1:15">
      <c r="A359" s="4" t="s">
        <v>790</v>
      </c>
      <c r="B359" s="4" t="s">
        <v>799</v>
      </c>
      <c r="C359" t="s">
        <v>794</v>
      </c>
      <c r="F359" s="13">
        <v>1</v>
      </c>
      <c r="G359" s="23">
        <v>0</v>
      </c>
      <c r="I359" s="4">
        <v>5</v>
      </c>
      <c r="J359" s="4">
        <v>6</v>
      </c>
      <c r="K359" s="4" t="s">
        <v>728</v>
      </c>
      <c r="L359" s="4" t="s">
        <v>13</v>
      </c>
      <c r="M359" s="4">
        <v>2021</v>
      </c>
      <c r="N359" s="4">
        <v>1</v>
      </c>
      <c r="O359" s="4">
        <v>1</v>
      </c>
    </row>
    <row r="360" spans="1:15">
      <c r="A360" s="4" t="s">
        <v>790</v>
      </c>
      <c r="B360" s="4" t="s">
        <v>800</v>
      </c>
      <c r="C360" t="s">
        <v>795</v>
      </c>
      <c r="F360" s="13">
        <v>0</v>
      </c>
      <c r="I360" s="4">
        <v>6</v>
      </c>
      <c r="J360" s="4">
        <v>6</v>
      </c>
      <c r="K360" s="4" t="s">
        <v>728</v>
      </c>
      <c r="L360" s="4" t="s">
        <v>13</v>
      </c>
      <c r="M360" s="4">
        <v>2021</v>
      </c>
      <c r="N360" s="4">
        <v>1</v>
      </c>
      <c r="O360" s="4">
        <v>1</v>
      </c>
    </row>
    <row r="361" spans="1:15">
      <c r="A361" s="4" t="s">
        <v>802</v>
      </c>
      <c r="B361" s="4" t="s">
        <v>801</v>
      </c>
      <c r="C361" t="s">
        <v>803</v>
      </c>
      <c r="F361" s="13">
        <v>0</v>
      </c>
      <c r="I361" s="4">
        <v>1</v>
      </c>
      <c r="J361" s="4">
        <v>8</v>
      </c>
      <c r="K361" s="4" t="s">
        <v>728</v>
      </c>
      <c r="L361" s="4" t="s">
        <v>13</v>
      </c>
      <c r="M361" s="4">
        <v>2022</v>
      </c>
      <c r="N361" s="4">
        <v>1</v>
      </c>
      <c r="O361" s="4">
        <v>1</v>
      </c>
    </row>
    <row r="362" spans="1:15">
      <c r="A362" s="4" t="s">
        <v>802</v>
      </c>
      <c r="B362" s="4" t="s">
        <v>811</v>
      </c>
      <c r="C362" t="s">
        <v>804</v>
      </c>
      <c r="F362" s="13">
        <v>0</v>
      </c>
      <c r="I362" s="4">
        <v>2</v>
      </c>
      <c r="J362" s="4">
        <v>8</v>
      </c>
      <c r="K362" s="4" t="s">
        <v>728</v>
      </c>
      <c r="L362" s="4" t="s">
        <v>13</v>
      </c>
      <c r="M362" s="4">
        <v>2022</v>
      </c>
      <c r="N362" s="4">
        <v>1</v>
      </c>
      <c r="O362" s="4">
        <v>1</v>
      </c>
    </row>
    <row r="363" spans="1:15">
      <c r="A363" s="4" t="s">
        <v>802</v>
      </c>
      <c r="B363" s="4" t="s">
        <v>812</v>
      </c>
      <c r="C363" t="s">
        <v>805</v>
      </c>
      <c r="F363" s="13">
        <v>1</v>
      </c>
      <c r="G363" s="23">
        <v>0</v>
      </c>
      <c r="I363" s="4">
        <v>3</v>
      </c>
      <c r="J363" s="4">
        <v>8</v>
      </c>
      <c r="K363" s="4" t="s">
        <v>728</v>
      </c>
      <c r="L363" s="4" t="s">
        <v>13</v>
      </c>
      <c r="M363" s="4">
        <v>2022</v>
      </c>
      <c r="N363" s="4">
        <v>1</v>
      </c>
      <c r="O363" s="4">
        <v>1</v>
      </c>
    </row>
    <row r="364" spans="1:15">
      <c r="A364" s="4" t="s">
        <v>802</v>
      </c>
      <c r="B364" s="4" t="s">
        <v>813</v>
      </c>
      <c r="C364" t="s">
        <v>806</v>
      </c>
      <c r="F364" s="13">
        <v>0</v>
      </c>
      <c r="I364" s="4">
        <v>4</v>
      </c>
      <c r="J364" s="4">
        <v>8</v>
      </c>
      <c r="K364" s="4" t="s">
        <v>728</v>
      </c>
      <c r="L364" s="4" t="s">
        <v>13</v>
      </c>
      <c r="M364" s="4">
        <v>2022</v>
      </c>
      <c r="N364" s="4">
        <v>1</v>
      </c>
      <c r="O364" s="4">
        <v>1</v>
      </c>
    </row>
    <row r="365" spans="1:15">
      <c r="A365" s="4" t="s">
        <v>802</v>
      </c>
      <c r="B365" s="4" t="s">
        <v>814</v>
      </c>
      <c r="C365" t="s">
        <v>807</v>
      </c>
      <c r="F365" s="13">
        <v>0</v>
      </c>
      <c r="I365" s="4">
        <v>5</v>
      </c>
      <c r="J365" s="4">
        <v>8</v>
      </c>
      <c r="K365" s="4" t="s">
        <v>728</v>
      </c>
      <c r="L365" s="4" t="s">
        <v>13</v>
      </c>
      <c r="M365" s="4">
        <v>2022</v>
      </c>
      <c r="N365" s="4">
        <v>1</v>
      </c>
      <c r="O365" s="4">
        <v>1</v>
      </c>
    </row>
    <row r="366" spans="1:15">
      <c r="A366" s="4" t="s">
        <v>802</v>
      </c>
      <c r="B366" s="4" t="s">
        <v>815</v>
      </c>
      <c r="C366" t="s">
        <v>808</v>
      </c>
      <c r="F366" s="13">
        <v>0</v>
      </c>
      <c r="I366" s="4">
        <v>6</v>
      </c>
      <c r="J366" s="4">
        <v>8</v>
      </c>
      <c r="K366" s="4" t="s">
        <v>728</v>
      </c>
      <c r="L366" s="4" t="s">
        <v>13</v>
      </c>
      <c r="M366" s="4">
        <v>2022</v>
      </c>
      <c r="N366" s="4">
        <v>1</v>
      </c>
      <c r="O366" s="4">
        <v>1</v>
      </c>
    </row>
    <row r="367" spans="1:15">
      <c r="A367" s="4" t="s">
        <v>802</v>
      </c>
      <c r="B367" s="4" t="s">
        <v>816</v>
      </c>
      <c r="C367" t="s">
        <v>809</v>
      </c>
      <c r="F367" s="13">
        <v>0</v>
      </c>
      <c r="I367" s="4">
        <v>7</v>
      </c>
      <c r="J367" s="4">
        <v>8</v>
      </c>
      <c r="K367" s="4" t="s">
        <v>728</v>
      </c>
      <c r="L367" s="4" t="s">
        <v>13</v>
      </c>
      <c r="M367" s="4">
        <v>2022</v>
      </c>
      <c r="N367" s="4">
        <v>1</v>
      </c>
      <c r="O367" s="4">
        <v>1</v>
      </c>
    </row>
    <row r="368" spans="1:15">
      <c r="A368" s="4" t="s">
        <v>802</v>
      </c>
      <c r="B368" s="4" t="s">
        <v>817</v>
      </c>
      <c r="C368" t="s">
        <v>810</v>
      </c>
      <c r="F368" s="13">
        <v>0</v>
      </c>
      <c r="I368" s="4">
        <v>8</v>
      </c>
      <c r="J368" s="4">
        <v>8</v>
      </c>
      <c r="K368" s="4" t="s">
        <v>728</v>
      </c>
      <c r="L368" s="4" t="s">
        <v>13</v>
      </c>
      <c r="M368" s="4">
        <v>2022</v>
      </c>
      <c r="N368" s="4">
        <v>1</v>
      </c>
      <c r="O368" s="4">
        <v>1</v>
      </c>
    </row>
    <row r="369" spans="1:15">
      <c r="A369" s="4" t="s">
        <v>818</v>
      </c>
      <c r="B369" s="4" t="s">
        <v>819</v>
      </c>
      <c r="C369" t="s">
        <v>820</v>
      </c>
      <c r="F369" s="13">
        <v>0</v>
      </c>
      <c r="I369" s="4">
        <v>1</v>
      </c>
      <c r="J369" s="4">
        <v>6</v>
      </c>
      <c r="K369" s="4" t="s">
        <v>831</v>
      </c>
      <c r="L369" s="4" t="s">
        <v>13</v>
      </c>
      <c r="M369" s="4">
        <v>2025</v>
      </c>
      <c r="N369" s="4">
        <v>1</v>
      </c>
      <c r="O369" s="4">
        <v>1</v>
      </c>
    </row>
    <row r="370" spans="1:15">
      <c r="A370" s="4" t="s">
        <v>818</v>
      </c>
      <c r="B370" s="4" t="s">
        <v>826</v>
      </c>
      <c r="C370" t="s">
        <v>821</v>
      </c>
      <c r="F370" s="13">
        <v>1</v>
      </c>
      <c r="G370" s="23">
        <v>1</v>
      </c>
      <c r="I370" s="4">
        <v>2</v>
      </c>
      <c r="J370" s="4">
        <v>6</v>
      </c>
      <c r="K370" s="4" t="s">
        <v>831</v>
      </c>
      <c r="L370" s="4" t="s">
        <v>13</v>
      </c>
      <c r="M370" s="4">
        <v>2025</v>
      </c>
      <c r="N370" s="4">
        <v>1</v>
      </c>
      <c r="O370" s="4">
        <v>1</v>
      </c>
    </row>
    <row r="371" spans="1:15">
      <c r="A371" s="4" t="s">
        <v>818</v>
      </c>
      <c r="B371" s="4" t="s">
        <v>827</v>
      </c>
      <c r="C371" t="s">
        <v>822</v>
      </c>
      <c r="F371" s="13">
        <v>1</v>
      </c>
      <c r="G371" s="23">
        <v>1</v>
      </c>
      <c r="I371" s="4">
        <v>3</v>
      </c>
      <c r="J371" s="4">
        <v>6</v>
      </c>
      <c r="K371" s="4" t="s">
        <v>831</v>
      </c>
      <c r="L371" s="4" t="s">
        <v>13</v>
      </c>
      <c r="M371" s="4">
        <v>2025</v>
      </c>
      <c r="N371" s="4">
        <v>1</v>
      </c>
      <c r="O371" s="4">
        <v>1</v>
      </c>
    </row>
    <row r="372" spans="1:15">
      <c r="A372" s="4" t="s">
        <v>818</v>
      </c>
      <c r="B372" s="4" t="s">
        <v>828</v>
      </c>
      <c r="C372" t="s">
        <v>823</v>
      </c>
      <c r="F372" s="13">
        <v>1</v>
      </c>
      <c r="G372" s="23">
        <v>1</v>
      </c>
      <c r="I372" s="4">
        <v>4</v>
      </c>
      <c r="J372" s="4">
        <v>6</v>
      </c>
      <c r="K372" s="4" t="s">
        <v>831</v>
      </c>
      <c r="L372" s="4" t="s">
        <v>13</v>
      </c>
      <c r="M372" s="4">
        <v>2025</v>
      </c>
      <c r="N372" s="4">
        <v>1</v>
      </c>
      <c r="O372" s="4">
        <v>1</v>
      </c>
    </row>
    <row r="373" spans="1:15">
      <c r="A373" s="4" t="s">
        <v>818</v>
      </c>
      <c r="B373" s="4" t="s">
        <v>829</v>
      </c>
      <c r="C373" s="27" t="s">
        <v>824</v>
      </c>
      <c r="F373" s="13">
        <v>1</v>
      </c>
      <c r="G373" s="23">
        <v>0</v>
      </c>
      <c r="I373" s="4">
        <v>5</v>
      </c>
      <c r="J373" s="4">
        <v>6</v>
      </c>
      <c r="K373" s="4" t="s">
        <v>831</v>
      </c>
      <c r="L373" s="4" t="s">
        <v>13</v>
      </c>
      <c r="M373" s="4">
        <v>2025</v>
      </c>
      <c r="N373" s="4">
        <v>1</v>
      </c>
      <c r="O373" s="4">
        <v>1</v>
      </c>
    </row>
    <row r="374" spans="1:15">
      <c r="A374" s="4" t="s">
        <v>818</v>
      </c>
      <c r="B374" s="4" t="s">
        <v>830</v>
      </c>
      <c r="C374" t="s">
        <v>825</v>
      </c>
      <c r="F374" s="13">
        <v>1</v>
      </c>
      <c r="G374" s="23">
        <v>0</v>
      </c>
      <c r="I374" s="4">
        <v>6</v>
      </c>
      <c r="J374" s="4">
        <v>6</v>
      </c>
      <c r="K374" s="4" t="s">
        <v>831</v>
      </c>
      <c r="L374" s="4" t="s">
        <v>13</v>
      </c>
      <c r="M374" s="4">
        <v>2025</v>
      </c>
      <c r="N374" s="4">
        <v>1</v>
      </c>
      <c r="O374" s="4">
        <v>1</v>
      </c>
    </row>
    <row r="375" spans="1:15">
      <c r="A375" s="4" t="s">
        <v>833</v>
      </c>
      <c r="B375" s="4" t="s">
        <v>834</v>
      </c>
      <c r="C375" t="s">
        <v>835</v>
      </c>
      <c r="F375" s="13">
        <v>1</v>
      </c>
      <c r="G375" s="23">
        <v>1</v>
      </c>
      <c r="I375" s="4">
        <v>1</v>
      </c>
      <c r="J375" s="4">
        <v>6</v>
      </c>
      <c r="K375" s="4" t="s">
        <v>846</v>
      </c>
      <c r="L375" s="4" t="s">
        <v>13</v>
      </c>
      <c r="M375" s="4">
        <v>2024</v>
      </c>
      <c r="N375" s="4">
        <v>1</v>
      </c>
      <c r="O375" s="4">
        <v>1</v>
      </c>
    </row>
    <row r="376" spans="1:15">
      <c r="A376" s="4" t="s">
        <v>833</v>
      </c>
      <c r="B376" s="4" t="s">
        <v>841</v>
      </c>
      <c r="C376" t="s">
        <v>836</v>
      </c>
      <c r="F376" s="13">
        <v>1</v>
      </c>
      <c r="G376" s="23">
        <v>0</v>
      </c>
      <c r="I376" s="4">
        <v>2</v>
      </c>
      <c r="J376" s="4">
        <v>6</v>
      </c>
      <c r="K376" s="4" t="s">
        <v>846</v>
      </c>
      <c r="L376" s="4" t="s">
        <v>13</v>
      </c>
      <c r="M376" s="4">
        <v>2024</v>
      </c>
      <c r="N376" s="4">
        <v>1</v>
      </c>
      <c r="O376" s="4">
        <v>1</v>
      </c>
    </row>
    <row r="377" spans="1:15">
      <c r="A377" s="4" t="s">
        <v>833</v>
      </c>
      <c r="B377" s="4" t="s">
        <v>842</v>
      </c>
      <c r="C377" t="s">
        <v>837</v>
      </c>
      <c r="F377" s="13">
        <v>1</v>
      </c>
      <c r="G377" s="23">
        <v>0</v>
      </c>
      <c r="I377" s="4">
        <v>3</v>
      </c>
      <c r="J377" s="4">
        <v>6</v>
      </c>
      <c r="K377" s="4" t="s">
        <v>846</v>
      </c>
      <c r="L377" s="4" t="s">
        <v>13</v>
      </c>
      <c r="M377" s="4">
        <v>2024</v>
      </c>
      <c r="N377" s="4">
        <v>1</v>
      </c>
      <c r="O377" s="4">
        <v>1</v>
      </c>
    </row>
    <row r="378" spans="1:15">
      <c r="A378" s="4" t="s">
        <v>833</v>
      </c>
      <c r="B378" s="4" t="s">
        <v>843</v>
      </c>
      <c r="C378" t="s">
        <v>838</v>
      </c>
      <c r="F378" s="13">
        <v>1</v>
      </c>
      <c r="G378" s="23">
        <v>0</v>
      </c>
      <c r="I378" s="4">
        <v>4</v>
      </c>
      <c r="J378" s="4">
        <v>6</v>
      </c>
      <c r="K378" s="4" t="s">
        <v>846</v>
      </c>
      <c r="L378" s="4" t="s">
        <v>13</v>
      </c>
      <c r="M378" s="4">
        <v>2024</v>
      </c>
      <c r="N378" s="4">
        <v>1</v>
      </c>
      <c r="O378" s="4">
        <v>1</v>
      </c>
    </row>
    <row r="379" spans="1:15">
      <c r="A379" s="4" t="s">
        <v>833</v>
      </c>
      <c r="B379" s="4" t="s">
        <v>844</v>
      </c>
      <c r="C379" t="s">
        <v>839</v>
      </c>
      <c r="F379" s="13">
        <v>1</v>
      </c>
      <c r="G379" s="23">
        <v>0</v>
      </c>
      <c r="I379" s="4">
        <v>5</v>
      </c>
      <c r="J379" s="4">
        <v>6</v>
      </c>
      <c r="K379" s="4" t="s">
        <v>846</v>
      </c>
      <c r="L379" s="4" t="s">
        <v>13</v>
      </c>
      <c r="M379" s="4">
        <v>2024</v>
      </c>
      <c r="N379" s="4">
        <v>1</v>
      </c>
      <c r="O379" s="4">
        <v>1</v>
      </c>
    </row>
    <row r="380" spans="1:15">
      <c r="A380" s="4" t="s">
        <v>833</v>
      </c>
      <c r="B380" s="4" t="s">
        <v>845</v>
      </c>
      <c r="C380" t="s">
        <v>840</v>
      </c>
      <c r="F380" s="13">
        <v>1</v>
      </c>
      <c r="G380" s="23">
        <v>0</v>
      </c>
      <c r="I380" s="4">
        <v>6</v>
      </c>
      <c r="J380" s="4">
        <v>6</v>
      </c>
      <c r="K380" s="4" t="s">
        <v>846</v>
      </c>
      <c r="L380" s="4" t="s">
        <v>13</v>
      </c>
      <c r="M380" s="4">
        <v>2024</v>
      </c>
      <c r="N380" s="4">
        <v>1</v>
      </c>
      <c r="O380" s="4">
        <v>1</v>
      </c>
    </row>
    <row r="381" spans="1:15">
      <c r="A381" s="4" t="s">
        <v>832</v>
      </c>
      <c r="B381" s="4" t="s">
        <v>847</v>
      </c>
      <c r="C381" t="s">
        <v>848</v>
      </c>
      <c r="F381" s="13">
        <v>1</v>
      </c>
      <c r="G381" s="23">
        <v>0</v>
      </c>
      <c r="I381" s="4">
        <v>1</v>
      </c>
      <c r="J381" s="4">
        <v>4</v>
      </c>
      <c r="K381" s="4" t="s">
        <v>846</v>
      </c>
      <c r="L381" s="4" t="s">
        <v>13</v>
      </c>
      <c r="M381" s="4">
        <v>2025</v>
      </c>
      <c r="N381" s="4">
        <v>1</v>
      </c>
      <c r="O381" s="4">
        <v>1</v>
      </c>
    </row>
    <row r="382" spans="1:15">
      <c r="A382" s="4" t="s">
        <v>832</v>
      </c>
      <c r="B382" s="4" t="s">
        <v>853</v>
      </c>
      <c r="C382" t="s">
        <v>849</v>
      </c>
      <c r="F382" s="13">
        <v>1</v>
      </c>
      <c r="G382" s="23">
        <v>1</v>
      </c>
      <c r="I382" s="4">
        <v>2</v>
      </c>
      <c r="J382" s="4">
        <v>4</v>
      </c>
      <c r="K382" s="4" t="s">
        <v>846</v>
      </c>
      <c r="L382" s="4" t="s">
        <v>13</v>
      </c>
      <c r="M382" s="4">
        <v>2025</v>
      </c>
      <c r="N382" s="4">
        <v>1</v>
      </c>
      <c r="O382" s="4">
        <v>1</v>
      </c>
    </row>
    <row r="383" spans="1:15">
      <c r="A383" s="4" t="s">
        <v>832</v>
      </c>
      <c r="B383" s="4" t="s">
        <v>854</v>
      </c>
      <c r="C383" t="s">
        <v>850</v>
      </c>
      <c r="F383" s="13">
        <v>1</v>
      </c>
      <c r="G383" s="23">
        <v>1</v>
      </c>
      <c r="I383" s="4">
        <v>3</v>
      </c>
      <c r="J383" s="4">
        <v>4</v>
      </c>
      <c r="K383" s="4" t="s">
        <v>846</v>
      </c>
      <c r="L383" s="4" t="s">
        <v>13</v>
      </c>
      <c r="M383" s="4">
        <v>2025</v>
      </c>
      <c r="N383" s="4">
        <v>1</v>
      </c>
      <c r="O383" s="4">
        <v>1</v>
      </c>
    </row>
    <row r="384" spans="1:15">
      <c r="A384" s="4" t="s">
        <v>832</v>
      </c>
      <c r="B384" s="4" t="s">
        <v>855</v>
      </c>
      <c r="C384" t="s">
        <v>851</v>
      </c>
      <c r="F384" s="13">
        <v>1</v>
      </c>
      <c r="G384" s="23">
        <v>0</v>
      </c>
      <c r="I384" s="4">
        <v>4</v>
      </c>
      <c r="J384" s="4">
        <v>4</v>
      </c>
      <c r="K384" s="4" t="s">
        <v>846</v>
      </c>
      <c r="L384" s="4" t="s">
        <v>13</v>
      </c>
      <c r="M384" s="4">
        <v>2025</v>
      </c>
      <c r="N384" s="4">
        <v>1</v>
      </c>
      <c r="O384" s="4">
        <v>1</v>
      </c>
    </row>
    <row r="385" spans="1:15">
      <c r="A385" s="4" t="s">
        <v>857</v>
      </c>
      <c r="B385" s="4" t="s">
        <v>856</v>
      </c>
      <c r="C385" s="27" t="s">
        <v>852</v>
      </c>
      <c r="F385" s="13">
        <v>1</v>
      </c>
      <c r="G385" s="23">
        <v>0</v>
      </c>
      <c r="I385" s="4">
        <v>1</v>
      </c>
      <c r="J385" s="4">
        <v>11</v>
      </c>
      <c r="K385" s="4" t="s">
        <v>846</v>
      </c>
      <c r="L385" s="4" t="s">
        <v>13</v>
      </c>
      <c r="M385" s="4">
        <v>2023</v>
      </c>
      <c r="N385" s="4">
        <v>1</v>
      </c>
      <c r="O385" s="4">
        <v>1</v>
      </c>
    </row>
    <row r="386" spans="1:15">
      <c r="A386" s="4" t="s">
        <v>857</v>
      </c>
      <c r="B386" s="4" t="s">
        <v>868</v>
      </c>
      <c r="C386" t="s">
        <v>858</v>
      </c>
      <c r="F386" s="13">
        <v>0</v>
      </c>
      <c r="I386" s="4">
        <v>2</v>
      </c>
      <c r="J386" s="4">
        <v>11</v>
      </c>
      <c r="K386" s="4" t="s">
        <v>846</v>
      </c>
      <c r="L386" s="4" t="s">
        <v>13</v>
      </c>
      <c r="M386" s="4">
        <v>2023</v>
      </c>
      <c r="N386" s="4">
        <v>1</v>
      </c>
      <c r="O386" s="4">
        <v>1</v>
      </c>
    </row>
    <row r="387" spans="1:15">
      <c r="A387" s="4" t="s">
        <v>857</v>
      </c>
      <c r="B387" s="4" t="s">
        <v>869</v>
      </c>
      <c r="C387" t="s">
        <v>859</v>
      </c>
      <c r="F387" s="13">
        <v>0</v>
      </c>
      <c r="I387" s="4">
        <v>3</v>
      </c>
      <c r="J387" s="4">
        <v>11</v>
      </c>
      <c r="K387" s="4" t="s">
        <v>846</v>
      </c>
      <c r="L387" s="4" t="s">
        <v>13</v>
      </c>
      <c r="M387" s="4">
        <v>2023</v>
      </c>
      <c r="N387" s="4">
        <v>1</v>
      </c>
      <c r="O387" s="4">
        <v>1</v>
      </c>
    </row>
    <row r="388" spans="1:15">
      <c r="A388" s="4" t="s">
        <v>857</v>
      </c>
      <c r="B388" s="4" t="s">
        <v>870</v>
      </c>
      <c r="C388" t="s">
        <v>860</v>
      </c>
      <c r="F388" s="13">
        <v>1</v>
      </c>
      <c r="G388" s="23">
        <v>0</v>
      </c>
      <c r="I388" s="4">
        <v>4</v>
      </c>
      <c r="J388" s="4">
        <v>11</v>
      </c>
      <c r="K388" s="4" t="s">
        <v>846</v>
      </c>
      <c r="L388" s="4" t="s">
        <v>13</v>
      </c>
      <c r="M388" s="4">
        <v>2023</v>
      </c>
      <c r="N388" s="4">
        <v>1</v>
      </c>
      <c r="O388" s="4">
        <v>1</v>
      </c>
    </row>
    <row r="389" spans="1:15">
      <c r="A389" s="4" t="s">
        <v>857</v>
      </c>
      <c r="B389" s="4" t="s">
        <v>871</v>
      </c>
      <c r="C389" t="s">
        <v>861</v>
      </c>
      <c r="F389" s="13">
        <v>1</v>
      </c>
      <c r="G389" s="23">
        <v>0</v>
      </c>
      <c r="I389" s="4">
        <v>5</v>
      </c>
      <c r="J389" s="4">
        <v>11</v>
      </c>
      <c r="K389" s="4" t="s">
        <v>846</v>
      </c>
      <c r="L389" s="4" t="s">
        <v>13</v>
      </c>
      <c r="M389" s="4">
        <v>2023</v>
      </c>
      <c r="N389" s="4">
        <v>1</v>
      </c>
      <c r="O389" s="4">
        <v>1</v>
      </c>
    </row>
    <row r="390" spans="1:15">
      <c r="A390" s="4" t="s">
        <v>857</v>
      </c>
      <c r="B390" s="4" t="s">
        <v>872</v>
      </c>
      <c r="C390" t="s">
        <v>862</v>
      </c>
      <c r="F390" s="13">
        <v>0</v>
      </c>
      <c r="I390" s="4">
        <v>6</v>
      </c>
      <c r="J390" s="4">
        <v>11</v>
      </c>
      <c r="K390" s="4" t="s">
        <v>846</v>
      </c>
      <c r="L390" s="4" t="s">
        <v>13</v>
      </c>
      <c r="M390" s="4">
        <v>2023</v>
      </c>
      <c r="N390" s="4">
        <v>1</v>
      </c>
      <c r="O390" s="4">
        <v>1</v>
      </c>
    </row>
    <row r="391" spans="1:15">
      <c r="A391" s="4" t="s">
        <v>857</v>
      </c>
      <c r="B391" s="4" t="s">
        <v>873</v>
      </c>
      <c r="C391" t="s">
        <v>863</v>
      </c>
      <c r="F391" s="13">
        <v>1</v>
      </c>
      <c r="G391" s="23">
        <v>0</v>
      </c>
      <c r="I391" s="4">
        <v>7</v>
      </c>
      <c r="J391" s="4">
        <v>11</v>
      </c>
      <c r="K391" s="4" t="s">
        <v>846</v>
      </c>
      <c r="L391" s="4" t="s">
        <v>13</v>
      </c>
      <c r="M391" s="4">
        <v>2023</v>
      </c>
      <c r="N391" s="4">
        <v>1</v>
      </c>
      <c r="O391" s="4">
        <v>1</v>
      </c>
    </row>
    <row r="392" spans="1:15">
      <c r="A392" s="4" t="s">
        <v>857</v>
      </c>
      <c r="B392" s="4" t="s">
        <v>874</v>
      </c>
      <c r="C392" t="s">
        <v>864</v>
      </c>
      <c r="F392" s="13">
        <v>1</v>
      </c>
      <c r="G392" s="23">
        <v>0</v>
      </c>
      <c r="I392" s="4">
        <v>8</v>
      </c>
      <c r="J392" s="4">
        <v>11</v>
      </c>
      <c r="K392" s="4" t="s">
        <v>846</v>
      </c>
      <c r="L392" s="4" t="s">
        <v>13</v>
      </c>
      <c r="M392" s="4">
        <v>2023</v>
      </c>
      <c r="N392" s="4">
        <v>1</v>
      </c>
      <c r="O392" s="4">
        <v>1</v>
      </c>
    </row>
    <row r="393" spans="1:15">
      <c r="A393" s="4" t="s">
        <v>857</v>
      </c>
      <c r="B393" s="4" t="s">
        <v>875</v>
      </c>
      <c r="C393" t="s">
        <v>865</v>
      </c>
      <c r="F393" s="13">
        <v>1</v>
      </c>
      <c r="G393" s="23">
        <v>0</v>
      </c>
      <c r="I393" s="4">
        <v>9</v>
      </c>
      <c r="J393" s="4">
        <v>11</v>
      </c>
      <c r="K393" s="4" t="s">
        <v>846</v>
      </c>
      <c r="L393" s="4" t="s">
        <v>13</v>
      </c>
      <c r="M393" s="4">
        <v>2023</v>
      </c>
      <c r="N393" s="4">
        <v>1</v>
      </c>
      <c r="O393" s="4">
        <v>1</v>
      </c>
    </row>
    <row r="394" spans="1:15">
      <c r="A394" s="4" t="s">
        <v>857</v>
      </c>
      <c r="B394" s="4" t="s">
        <v>876</v>
      </c>
      <c r="C394" s="27" t="s">
        <v>866</v>
      </c>
      <c r="F394" s="13">
        <v>1</v>
      </c>
      <c r="G394" s="23">
        <v>1</v>
      </c>
      <c r="I394" s="4">
        <v>10</v>
      </c>
      <c r="J394" s="4">
        <v>11</v>
      </c>
      <c r="K394" s="4" t="s">
        <v>846</v>
      </c>
      <c r="L394" s="4" t="s">
        <v>13</v>
      </c>
      <c r="M394" s="4">
        <v>2023</v>
      </c>
      <c r="N394" s="4">
        <v>1</v>
      </c>
      <c r="O394" s="4">
        <v>1</v>
      </c>
    </row>
    <row r="395" spans="1:15">
      <c r="A395" s="4" t="s">
        <v>857</v>
      </c>
      <c r="B395" s="4" t="s">
        <v>877</v>
      </c>
      <c r="C395" t="s">
        <v>867</v>
      </c>
      <c r="F395" s="13">
        <v>1</v>
      </c>
      <c r="G395" s="23">
        <v>1</v>
      </c>
      <c r="I395" s="4">
        <v>11</v>
      </c>
      <c r="J395" s="4">
        <v>11</v>
      </c>
      <c r="K395" s="4" t="s">
        <v>846</v>
      </c>
      <c r="L395" s="4" t="s">
        <v>13</v>
      </c>
      <c r="M395" s="4">
        <v>2023</v>
      </c>
      <c r="N395" s="4">
        <v>1</v>
      </c>
      <c r="O395" s="4">
        <v>1</v>
      </c>
    </row>
    <row r="396" spans="1:15">
      <c r="A396" s="4" t="s">
        <v>886</v>
      </c>
      <c r="B396" s="4" t="s">
        <v>885</v>
      </c>
      <c r="C396" t="s">
        <v>878</v>
      </c>
      <c r="F396" s="13">
        <v>0</v>
      </c>
      <c r="I396" s="4">
        <v>1</v>
      </c>
      <c r="J396" s="4">
        <v>7</v>
      </c>
      <c r="K396" s="4" t="s">
        <v>846</v>
      </c>
      <c r="L396" s="4" t="s">
        <v>13</v>
      </c>
      <c r="M396" s="4">
        <v>2022</v>
      </c>
      <c r="N396" s="4">
        <v>1</v>
      </c>
      <c r="O396" s="4">
        <v>1</v>
      </c>
    </row>
    <row r="397" spans="1:15">
      <c r="A397" s="4" t="s">
        <v>886</v>
      </c>
      <c r="B397" s="4" t="s">
        <v>887</v>
      </c>
      <c r="C397" t="s">
        <v>879</v>
      </c>
      <c r="F397" s="13">
        <v>0</v>
      </c>
      <c r="I397" s="4">
        <v>2</v>
      </c>
      <c r="J397" s="4">
        <v>7</v>
      </c>
      <c r="K397" s="4" t="s">
        <v>846</v>
      </c>
      <c r="L397" s="4" t="s">
        <v>13</v>
      </c>
      <c r="M397" s="4">
        <v>2022</v>
      </c>
      <c r="N397" s="4">
        <v>1</v>
      </c>
      <c r="O397" s="4">
        <v>1</v>
      </c>
    </row>
    <row r="398" spans="1:15">
      <c r="A398" s="4" t="s">
        <v>886</v>
      </c>
      <c r="B398" s="4" t="s">
        <v>888</v>
      </c>
      <c r="C398" t="s">
        <v>880</v>
      </c>
      <c r="F398" s="13">
        <v>1</v>
      </c>
      <c r="G398" s="23">
        <v>0</v>
      </c>
      <c r="I398" s="4">
        <v>3</v>
      </c>
      <c r="J398" s="4">
        <v>7</v>
      </c>
      <c r="K398" s="4" t="s">
        <v>846</v>
      </c>
      <c r="L398" s="4" t="s">
        <v>13</v>
      </c>
      <c r="M398" s="4">
        <v>2022</v>
      </c>
      <c r="N398" s="4">
        <v>1</v>
      </c>
      <c r="O398" s="4">
        <v>1</v>
      </c>
    </row>
    <row r="399" spans="1:15">
      <c r="A399" s="4" t="s">
        <v>886</v>
      </c>
      <c r="B399" s="4" t="s">
        <v>889</v>
      </c>
      <c r="C399" t="s">
        <v>881</v>
      </c>
      <c r="F399" s="13">
        <v>1</v>
      </c>
      <c r="G399" s="23">
        <v>1</v>
      </c>
      <c r="I399" s="4">
        <v>4</v>
      </c>
      <c r="J399" s="4">
        <v>7</v>
      </c>
      <c r="K399" s="4" t="s">
        <v>846</v>
      </c>
      <c r="L399" s="4" t="s">
        <v>13</v>
      </c>
      <c r="M399" s="4">
        <v>2022</v>
      </c>
      <c r="N399" s="4">
        <v>1</v>
      </c>
      <c r="O399" s="4">
        <v>1</v>
      </c>
    </row>
    <row r="400" spans="1:15">
      <c r="A400" s="4" t="s">
        <v>886</v>
      </c>
      <c r="B400" s="4" t="s">
        <v>890</v>
      </c>
      <c r="C400" t="s">
        <v>882</v>
      </c>
      <c r="F400" s="13">
        <v>1</v>
      </c>
      <c r="G400" s="23">
        <v>1</v>
      </c>
      <c r="I400" s="4">
        <v>5</v>
      </c>
      <c r="J400" s="4">
        <v>7</v>
      </c>
      <c r="K400" s="4" t="s">
        <v>846</v>
      </c>
      <c r="L400" s="4" t="s">
        <v>13</v>
      </c>
      <c r="M400" s="4">
        <v>2022</v>
      </c>
      <c r="N400" s="4">
        <v>1</v>
      </c>
      <c r="O400" s="4">
        <v>1</v>
      </c>
    </row>
    <row r="401" spans="1:15">
      <c r="A401" s="4" t="s">
        <v>886</v>
      </c>
      <c r="B401" s="4" t="s">
        <v>891</v>
      </c>
      <c r="C401" t="s">
        <v>883</v>
      </c>
      <c r="F401" s="13">
        <v>0</v>
      </c>
      <c r="I401" s="4">
        <v>6</v>
      </c>
      <c r="J401" s="4">
        <v>7</v>
      </c>
      <c r="K401" s="4" t="s">
        <v>846</v>
      </c>
      <c r="L401" s="4" t="s">
        <v>13</v>
      </c>
      <c r="M401" s="4">
        <v>2022</v>
      </c>
      <c r="N401" s="4">
        <v>1</v>
      </c>
      <c r="O401" s="4">
        <v>1</v>
      </c>
    </row>
    <row r="402" spans="1:15">
      <c r="A402" s="4" t="s">
        <v>886</v>
      </c>
      <c r="B402" s="4" t="s">
        <v>892</v>
      </c>
      <c r="C402" t="s">
        <v>884</v>
      </c>
      <c r="F402" s="13">
        <v>1</v>
      </c>
      <c r="G402" s="23">
        <v>0</v>
      </c>
      <c r="I402" s="4">
        <v>7</v>
      </c>
      <c r="J402" s="4">
        <v>7</v>
      </c>
      <c r="K402" s="4" t="s">
        <v>846</v>
      </c>
      <c r="L402" s="4" t="s">
        <v>13</v>
      </c>
      <c r="M402" s="4">
        <v>2022</v>
      </c>
      <c r="N402" s="4">
        <v>1</v>
      </c>
      <c r="O402" s="4">
        <v>1</v>
      </c>
    </row>
    <row r="403" spans="1:15">
      <c r="A403" s="4" t="s">
        <v>893</v>
      </c>
      <c r="B403" s="4" t="s">
        <v>895</v>
      </c>
      <c r="C403" t="s">
        <v>894</v>
      </c>
      <c r="F403" s="13">
        <v>0</v>
      </c>
      <c r="I403" s="4">
        <v>1</v>
      </c>
      <c r="J403" s="4">
        <v>5</v>
      </c>
      <c r="K403" s="4" t="s">
        <v>846</v>
      </c>
      <c r="L403" s="4" t="s">
        <v>13</v>
      </c>
      <c r="M403" s="4">
        <v>2021</v>
      </c>
      <c r="N403" s="4">
        <v>1</v>
      </c>
      <c r="O403" s="4">
        <v>1</v>
      </c>
    </row>
    <row r="404" spans="1:15">
      <c r="A404" s="4" t="s">
        <v>893</v>
      </c>
      <c r="B404" s="4" t="s">
        <v>900</v>
      </c>
      <c r="C404" t="s">
        <v>896</v>
      </c>
      <c r="F404" s="13">
        <v>0</v>
      </c>
      <c r="I404" s="4">
        <v>2</v>
      </c>
      <c r="J404" s="4">
        <v>5</v>
      </c>
      <c r="K404" s="4" t="s">
        <v>846</v>
      </c>
      <c r="L404" s="4" t="s">
        <v>13</v>
      </c>
      <c r="M404" s="4">
        <v>2021</v>
      </c>
      <c r="N404" s="4">
        <v>1</v>
      </c>
      <c r="O404" s="4">
        <v>1</v>
      </c>
    </row>
    <row r="405" spans="1:15">
      <c r="A405" s="4" t="s">
        <v>893</v>
      </c>
      <c r="B405" s="4" t="s">
        <v>901</v>
      </c>
      <c r="C405" t="s">
        <v>897</v>
      </c>
      <c r="F405" s="13">
        <v>0</v>
      </c>
      <c r="I405" s="4">
        <v>3</v>
      </c>
      <c r="J405" s="4">
        <v>5</v>
      </c>
      <c r="K405" s="4" t="s">
        <v>846</v>
      </c>
      <c r="L405" s="4" t="s">
        <v>13</v>
      </c>
      <c r="M405" s="4">
        <v>2021</v>
      </c>
      <c r="N405" s="4">
        <v>1</v>
      </c>
      <c r="O405" s="4">
        <v>1</v>
      </c>
    </row>
    <row r="406" spans="1:15">
      <c r="A406" s="4" t="s">
        <v>893</v>
      </c>
      <c r="B406" s="4" t="s">
        <v>902</v>
      </c>
      <c r="C406" t="s">
        <v>898</v>
      </c>
      <c r="F406" s="13">
        <v>0</v>
      </c>
      <c r="I406" s="4">
        <v>4</v>
      </c>
      <c r="J406" s="4">
        <v>5</v>
      </c>
      <c r="K406" s="4" t="s">
        <v>846</v>
      </c>
      <c r="L406" s="4" t="s">
        <v>13</v>
      </c>
      <c r="M406" s="4">
        <v>2021</v>
      </c>
      <c r="N406" s="4">
        <v>1</v>
      </c>
      <c r="O406" s="4">
        <v>1</v>
      </c>
    </row>
    <row r="407" spans="1:15">
      <c r="A407" s="4" t="s">
        <v>893</v>
      </c>
      <c r="B407" s="4" t="s">
        <v>903</v>
      </c>
      <c r="C407" t="s">
        <v>899</v>
      </c>
      <c r="F407" s="13">
        <v>1</v>
      </c>
      <c r="G407" s="23">
        <v>0</v>
      </c>
      <c r="I407" s="4">
        <v>5</v>
      </c>
      <c r="J407" s="4">
        <v>5</v>
      </c>
      <c r="K407" s="4" t="s">
        <v>846</v>
      </c>
      <c r="L407" s="4" t="s">
        <v>13</v>
      </c>
      <c r="M407" s="4">
        <v>2021</v>
      </c>
      <c r="N407" s="4">
        <v>1</v>
      </c>
      <c r="O407" s="4">
        <v>1</v>
      </c>
    </row>
    <row r="408" spans="1:15">
      <c r="A408" s="4" t="s">
        <v>905</v>
      </c>
      <c r="B408" s="4" t="s">
        <v>904</v>
      </c>
      <c r="C408" s="28" t="s">
        <v>906</v>
      </c>
      <c r="F408" s="13">
        <v>0</v>
      </c>
      <c r="I408" s="4">
        <v>1</v>
      </c>
      <c r="J408" s="4">
        <v>5</v>
      </c>
      <c r="K408" s="4" t="s">
        <v>846</v>
      </c>
      <c r="L408" s="4" t="s">
        <v>13</v>
      </c>
      <c r="M408" s="4">
        <v>2020</v>
      </c>
      <c r="N408" s="4">
        <v>1</v>
      </c>
      <c r="O408" s="4">
        <v>1</v>
      </c>
    </row>
    <row r="409" spans="1:15">
      <c r="A409" s="4" t="s">
        <v>905</v>
      </c>
      <c r="B409" s="4" t="s">
        <v>911</v>
      </c>
      <c r="C409" t="s">
        <v>907</v>
      </c>
      <c r="F409" s="13">
        <v>1</v>
      </c>
      <c r="G409" s="23">
        <v>1</v>
      </c>
      <c r="I409" s="4">
        <v>2</v>
      </c>
      <c r="J409" s="4">
        <v>5</v>
      </c>
      <c r="K409" s="4" t="s">
        <v>846</v>
      </c>
      <c r="L409" s="4" t="s">
        <v>13</v>
      </c>
      <c r="M409" s="4">
        <v>2020</v>
      </c>
      <c r="N409" s="4">
        <v>1</v>
      </c>
      <c r="O409" s="4">
        <v>1</v>
      </c>
    </row>
    <row r="410" spans="1:15">
      <c r="A410" s="4" t="s">
        <v>905</v>
      </c>
      <c r="B410" s="4" t="s">
        <v>912</v>
      </c>
      <c r="C410" t="s">
        <v>908</v>
      </c>
      <c r="F410" s="13">
        <v>0</v>
      </c>
      <c r="I410" s="4">
        <v>3</v>
      </c>
      <c r="J410" s="4">
        <v>5</v>
      </c>
      <c r="K410" s="4" t="s">
        <v>846</v>
      </c>
      <c r="L410" s="4" t="s">
        <v>13</v>
      </c>
      <c r="M410" s="4">
        <v>2020</v>
      </c>
      <c r="N410" s="4">
        <v>1</v>
      </c>
      <c r="O410" s="4">
        <v>1</v>
      </c>
    </row>
    <row r="411" spans="1:15">
      <c r="A411" s="4" t="s">
        <v>905</v>
      </c>
      <c r="B411" s="4" t="s">
        <v>913</v>
      </c>
      <c r="C411" t="s">
        <v>909</v>
      </c>
      <c r="F411" s="13">
        <v>0</v>
      </c>
      <c r="I411" s="4">
        <v>4</v>
      </c>
      <c r="J411" s="4">
        <v>5</v>
      </c>
      <c r="K411" s="4" t="s">
        <v>846</v>
      </c>
      <c r="L411" s="4" t="s">
        <v>13</v>
      </c>
      <c r="M411" s="4">
        <v>2020</v>
      </c>
      <c r="N411" s="4">
        <v>1</v>
      </c>
      <c r="O411" s="4">
        <v>1</v>
      </c>
    </row>
    <row r="412" spans="1:15">
      <c r="A412" s="4" t="s">
        <v>905</v>
      </c>
      <c r="B412" s="4" t="s">
        <v>914</v>
      </c>
      <c r="C412" s="27" t="s">
        <v>910</v>
      </c>
      <c r="F412" s="13">
        <v>0</v>
      </c>
      <c r="I412" s="4">
        <v>5</v>
      </c>
      <c r="J412" s="4">
        <v>5</v>
      </c>
      <c r="K412" s="4" t="s">
        <v>846</v>
      </c>
      <c r="L412" s="4" t="s">
        <v>13</v>
      </c>
      <c r="M412" s="4">
        <v>2020</v>
      </c>
      <c r="N412" s="4">
        <v>1</v>
      </c>
      <c r="O412" s="4">
        <v>1</v>
      </c>
    </row>
  </sheetData>
  <phoneticPr fontId="11" type="noConversion"/>
  <pageMargins left="0.7" right="0.7" top="0.75" bottom="0.75" header="0.3" footer="0.3"/>
  <pageSetup scale="71" fitToHeight="6" orientation="landscape" horizontalDpi="0" verticalDpi="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8C74AD-475B-6C4E-A2B5-6ED22D55B30A}">
  <dimension ref="A1:F28"/>
  <sheetViews>
    <sheetView topLeftCell="A3" zoomScale="120" zoomScaleNormal="120" workbookViewId="0">
      <selection activeCell="F35" sqref="F35"/>
    </sheetView>
  </sheetViews>
  <sheetFormatPr baseColWidth="10" defaultRowHeight="16"/>
  <cols>
    <col min="2" max="2" width="0" hidden="1" customWidth="1"/>
  </cols>
  <sheetData>
    <row r="1" spans="1:4">
      <c r="A1" s="1" t="s">
        <v>270</v>
      </c>
    </row>
    <row r="2" spans="1:4">
      <c r="A2" s="15" t="s">
        <v>387</v>
      </c>
    </row>
    <row r="3" spans="1:4">
      <c r="A3" s="1" t="s">
        <v>271</v>
      </c>
      <c r="B3" s="1" t="s">
        <v>272</v>
      </c>
      <c r="C3" s="1" t="s">
        <v>273</v>
      </c>
      <c r="D3" s="1" t="s">
        <v>274</v>
      </c>
    </row>
    <row r="4" spans="1:4">
      <c r="A4">
        <v>82</v>
      </c>
      <c r="B4">
        <v>0</v>
      </c>
      <c r="C4">
        <v>120</v>
      </c>
      <c r="D4">
        <v>202</v>
      </c>
    </row>
    <row r="6" spans="1:4">
      <c r="A6" s="15" t="s">
        <v>392</v>
      </c>
    </row>
    <row r="7" spans="1:4">
      <c r="A7" s="1" t="s">
        <v>271</v>
      </c>
      <c r="B7" s="1" t="s">
        <v>272</v>
      </c>
      <c r="C7" s="1" t="s">
        <v>273</v>
      </c>
      <c r="D7" s="1" t="s">
        <v>274</v>
      </c>
    </row>
    <row r="8" spans="1:4">
      <c r="A8">
        <f>COUNTIF(Sheet1!D:D,"0")</f>
        <v>36</v>
      </c>
      <c r="B8">
        <f>COUNTIF(Sheet1!D:D," ")</f>
        <v>0</v>
      </c>
      <c r="C8">
        <f>COUNTIF(Sheet1!D:D,"1")</f>
        <v>173</v>
      </c>
      <c r="D8">
        <f>SUM(A8:C8)</f>
        <v>209</v>
      </c>
    </row>
    <row r="10" spans="1:4">
      <c r="A10" s="17" t="s">
        <v>396</v>
      </c>
    </row>
    <row r="11" spans="1:4">
      <c r="A11" s="1">
        <v>0</v>
      </c>
      <c r="C11" s="1">
        <v>1</v>
      </c>
    </row>
    <row r="12" spans="1:4">
      <c r="A12">
        <f>COUNTIF(Sheet1!D:D,"0")</f>
        <v>36</v>
      </c>
      <c r="C12">
        <f>COUNTIF(Sheet1!D:D,"1")</f>
        <v>173</v>
      </c>
    </row>
    <row r="14" spans="1:4">
      <c r="C14" s="1" t="s">
        <v>398</v>
      </c>
    </row>
    <row r="15" spans="1:4">
      <c r="C15" s="16">
        <f>COUNTIF(Sheet1!E:E,"Low")</f>
        <v>60</v>
      </c>
    </row>
    <row r="16" spans="1:4">
      <c r="C16" s="1" t="s">
        <v>399</v>
      </c>
    </row>
    <row r="17" spans="1:6">
      <c r="C17" s="16">
        <f>COUNTIF(Sheet1!E:E,"Medium")</f>
        <v>89</v>
      </c>
    </row>
    <row r="18" spans="1:6">
      <c r="C18" s="1" t="s">
        <v>395</v>
      </c>
    </row>
    <row r="19" spans="1:6">
      <c r="C19" s="16">
        <f>COUNTIF(Sheet1!E:E,"High")</f>
        <v>23</v>
      </c>
    </row>
    <row r="21" spans="1:6">
      <c r="A21" s="18" t="s">
        <v>408</v>
      </c>
      <c r="C21" s="19"/>
    </row>
    <row r="22" spans="1:6">
      <c r="A22">
        <v>0</v>
      </c>
      <c r="C22" t="s">
        <v>410</v>
      </c>
      <c r="F22">
        <f>COUNTIF(Sheet1!H:H,"0")</f>
        <v>0</v>
      </c>
    </row>
    <row r="23" spans="1:6">
      <c r="A23">
        <v>1</v>
      </c>
      <c r="C23" t="s">
        <v>409</v>
      </c>
      <c r="F23">
        <f>COUNTIF(Sheet1!H:H,"1")</f>
        <v>116</v>
      </c>
    </row>
    <row r="24" spans="1:6">
      <c r="A24">
        <v>2</v>
      </c>
      <c r="C24" t="s">
        <v>411</v>
      </c>
      <c r="F24">
        <f>COUNTIF(Sheet1!H:H,"2")</f>
        <v>69</v>
      </c>
    </row>
    <row r="26" spans="1:6">
      <c r="A26" s="18" t="s">
        <v>530</v>
      </c>
      <c r="B26" s="19"/>
      <c r="C26" s="19"/>
      <c r="D26" s="19"/>
    </row>
    <row r="27" spans="1:6">
      <c r="A27">
        <v>0</v>
      </c>
      <c r="C27" t="s">
        <v>409</v>
      </c>
      <c r="F27">
        <f>COUNTIF(Sheet1!G:G,"0")</f>
        <v>214</v>
      </c>
    </row>
    <row r="28" spans="1:6">
      <c r="A28">
        <v>1</v>
      </c>
      <c r="C28" t="s">
        <v>411</v>
      </c>
      <c r="F28">
        <f>COUNTIF(Sheet1!G:G,"1")</f>
        <v>123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Sara Murphy</dc:creator>
  <cp:lastModifiedBy>Sara Murphy</cp:lastModifiedBy>
  <cp:lastPrinted>2026-03-23T16:15:49Z</cp:lastPrinted>
  <dcterms:created xsi:type="dcterms:W3CDTF">2026-03-17T01:57:37Z</dcterms:created>
  <dcterms:modified xsi:type="dcterms:W3CDTF">2026-04-12T07:04:36Z</dcterms:modified>
</cp:coreProperties>
</file>