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C881B92C-E98E-DE46-9AE7-68201E4958B3}" xr6:coauthVersionLast="47" xr6:coauthVersionMax="47" xr10:uidLastSave="{00000000-0000-0000-0000-000000000000}"/>
  <bookViews>
    <workbookView xWindow="514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3" l="1"/>
  <c r="F23" i="3"/>
  <c r="F22" i="3"/>
  <c r="C19" i="3"/>
  <c r="C17" i="3"/>
  <c r="C15" i="3"/>
  <c r="C12" i="3"/>
  <c r="A12" i="3"/>
  <c r="C8" i="3"/>
  <c r="B8" i="3"/>
  <c r="A8" i="3"/>
  <c r="D8" i="3" l="1"/>
</calcChain>
</file>

<file path=xl/sharedStrings.xml><?xml version="1.0" encoding="utf-8"?>
<sst xmlns="http://schemas.openxmlformats.org/spreadsheetml/2006/main" count="1564" uniqueCount="596">
  <si>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</si>
  <si>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</si>
  <si>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</si>
  <si>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</si>
  <si>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</si>
  <si>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</si>
  <si>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</si>
  <si>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</si>
  <si>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</si>
  <si>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</si>
  <si>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</si>
  <si>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</si>
  <si>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</si>
  <si>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</si>
  <si>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</si>
  <si>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</si>
  <si>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</si>
  <si>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</si>
  <si>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</si>
  <si>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</si>
  <si>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</si>
  <si>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</si>
  <si>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</si>
  <si>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</si>
  <si>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</si>
  <si>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</si>
  <si>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</si>
  <si>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</si>
  <si>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</si>
  <si>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</si>
  <si>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</si>
  <si>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</si>
  <si>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</si>
  <si>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</si>
  <si>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</si>
  <si>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</si>
  <si>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</si>
  <si>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</si>
  <si>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</si>
  <si>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</si>
  <si>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</si>
  <si>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</si>
  <si>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</si>
  <si>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</si>
  <si>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</si>
  <si>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</si>
  <si>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</si>
  <si>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</si>
  <si>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</si>
  <si>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</si>
  <si>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</si>
  <si>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</si>
  <si>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</si>
  <si>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</si>
  <si>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</si>
  <si>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</si>
  <si>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</si>
  <si>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</si>
  <si>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</si>
  <si>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</si>
  <si>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</si>
  <si>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</si>
  <si>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</si>
  <si>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</si>
  <si>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</si>
  <si>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</si>
  <si>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</si>
  <si>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</si>
  <si>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</si>
  <si>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</si>
  <si>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</si>
  <si>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</si>
  <si>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</si>
  <si>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</si>
  <si>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</si>
  <si>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</si>
  <si>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</si>
  <si>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</si>
  <si>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</si>
  <si>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</si>
  <si>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</si>
  <si>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</si>
  <si>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</si>
  <si>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</si>
  <si>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</si>
  <si>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</si>
  <si>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</si>
  <si>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</si>
  <si>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</si>
  <si>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</si>
  <si>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</si>
  <si>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</si>
  <si>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</si>
  <si>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</si>
  <si>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</si>
  <si>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</si>
  <si>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</si>
  <si>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</si>
  <si>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</si>
  <si>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</si>
  <si>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</si>
  <si>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</si>
  <si>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</si>
  <si>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</si>
  <si>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</si>
  <si>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</si>
  <si>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</si>
  <si>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</si>
  <si>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</si>
  <si>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</si>
  <si>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</si>
  <si>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</si>
  <si>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</si>
  <si>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</si>
  <si>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</si>
  <si>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</si>
  <si>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</si>
  <si>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</si>
  <si>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</si>
  <si>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</si>
  <si>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</si>
  <si>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</si>
  <si>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</si>
  <si>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</si>
  <si>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</si>
  <si>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</si>
  <si>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</si>
  <si>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</si>
  <si>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</si>
  <si>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</si>
  <si>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</si>
  <si>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</si>
  <si>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</si>
  <si>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</si>
  <si>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</si>
  <si>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</si>
  <si>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</si>
  <si>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</si>
  <si>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</si>
  <si>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</si>
  <si>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</si>
  <si>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</si>
  <si>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</si>
  <si>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</si>
  <si>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</si>
  <si>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</si>
  <si>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</si>
  <si>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</si>
  <si>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</si>
  <si>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</si>
  <si>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</si>
  <si>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</si>
  <si>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</si>
  <si>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</si>
  <si>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</si>
  <si>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</si>
  <si>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</si>
  <si>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</si>
  <si>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</si>
  <si>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</si>
  <si>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</si>
  <si>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</si>
  <si>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</si>
  <si>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</si>
  <si>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</si>
  <si>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</si>
  <si>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</si>
  <si>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</si>
  <si>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</si>
  <si>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</si>
  <si>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</si>
  <si>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</si>
  <si>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</si>
  <si>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</si>
  <si>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</si>
  <si>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</si>
  <si>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</si>
  <si>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</si>
  <si>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</si>
  <si>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</si>
  <si>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</si>
  <si>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</si>
  <si>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</si>
  <si>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</si>
  <si>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</si>
  <si>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</si>
  <si>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</si>
  <si>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</si>
  <si>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</si>
  <si>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</si>
  <si>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</si>
  <si>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</si>
  <si>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</si>
  <si>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</si>
  <si>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</si>
  <si>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</si>
  <si>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</si>
  <si>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</si>
  <si>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</si>
  <si>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</si>
  <si>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</si>
  <si>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</si>
  <si>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</si>
  <si>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</si>
  <si>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</si>
  <si>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</si>
  <si>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</si>
  <si>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</si>
  <si>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</si>
  <si>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</si>
  <si>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</si>
  <si>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</si>
  <si>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</si>
  <si>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</si>
  <si>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</si>
  <si>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</si>
  <si>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</si>
  <si>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</si>
  <si>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</si>
  <si>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</si>
  <si>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</si>
  <si>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</si>
  <si>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</si>
  <si>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</si>
  <si>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</si>
  <si>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</si>
  <si>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</si>
  <si>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</si>
  <si>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</si>
  <si>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</si>
  <si>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</si>
  <si>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</si>
  <si>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</si>
  <si>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</si>
  <si>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</si>
  <si>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</si>
  <si>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</si>
  <si>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</si>
  <si>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</si>
  <si>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</si>
  <si>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</si>
  <si>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</si>
  <si>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</si>
  <si>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</si>
  <si>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</si>
  <si>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</si>
  <si>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</si>
  <si>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</si>
  <si>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</si>
  <si>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</si>
  <si>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</si>
  <si>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</si>
  <si>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</si>
  <si>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</si>
  <si>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</si>
  <si>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</si>
  <si>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</si>
  <si>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</si>
  <si>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</si>
  <si>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</si>
  <si>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</si>
  <si>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</si>
  <si>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</si>
  <si>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</si>
  <si>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</si>
  <si>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</si>
  <si>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</si>
  <si>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</si>
  <si>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</si>
  <si>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</si>
  <si>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</si>
  <si>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</si>
  <si>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</si>
  <si>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</si>
  <si>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</si>
  <si>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</si>
  <si>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</si>
  <si>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</si>
  <si>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</si>
  <si>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</si>
  <si>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</si>
  <si>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</si>
  <si>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</si>
  <si>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</si>
  <si>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</si>
  <si>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</si>
  <si>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</si>
  <si>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</si>
  <si>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</si>
  <si>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</si>
  <si>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</si>
  <si>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</si>
  <si>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</si>
  <si>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</si>
  <si>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</si>
  <si>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</si>
  <si>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</si>
  <si>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</si>
  <si>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</si>
  <si>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</si>
  <si>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</si>
  <si>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</si>
  <si>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</si>
  <si>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</si>
  <si>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</si>
  <si>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</si>
  <si>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</si>
  <si>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</si>
  <si>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</si>
  <si>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</si>
  <si>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</si>
  <si>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</si>
  <si>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</si>
  <si>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</si>
  <si>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</si>
  <si>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</si>
  <si>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</si>
  <si>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</si>
  <si>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</si>
  <si>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</si>
  <si>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</si>
  <si>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</si>
  <si>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</si>
  <si>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</si>
  <si>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</si>
  <si>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</si>
  <si>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</si>
  <si>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</si>
  <si>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</si>
  <si>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</si>
  <si>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</si>
  <si>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</si>
  <si>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</si>
  <si>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</si>
  <si>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</si>
  <si>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</si>
  <si>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</si>
  <si>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</si>
  <si>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</si>
  <si>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</si>
  <si>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</si>
  <si>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</si>
  <si>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</si>
  <si>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</si>
  <si>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</si>
  <si>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</si>
  <si>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</si>
  <si>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</si>
  <si>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</si>
  <si>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</si>
  <si>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</si>
  <si>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</si>
  <si>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</si>
  <si>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</si>
  <si>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</si>
  <si>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</si>
  <si>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</si>
  <si>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</si>
  <si>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</si>
  <si>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</si>
  <si>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</si>
  <si>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</si>
  <si>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</si>
  <si>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</si>
  <si>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</si>
  <si>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</si>
  <si>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</si>
  <si>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</si>
  <si>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</si>
  <si>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</si>
  <si>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</si>
  <si>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</si>
  <si>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</si>
  <si>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</si>
  <si>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</si>
  <si>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</si>
  <si>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</si>
  <si>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</si>
  <si>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</si>
  <si>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</si>
  <si>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</si>
  <si>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</si>
  <si>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</si>
  <si>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</si>
  <si>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</si>
  <si>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</si>
  <si>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</si>
  <si>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</si>
  <si>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</si>
  <si>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</si>
  <si>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</si>
  <si>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</si>
  <si>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</si>
  <si>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</si>
  <si>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</si>
  <si>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</si>
  <si>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</si>
  <si>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</si>
  <si>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</si>
  <si>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</si>
  <si>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</si>
  <si>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</si>
  <si>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</si>
  <si>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</si>
  <si>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</si>
  <si>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</si>
  <si>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</si>
  <si>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</si>
  <si>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</si>
  <si>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</si>
  <si>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</si>
  <si>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</si>
  <si>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</si>
  <si>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</si>
  <si>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</si>
  <si>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</si>
  <si>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</si>
  <si>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University of Windsor</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</si>
  <si>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</si>
  <si>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</si>
  <si>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</si>
  <si>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</si>
  <si>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</si>
  <si>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</si>
  <si>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</si>
  <si>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</si>
  <si>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</si>
  <si>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</si>
  <si>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</si>
  <si>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</si>
  <si>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</si>
  <si>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</si>
  <si>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</si>
  <si>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</si>
  <si>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</si>
  <si>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</si>
  <si>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</si>
  <si>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</si>
  <si>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</si>
  <si>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</si>
  <si>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</si>
  <si>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</si>
  <si>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</si>
  <si>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</si>
  <si>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</si>
  <si>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</si>
  <si>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</si>
  <si>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</si>
  <si>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</si>
  <si>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</si>
  <si>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</si>
  <si>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</si>
  <si>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</si>
  <si>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</si>
  <si>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</si>
  <si>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</si>
  <si>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</si>
  <si>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</si>
  <si>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</si>
  <si>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</si>
  <si>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</si>
  <si>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</si>
  <si>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</si>
  <si>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</si>
  <si>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</si>
  <si>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</si>
  <si>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</si>
  <si>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</si>
  <si>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</si>
  <si>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</si>
  <si>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</si>
  <si>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</si>
  <si>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</si>
  <si>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</si>
  <si>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</si>
  <si>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</si>
  <si>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</si>
  <si>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</si>
  <si>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</si>
  <si>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</si>
  <si>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</si>
  <si>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</si>
  <si>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</si>
  <si>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</si>
  <si>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</si>
  <si>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</si>
  <si>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</si>
  <si>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</si>
  <si>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</si>
  <si>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Carleton’s 2021-22 operating budget supports the university’s plans for the coming year and recommends the resource allocations required to execute those plans. It also reflects the university’s alignment of its strategic planning, risk assessments and annual planning activities. The primary goal of this budget is to advance the three directions of our Strategic Integrated Plan: Share Knowledge, Shape the Future; Serve Ottawa, Serve the World; and Strive for Wellness, Strive for Sustainability. It also aims to provide resources for responding to the ongoing global public health crisis, while maintaining medium and long-term financial stability</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</si>
  <si>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</si>
  <si>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</si>
  <si>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carleton_2021_3</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</si>
  <si>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reflect increased demand for graduate programs in areas that respond to human adaptations in commerce, technology, and wellness and wellbeing. Research interest and funding is also expected to shift in addressing new post-pandemic issues. In the short-term, we are seeing more steady enrolment at the graduate level and a modest decrease in first-year undergraduate student intake. At the time of writing, it remains unclear how much on-campus activity will be possible in the fall of 2021 at Carleton, along with all other Canadian post-secondary education institutions.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</si>
  <si>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</si>
  <si>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</si>
  <si>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carleton_2021_5</t>
  </si>
  <si>
    <t>The 2021-22 budgeted expenses cover compulsory increases, such as negotiated salaries and benefits, utilities, contracted increases and discretionary allocations to support the university’s operating priorities. As determined by the Strategic Integrated Planning Committee, Carleton’s 2021-22 priorities are intended to support the directions of our Strategic Integrated Plan and continue to respond to the global public health crisis.</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</si>
  <si>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</si>
  <si>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</si>
  <si>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</si>
  <si>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</si>
  <si>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windsor_2019_7</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</si>
  <si>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</si>
  <si>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</si>
  <si>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</si>
  <si>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</si>
  <si>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</si>
  <si>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</si>
  <si>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</si>
  <si>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windsor_2019_11</t>
  </si>
  <si>
    <t>MTCU has indicated that 6 of the 10 metrics will be aligned with priorities in skills and job outcomes, including such measures as graduate earnings; experiential learning; skills and competencies; graduate employment; institutional strength; and graduation rates. Four of the metrics will be related to economic and community impacts, including research funding and capacity; innovation; impact in the local community; and a negotiated institution-specific economic impact metric.</t>
  </si>
  <si>
    <t>carleton_2021_8</t>
  </si>
  <si>
    <t>Carleton will continue to make use of its COVID-related contingency funds to allow for in-year investments that respond to operational impacts created by the public health crisis. Process changes, such as the centralization of the approval and renewal of faculty positions, continue to ensure that one of the university’s most important strategic resources are deployed effectively.</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</si>
  <si>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</si>
  <si>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</si>
  <si>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</si>
  <si>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</si>
  <si>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</si>
  <si>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 increased demand for graduate programs in areas that respond to human adaptations in commerce, technology, the environment, and wellness. Research interest and funding is also expecteed to shift in addressing emerging post-pandemic issues..</t>
  </si>
  <si>
    <t>Since the pandemic began, we have seen more steady enrolment growth at the graduate level, and have slowly but steadily been recovering from the drop in first-year undergraduate intake in the Fall of 2020. Past growth flowing through, along with increased retention rates, largely offset those declines during the pandemic. The goal will be to eventually return to pre-pandemic undergraduate intake levels, which will be made possible with a return to significant in-person recruitment</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</si>
  <si>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</si>
  <si>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 xml:space="preserve">The 2022-23 budgeted expenses cover compulsory increases, such as negotiated salaries and benefits, utilities, contracted increases and discretionary allocations to support the university’s operating priorities. </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</si>
  <si>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</si>
  <si>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An additional $5.9 million has been allocated to University Budgets to support operational requirements such as IT, utilities, maintenance, cleaning, and insurance (a total of $2.7 million), benefit costs ($1.4 milliion), undergraduate and graduate student aid ($1.3 million) and library acquisitions ($0.5 million)</t>
  </si>
  <si>
    <t>carleton_2022_3</t>
  </si>
  <si>
    <t>carleton_2022_4</t>
  </si>
  <si>
    <t>carleton_2022_5</t>
  </si>
  <si>
    <t>carleton_2022_6</t>
  </si>
  <si>
    <t>carleton_2022_7</t>
  </si>
  <si>
    <t>carleton_2022_8</t>
  </si>
  <si>
    <t>carleton_2023</t>
  </si>
  <si>
    <t>carleton_2023_1</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</si>
  <si>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</si>
  <si>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</si>
  <si>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</si>
  <si>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</si>
  <si>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</si>
  <si>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</si>
  <si>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 xml:space="preserve">
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</si>
  <si>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</si>
  <si>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In addition to these institutional priorities, central contingenicies will provide support to RPCs by funding compensation and benefit increases as we exit Bill 124.</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</si>
  <si>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</si>
  <si>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carleton_2023_2</t>
  </si>
  <si>
    <t>carleton_2023_3</t>
  </si>
  <si>
    <t>carleton_2023_4</t>
  </si>
  <si>
    <t>carleton_2023_5</t>
  </si>
  <si>
    <t>carleton_2023_6</t>
  </si>
  <si>
    <t>carleton_2023_7</t>
  </si>
  <si>
    <t>carleton_2023_8</t>
  </si>
  <si>
    <t>carleton_2023_9</t>
  </si>
  <si>
    <t>carleton_2023_10</t>
  </si>
  <si>
    <t>carleton_2024</t>
  </si>
  <si>
    <t>carleton_2024_1</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</si>
  <si>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</si>
  <si>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</si>
  <si>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</si>
  <si>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</si>
  <si>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</si>
  <si>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</si>
  <si>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</si>
  <si>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Other financial pressures include the University’s deferred maintenance obligation which continues to grow; as well, our Enterprise Resource Planning system is nearing a point at which we will need to evaluate options for replacement.</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</si>
  <si>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</si>
  <si>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</si>
  <si>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</si>
  <si>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</si>
  <si>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</si>
  <si>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</si>
  <si>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</si>
  <si>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</si>
  <si>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</si>
  <si>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carleton_2024_8</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</si>
  <si>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</si>
  <si>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</si>
  <si>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</si>
  <si>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</si>
  <si>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</si>
  <si>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</si>
  <si>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</si>
  <si>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</si>
  <si>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</si>
  <si>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</si>
  <si>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</si>
  <si>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</si>
  <si>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</si>
  <si>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</si>
  <si>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</si>
  <si>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As shown in Section 3 of this report, the 2025-26 Operating Budget meets the objective set out by the Board of Governors that a budget be developed within the framework presented in November 2024.</t>
  </si>
  <si>
    <t>carleton_2025_3</t>
  </si>
  <si>
    <t>carleton_2025_4</t>
  </si>
  <si>
    <t>carleton_2025_5</t>
  </si>
  <si>
    <t>carleton_2025_6</t>
  </si>
  <si>
    <t>carleton_2025_7</t>
  </si>
  <si>
    <t>carleton_2025_8</t>
  </si>
  <si>
    <t>carleton_2025_9</t>
  </si>
  <si>
    <t>carleton_2025_10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</si>
</sst>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xf numFmtId="0" fontId="0" fillId="8" borderId="0" xfId="0" applyFill="1" applyAlignment="1">
      <alignment horizontal="left"/>
    </xf>
    <xf numFmtId="0" fontId="4"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270"/>
  <sheetViews>
    <sheetView tabSelected="1" topLeftCell="A181" zoomScaleNormal="100" workbookViewId="0">
      <selection activeCell="H221" sqref="H221"/>
    </sheetView>
  </sheetViews>
  <sheetFormatPr baseColWidth="10" defaultRowHeight="16"/>
  <cols>
    <col min="1" max="1" width="12.33203125" customWidth="1"/>
    <col min="2" max="2" width="16.33203125" customWidth="1"/>
    <col min="3" max="3" width="14.6640625" customWidth="1"/>
    <col min="4" max="5" width="15" style="13" hidden="1" customWidth="1"/>
    <col min="6"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12"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0">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0">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0">
        <v>0</v>
      </c>
      <c r="H4" s="21">
        <v>2</v>
      </c>
      <c r="I4" s="4">
        <v>3</v>
      </c>
      <c r="J4" s="4">
        <v>9</v>
      </c>
      <c r="K4" s="4" t="s">
        <v>11</v>
      </c>
      <c r="L4" s="4" t="s">
        <v>13</v>
      </c>
      <c r="M4" s="4">
        <v>2017</v>
      </c>
      <c r="N4" s="4">
        <v>1</v>
      </c>
      <c r="O4" s="4">
        <v>0</v>
      </c>
    </row>
    <row r="5" spans="1:21">
      <c r="A5" s="4" t="s">
        <v>9</v>
      </c>
      <c r="B5" s="4" t="s">
        <v>24</v>
      </c>
      <c r="C5" s="6" t="s">
        <v>19</v>
      </c>
      <c r="D5" s="13">
        <v>1</v>
      </c>
      <c r="E5" s="13" t="s">
        <v>399</v>
      </c>
      <c r="F5" s="13">
        <v>1</v>
      </c>
      <c r="G5" s="20">
        <v>0</v>
      </c>
      <c r="H5" s="13">
        <v>1</v>
      </c>
      <c r="I5" s="4">
        <v>6</v>
      </c>
      <c r="J5" s="4">
        <v>9</v>
      </c>
      <c r="K5" s="4" t="s">
        <v>11</v>
      </c>
      <c r="L5" s="4" t="s">
        <v>13</v>
      </c>
      <c r="M5" s="4">
        <v>2017</v>
      </c>
      <c r="N5" s="4">
        <v>1</v>
      </c>
      <c r="O5" s="4">
        <v>0</v>
      </c>
    </row>
    <row r="6" spans="1:21">
      <c r="A6" s="4" t="s">
        <v>9</v>
      </c>
      <c r="B6" s="4" t="s">
        <v>25</v>
      </c>
      <c r="C6" s="6" t="s">
        <v>20</v>
      </c>
      <c r="D6" s="13">
        <v>1</v>
      </c>
      <c r="E6" s="13" t="s">
        <v>399</v>
      </c>
      <c r="F6" s="13">
        <v>1</v>
      </c>
      <c r="G6" s="20">
        <v>1</v>
      </c>
      <c r="H6" s="13">
        <v>2</v>
      </c>
      <c r="I6" s="4">
        <v>8</v>
      </c>
      <c r="J6" s="4">
        <v>9</v>
      </c>
      <c r="K6" s="4" t="s">
        <v>11</v>
      </c>
      <c r="L6" s="4" t="s">
        <v>13</v>
      </c>
      <c r="M6" s="4">
        <v>2017</v>
      </c>
      <c r="N6" s="4">
        <v>1</v>
      </c>
      <c r="O6" s="4">
        <v>0</v>
      </c>
    </row>
    <row r="7" spans="1:21">
      <c r="A7" s="4" t="s">
        <v>9</v>
      </c>
      <c r="B7" s="4" t="s">
        <v>26</v>
      </c>
      <c r="C7" s="6" t="s">
        <v>21</v>
      </c>
      <c r="D7" s="13">
        <v>0</v>
      </c>
      <c r="F7" s="13">
        <v>1</v>
      </c>
      <c r="G7" s="20">
        <v>0</v>
      </c>
      <c r="H7" s="13">
        <v>1</v>
      </c>
      <c r="I7" s="4">
        <v>9</v>
      </c>
      <c r="J7" s="4">
        <v>9</v>
      </c>
      <c r="K7" s="4" t="s">
        <v>11</v>
      </c>
      <c r="L7" s="4" t="s">
        <v>13</v>
      </c>
      <c r="M7" s="4">
        <v>2017</v>
      </c>
      <c r="N7" s="4">
        <v>1</v>
      </c>
      <c r="O7" s="4">
        <v>0</v>
      </c>
    </row>
    <row r="8" spans="1:21">
      <c r="A8" s="4" t="s">
        <v>8</v>
      </c>
      <c r="B8" s="4" t="s">
        <v>27</v>
      </c>
      <c r="C8" s="6" t="s">
        <v>28</v>
      </c>
      <c r="D8" s="13">
        <v>1</v>
      </c>
      <c r="E8" s="13" t="s">
        <v>395</v>
      </c>
      <c r="F8" s="13">
        <v>1</v>
      </c>
      <c r="G8" s="20">
        <v>1</v>
      </c>
      <c r="H8" s="13">
        <v>2</v>
      </c>
      <c r="I8" s="4">
        <v>1</v>
      </c>
      <c r="J8" s="4">
        <v>9</v>
      </c>
      <c r="K8" s="4" t="s">
        <v>11</v>
      </c>
      <c r="L8" s="4" t="s">
        <v>13</v>
      </c>
      <c r="M8" s="4">
        <v>2018</v>
      </c>
      <c r="N8" s="4">
        <v>1</v>
      </c>
      <c r="O8" s="4">
        <v>0</v>
      </c>
    </row>
    <row r="9" spans="1:21">
      <c r="A9" s="4" t="s">
        <v>8</v>
      </c>
      <c r="B9" s="4" t="s">
        <v>33</v>
      </c>
      <c r="C9" s="6" t="s">
        <v>29</v>
      </c>
      <c r="D9" s="13">
        <v>1</v>
      </c>
      <c r="E9" s="13" t="s">
        <v>399</v>
      </c>
      <c r="F9" s="13">
        <v>1</v>
      </c>
      <c r="G9" s="20">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0">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0">
        <v>1</v>
      </c>
      <c r="H11" s="13">
        <v>2</v>
      </c>
      <c r="I11" s="4">
        <v>7</v>
      </c>
      <c r="J11" s="4">
        <v>9</v>
      </c>
      <c r="K11" s="4" t="s">
        <v>11</v>
      </c>
      <c r="L11" s="4" t="s">
        <v>13</v>
      </c>
      <c r="M11" s="4">
        <v>2018</v>
      </c>
      <c r="N11" s="4">
        <v>1</v>
      </c>
      <c r="O11" s="4">
        <v>0</v>
      </c>
    </row>
    <row r="12" spans="1:21">
      <c r="A12" s="4" t="s">
        <v>8</v>
      </c>
      <c r="B12" s="4" t="s">
        <v>36</v>
      </c>
      <c r="C12" s="6" t="s">
        <v>32</v>
      </c>
      <c r="D12" s="13">
        <v>0</v>
      </c>
      <c r="F12" s="13">
        <v>1</v>
      </c>
      <c r="G12" s="20">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0">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0">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0">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0">
        <v>0</v>
      </c>
      <c r="H16" s="21">
        <v>2</v>
      </c>
      <c r="I16" s="4">
        <v>6</v>
      </c>
      <c r="J16" s="4">
        <v>7</v>
      </c>
      <c r="K16" s="4" t="s">
        <v>11</v>
      </c>
      <c r="L16" s="4" t="s">
        <v>13</v>
      </c>
      <c r="M16" s="4">
        <v>2019</v>
      </c>
      <c r="N16" s="4">
        <v>1</v>
      </c>
      <c r="O16" s="4">
        <v>1</v>
      </c>
    </row>
    <row r="17" spans="1:15">
      <c r="A17" s="4" t="s">
        <v>7</v>
      </c>
      <c r="B17" s="4" t="s">
        <v>47</v>
      </c>
      <c r="C17" s="8" t="s">
        <v>43</v>
      </c>
      <c r="D17" s="13">
        <v>0</v>
      </c>
      <c r="F17" s="13">
        <v>1</v>
      </c>
      <c r="G17" s="20">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0">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0">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0">
        <v>0</v>
      </c>
      <c r="H20" s="21">
        <v>2</v>
      </c>
      <c r="I20" s="4">
        <v>8</v>
      </c>
      <c r="J20" s="4">
        <v>10</v>
      </c>
      <c r="K20" s="4" t="s">
        <v>11</v>
      </c>
      <c r="L20" s="4" t="s">
        <v>13</v>
      </c>
      <c r="M20" s="4">
        <v>2020</v>
      </c>
      <c r="N20" s="4">
        <v>1</v>
      </c>
      <c r="O20" s="4">
        <v>1</v>
      </c>
    </row>
    <row r="21" spans="1:15">
      <c r="A21" s="4" t="s">
        <v>38</v>
      </c>
      <c r="B21" s="4" t="s">
        <v>55</v>
      </c>
      <c r="C21" s="8" t="s">
        <v>50</v>
      </c>
      <c r="D21" s="13">
        <v>1</v>
      </c>
      <c r="E21" s="13" t="s">
        <v>399</v>
      </c>
      <c r="F21" s="13">
        <v>1</v>
      </c>
      <c r="G21" s="20">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0">
        <v>0</v>
      </c>
      <c r="H22" s="21">
        <v>2</v>
      </c>
      <c r="I22" s="4">
        <v>10</v>
      </c>
      <c r="J22" s="4">
        <v>10</v>
      </c>
      <c r="K22" s="4" t="s">
        <v>11</v>
      </c>
      <c r="L22" s="4" t="s">
        <v>13</v>
      </c>
      <c r="M22" s="4">
        <v>2020</v>
      </c>
      <c r="N22" s="4">
        <v>1</v>
      </c>
      <c r="O22" s="4">
        <v>1</v>
      </c>
    </row>
    <row r="23" spans="1:15">
      <c r="A23" s="4" t="s">
        <v>56</v>
      </c>
      <c r="B23" s="4" t="s">
        <v>57</v>
      </c>
      <c r="C23" s="8" t="s">
        <v>58</v>
      </c>
      <c r="D23" s="13">
        <v>1</v>
      </c>
      <c r="E23" s="13" t="s">
        <v>395</v>
      </c>
      <c r="F23" s="13">
        <v>1</v>
      </c>
      <c r="G23" s="20">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0">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0">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0">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0">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0">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0">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0">
        <v>0</v>
      </c>
      <c r="H30" s="21">
        <v>2</v>
      </c>
      <c r="I30" s="4">
        <v>4</v>
      </c>
      <c r="J30" s="4">
        <v>7</v>
      </c>
      <c r="K30" s="4" t="s">
        <v>11</v>
      </c>
      <c r="L30" s="4" t="s">
        <v>13</v>
      </c>
      <c r="M30" s="4">
        <v>2022</v>
      </c>
      <c r="N30" s="4">
        <v>1</v>
      </c>
      <c r="O30" s="4">
        <v>1</v>
      </c>
    </row>
    <row r="31" spans="1:15">
      <c r="A31" s="4" t="s">
        <v>64</v>
      </c>
      <c r="B31" s="4" t="s">
        <v>74</v>
      </c>
      <c r="C31" s="9" t="s">
        <v>68</v>
      </c>
      <c r="D31" s="13">
        <v>1</v>
      </c>
      <c r="E31" s="13" t="s">
        <v>397</v>
      </c>
      <c r="F31" s="13">
        <v>1</v>
      </c>
      <c r="G31" s="20">
        <v>0</v>
      </c>
      <c r="H31" s="21">
        <v>2</v>
      </c>
      <c r="I31" s="4">
        <v>5</v>
      </c>
      <c r="J31" s="4">
        <v>7</v>
      </c>
      <c r="K31" s="4" t="s">
        <v>11</v>
      </c>
      <c r="L31" s="4" t="s">
        <v>13</v>
      </c>
      <c r="M31" s="4">
        <v>2022</v>
      </c>
      <c r="N31" s="4">
        <v>1</v>
      </c>
      <c r="O31" s="4">
        <v>1</v>
      </c>
    </row>
    <row r="32" spans="1:15">
      <c r="A32" s="4" t="s">
        <v>64</v>
      </c>
      <c r="B32" s="4" t="s">
        <v>75</v>
      </c>
      <c r="C32" s="9" t="s">
        <v>69</v>
      </c>
      <c r="D32" s="13">
        <v>1</v>
      </c>
      <c r="E32" s="13" t="s">
        <v>399</v>
      </c>
      <c r="F32" s="13">
        <v>1</v>
      </c>
      <c r="G32" s="20">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0">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0">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0">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0">
        <v>0</v>
      </c>
      <c r="H36" s="21">
        <v>2</v>
      </c>
      <c r="I36" s="4">
        <v>3</v>
      </c>
      <c r="J36" s="4">
        <v>8</v>
      </c>
      <c r="K36" s="4" t="s">
        <v>11</v>
      </c>
      <c r="L36" s="4" t="s">
        <v>13</v>
      </c>
      <c r="M36" s="4">
        <v>2023</v>
      </c>
      <c r="N36" s="4">
        <v>1</v>
      </c>
      <c r="O36" s="4">
        <v>1</v>
      </c>
    </row>
    <row r="37" spans="1:15">
      <c r="A37" s="4" t="s">
        <v>77</v>
      </c>
      <c r="B37" s="4" t="s">
        <v>88</v>
      </c>
      <c r="C37" s="9" t="s">
        <v>82</v>
      </c>
      <c r="D37" s="13">
        <v>1</v>
      </c>
      <c r="E37" s="13" t="s">
        <v>399</v>
      </c>
      <c r="F37" s="13">
        <v>1</v>
      </c>
      <c r="G37" s="20">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0">
        <v>0</v>
      </c>
      <c r="H38" s="21">
        <v>2</v>
      </c>
      <c r="I38" s="4">
        <v>5</v>
      </c>
      <c r="J38" s="4">
        <v>8</v>
      </c>
      <c r="K38" s="4" t="s">
        <v>11</v>
      </c>
      <c r="L38" s="4" t="s">
        <v>13</v>
      </c>
      <c r="M38" s="4">
        <v>2023</v>
      </c>
      <c r="N38" s="4">
        <v>1</v>
      </c>
      <c r="O38" s="4">
        <v>1</v>
      </c>
    </row>
    <row r="39" spans="1:15">
      <c r="A39" s="4" t="s">
        <v>77</v>
      </c>
      <c r="B39" s="4" t="s">
        <v>90</v>
      </c>
      <c r="C39" s="9" t="s">
        <v>84</v>
      </c>
      <c r="D39" s="13">
        <v>1</v>
      </c>
      <c r="E39" s="13" t="s">
        <v>399</v>
      </c>
      <c r="F39" s="13">
        <v>1</v>
      </c>
      <c r="G39" s="20">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0">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0">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0">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0">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0">
        <v>0</v>
      </c>
      <c r="H44" s="21">
        <v>2</v>
      </c>
      <c r="I44" s="4">
        <v>4</v>
      </c>
      <c r="J44" s="4">
        <v>8</v>
      </c>
      <c r="K44" s="4" t="s">
        <v>11</v>
      </c>
      <c r="L44" s="4" t="s">
        <v>13</v>
      </c>
      <c r="M44" s="4">
        <v>2024</v>
      </c>
      <c r="N44" s="4">
        <v>1</v>
      </c>
      <c r="O44" s="4">
        <v>1</v>
      </c>
    </row>
    <row r="45" spans="1:15">
      <c r="A45" s="4" t="s">
        <v>92</v>
      </c>
      <c r="B45" s="4" t="s">
        <v>104</v>
      </c>
      <c r="C45" s="9" t="s">
        <v>97</v>
      </c>
      <c r="D45" s="13">
        <v>1</v>
      </c>
      <c r="E45" s="13" t="s">
        <v>397</v>
      </c>
      <c r="F45" s="13">
        <v>1</v>
      </c>
      <c r="G45" s="20">
        <v>0</v>
      </c>
      <c r="H45" s="21">
        <v>2</v>
      </c>
      <c r="I45" s="4">
        <v>5</v>
      </c>
      <c r="J45" s="4">
        <v>8</v>
      </c>
      <c r="K45" s="4" t="s">
        <v>11</v>
      </c>
      <c r="L45" s="4" t="s">
        <v>13</v>
      </c>
      <c r="M45" s="4">
        <v>2024</v>
      </c>
      <c r="N45" s="4">
        <v>1</v>
      </c>
      <c r="O45" s="4">
        <v>1</v>
      </c>
    </row>
    <row r="46" spans="1:15">
      <c r="A46" s="4" t="s">
        <v>92</v>
      </c>
      <c r="B46" s="4" t="s">
        <v>105</v>
      </c>
      <c r="C46" s="9" t="s">
        <v>98</v>
      </c>
      <c r="D46" s="13">
        <v>1</v>
      </c>
      <c r="E46" s="13" t="s">
        <v>399</v>
      </c>
      <c r="F46" s="13">
        <v>1</v>
      </c>
      <c r="G46" s="20">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0">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0">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0">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0">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0">
        <v>0</v>
      </c>
      <c r="H51" s="21">
        <v>2</v>
      </c>
      <c r="I51" s="4">
        <v>3</v>
      </c>
      <c r="J51" s="4">
        <v>8</v>
      </c>
      <c r="K51" s="4" t="s">
        <v>11</v>
      </c>
      <c r="L51" s="4" t="s">
        <v>13</v>
      </c>
      <c r="M51" s="4">
        <v>2025</v>
      </c>
      <c r="N51" s="4">
        <v>1</v>
      </c>
      <c r="O51" s="4">
        <v>1</v>
      </c>
    </row>
    <row r="52" spans="1:15">
      <c r="A52" s="4" t="s">
        <v>108</v>
      </c>
      <c r="B52" s="4" t="s">
        <v>119</v>
      </c>
      <c r="C52" s="9" t="s">
        <v>113</v>
      </c>
      <c r="D52" s="13">
        <v>1</v>
      </c>
      <c r="E52" s="13" t="s">
        <v>397</v>
      </c>
      <c r="F52" s="13">
        <v>1</v>
      </c>
      <c r="G52" s="20">
        <v>0</v>
      </c>
      <c r="H52" s="21">
        <v>2</v>
      </c>
      <c r="I52" s="4">
        <v>4</v>
      </c>
      <c r="J52" s="4">
        <v>8</v>
      </c>
      <c r="K52" s="4" t="s">
        <v>11</v>
      </c>
      <c r="L52" s="4" t="s">
        <v>13</v>
      </c>
      <c r="M52" s="4">
        <v>2025</v>
      </c>
      <c r="N52" s="4">
        <v>1</v>
      </c>
      <c r="O52" s="4">
        <v>1</v>
      </c>
    </row>
    <row r="53" spans="1:15">
      <c r="A53" s="4" t="s">
        <v>108</v>
      </c>
      <c r="B53" s="4" t="s">
        <v>120</v>
      </c>
      <c r="C53" s="9" t="s">
        <v>114</v>
      </c>
      <c r="D53" s="13">
        <v>1</v>
      </c>
      <c r="E53" s="13" t="s">
        <v>399</v>
      </c>
      <c r="F53" s="13">
        <v>1</v>
      </c>
      <c r="G53" s="20">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0">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0">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0">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0">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0">
        <v>0</v>
      </c>
      <c r="H58" s="13">
        <v>1</v>
      </c>
      <c r="I58" s="4">
        <v>8</v>
      </c>
      <c r="J58" s="4">
        <v>21</v>
      </c>
      <c r="K58" s="4" t="s">
        <v>124</v>
      </c>
      <c r="L58" s="4" t="s">
        <v>13</v>
      </c>
      <c r="M58" s="4">
        <v>2017</v>
      </c>
      <c r="N58" s="4">
        <v>1</v>
      </c>
      <c r="O58" s="4">
        <v>0</v>
      </c>
    </row>
    <row r="59" spans="1:15">
      <c r="A59" s="4" t="s">
        <v>123</v>
      </c>
      <c r="B59" s="4" t="s">
        <v>139</v>
      </c>
      <c r="C59" s="9" t="s">
        <v>128</v>
      </c>
      <c r="D59" s="13">
        <v>0</v>
      </c>
      <c r="F59" s="13">
        <v>1</v>
      </c>
      <c r="G59" s="20">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0">
        <v>0</v>
      </c>
      <c r="H60" s="13">
        <v>1</v>
      </c>
      <c r="I60" s="4">
        <v>11</v>
      </c>
      <c r="J60" s="4">
        <v>21</v>
      </c>
      <c r="K60" s="4" t="s">
        <v>124</v>
      </c>
      <c r="L60" s="4" t="s">
        <v>13</v>
      </c>
      <c r="M60" s="4">
        <v>2017</v>
      </c>
      <c r="N60" s="4">
        <v>1</v>
      </c>
      <c r="O60" s="4">
        <v>0</v>
      </c>
    </row>
    <row r="61" spans="1:15">
      <c r="A61" s="4" t="s">
        <v>123</v>
      </c>
      <c r="B61" s="4" t="s">
        <v>141</v>
      </c>
      <c r="C61" s="9" t="s">
        <v>130</v>
      </c>
      <c r="D61" s="13">
        <v>0</v>
      </c>
      <c r="F61" s="13">
        <v>1</v>
      </c>
      <c r="G61" s="20">
        <v>0</v>
      </c>
      <c r="H61" s="21">
        <v>1</v>
      </c>
      <c r="I61" s="4">
        <v>14</v>
      </c>
      <c r="J61" s="4">
        <v>21</v>
      </c>
      <c r="K61" s="4" t="s">
        <v>124</v>
      </c>
      <c r="L61" s="4" t="s">
        <v>13</v>
      </c>
      <c r="M61" s="4">
        <v>2017</v>
      </c>
      <c r="N61" s="4">
        <v>1</v>
      </c>
      <c r="O61" s="4">
        <v>0</v>
      </c>
    </row>
    <row r="62" spans="1:15">
      <c r="A62" s="4" t="s">
        <v>123</v>
      </c>
      <c r="B62" s="4" t="s">
        <v>142</v>
      </c>
      <c r="C62" s="9" t="s">
        <v>131</v>
      </c>
      <c r="D62" s="13">
        <v>0</v>
      </c>
      <c r="F62" s="13">
        <v>1</v>
      </c>
      <c r="G62" s="20">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0">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0">
        <v>0</v>
      </c>
      <c r="H64" s="21">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0">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0">
        <v>0</v>
      </c>
      <c r="H66" s="21">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0">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0">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0">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0">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0">
        <v>0</v>
      </c>
      <c r="H71" s="13">
        <v>1</v>
      </c>
      <c r="I71" s="4">
        <v>8</v>
      </c>
      <c r="J71" s="4">
        <v>25</v>
      </c>
      <c r="K71" s="4" t="s">
        <v>124</v>
      </c>
      <c r="L71" s="4" t="s">
        <v>13</v>
      </c>
      <c r="M71" s="4">
        <v>2018</v>
      </c>
      <c r="N71" s="4">
        <v>1</v>
      </c>
      <c r="O71" s="4">
        <v>0</v>
      </c>
    </row>
    <row r="72" spans="1:15">
      <c r="A72" s="4" t="s">
        <v>147</v>
      </c>
      <c r="B72" s="4" t="s">
        <v>164</v>
      </c>
      <c r="C72" s="9" t="s">
        <v>153</v>
      </c>
      <c r="D72" s="13">
        <v>0</v>
      </c>
      <c r="F72" s="13">
        <v>1</v>
      </c>
      <c r="G72" s="20">
        <v>0</v>
      </c>
      <c r="H72" s="13">
        <v>1</v>
      </c>
      <c r="I72" s="4">
        <v>14</v>
      </c>
      <c r="J72" s="4">
        <v>25</v>
      </c>
      <c r="K72" s="4" t="s">
        <v>124</v>
      </c>
      <c r="L72" s="4" t="s">
        <v>13</v>
      </c>
      <c r="M72" s="4">
        <v>2018</v>
      </c>
      <c r="N72" s="4">
        <v>1</v>
      </c>
      <c r="O72" s="4">
        <v>0</v>
      </c>
    </row>
    <row r="73" spans="1:15">
      <c r="A73" s="4" t="s">
        <v>147</v>
      </c>
      <c r="B73" s="4" t="s">
        <v>165</v>
      </c>
      <c r="C73" s="9" t="s">
        <v>154</v>
      </c>
      <c r="D73" s="13">
        <v>0</v>
      </c>
      <c r="F73" s="13">
        <v>1</v>
      </c>
      <c r="G73" s="20">
        <v>0</v>
      </c>
      <c r="H73" s="21">
        <v>1</v>
      </c>
      <c r="I73" s="4">
        <v>17</v>
      </c>
      <c r="J73" s="4">
        <v>25</v>
      </c>
      <c r="K73" s="4" t="s">
        <v>124</v>
      </c>
      <c r="L73" s="4" t="s">
        <v>13</v>
      </c>
      <c r="M73" s="4">
        <v>2018</v>
      </c>
      <c r="N73" s="4">
        <v>1</v>
      </c>
      <c r="O73" s="4">
        <v>0</v>
      </c>
    </row>
    <row r="74" spans="1:15">
      <c r="A74" s="4" t="s">
        <v>147</v>
      </c>
      <c r="B74" s="4" t="s">
        <v>166</v>
      </c>
      <c r="C74" s="9" t="s">
        <v>155</v>
      </c>
      <c r="D74" s="13">
        <v>0</v>
      </c>
      <c r="F74" s="13">
        <v>1</v>
      </c>
      <c r="G74" s="20">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0">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0">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0">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0">
        <v>0</v>
      </c>
      <c r="H78" s="21">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0">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0">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0">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0">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0">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0">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0">
        <v>0</v>
      </c>
      <c r="H85" s="21">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0">
        <v>1</v>
      </c>
      <c r="H86" s="13">
        <v>1</v>
      </c>
      <c r="I86" s="4">
        <v>14</v>
      </c>
      <c r="J86" s="4">
        <v>16</v>
      </c>
      <c r="K86" s="4" t="s">
        <v>124</v>
      </c>
      <c r="L86" s="4" t="s">
        <v>13</v>
      </c>
      <c r="M86" s="4">
        <v>2019</v>
      </c>
      <c r="N86" s="4">
        <v>1</v>
      </c>
      <c r="O86" s="4">
        <v>1</v>
      </c>
    </row>
    <row r="87" spans="1:15">
      <c r="A87" s="4" t="s">
        <v>171</v>
      </c>
      <c r="B87" s="4" t="s">
        <v>189</v>
      </c>
      <c r="C87" s="9" t="s">
        <v>179</v>
      </c>
      <c r="D87" s="13">
        <v>0</v>
      </c>
      <c r="F87" s="13">
        <v>1</v>
      </c>
      <c r="G87" s="20">
        <v>1</v>
      </c>
      <c r="H87" s="13">
        <v>1</v>
      </c>
      <c r="I87" s="4">
        <v>15</v>
      </c>
      <c r="J87" s="4">
        <v>16</v>
      </c>
      <c r="K87" s="4" t="s">
        <v>124</v>
      </c>
      <c r="L87" s="4" t="s">
        <v>13</v>
      </c>
      <c r="M87" s="4">
        <v>2019</v>
      </c>
      <c r="N87" s="4">
        <v>1</v>
      </c>
      <c r="O87" s="4">
        <v>1</v>
      </c>
    </row>
    <row r="88" spans="1:15">
      <c r="A88" s="4" t="s">
        <v>171</v>
      </c>
      <c r="B88" s="4" t="s">
        <v>190</v>
      </c>
      <c r="C88" s="9" t="s">
        <v>180</v>
      </c>
      <c r="D88" s="13">
        <v>0</v>
      </c>
      <c r="F88" s="13">
        <v>1</v>
      </c>
      <c r="G88" s="20">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0">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0">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0">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0">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0">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0">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0">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0">
        <v>0</v>
      </c>
      <c r="H96" s="21">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0">
        <v>1</v>
      </c>
      <c r="H97" s="13">
        <v>1</v>
      </c>
      <c r="I97" s="4">
        <v>15</v>
      </c>
      <c r="J97" s="4">
        <v>17</v>
      </c>
      <c r="K97" s="4" t="s">
        <v>124</v>
      </c>
      <c r="L97" s="4" t="s">
        <v>13</v>
      </c>
      <c r="M97" s="4">
        <v>2020</v>
      </c>
      <c r="N97" s="4">
        <v>1</v>
      </c>
      <c r="O97" s="4">
        <v>1</v>
      </c>
    </row>
    <row r="98" spans="1:15">
      <c r="A98" s="4" t="s">
        <v>191</v>
      </c>
      <c r="B98" s="4" t="s">
        <v>213</v>
      </c>
      <c r="C98" s="11" t="s">
        <v>202</v>
      </c>
      <c r="D98" s="13">
        <v>0</v>
      </c>
      <c r="F98" s="13">
        <v>1</v>
      </c>
      <c r="G98" s="20">
        <v>0</v>
      </c>
      <c r="H98" s="13">
        <v>1</v>
      </c>
      <c r="I98" s="4">
        <v>16</v>
      </c>
      <c r="J98" s="4">
        <v>17</v>
      </c>
      <c r="K98" s="4" t="s">
        <v>124</v>
      </c>
      <c r="L98" s="4" t="s">
        <v>13</v>
      </c>
      <c r="M98" s="4">
        <v>2020</v>
      </c>
      <c r="N98" s="4">
        <v>1</v>
      </c>
      <c r="O98" s="4">
        <v>1</v>
      </c>
    </row>
    <row r="99" spans="1:15">
      <c r="A99" s="4" t="s">
        <v>191</v>
      </c>
      <c r="B99" s="4" t="s">
        <v>214</v>
      </c>
      <c r="C99" s="11" t="s">
        <v>203</v>
      </c>
      <c r="D99" s="13">
        <v>0</v>
      </c>
      <c r="F99" s="13">
        <v>1</v>
      </c>
      <c r="G99" s="20">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0">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0">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0">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0">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0">
        <v>0</v>
      </c>
      <c r="H104" s="21">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0">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0">
        <v>0</v>
      </c>
      <c r="H106" s="21">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0">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0">
        <v>0</v>
      </c>
      <c r="H108" s="21">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0">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0">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0">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0">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0">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0">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0">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0">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0">
        <v>0</v>
      </c>
      <c r="H117" s="21">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0">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0">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0">
        <v>0</v>
      </c>
      <c r="H120" s="21">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0">
        <v>0</v>
      </c>
      <c r="H121" s="21">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0">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0">
        <v>0</v>
      </c>
      <c r="H123" s="21">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0">
        <v>1</v>
      </c>
      <c r="H124" s="21">
        <v>1</v>
      </c>
      <c r="I124" s="4">
        <v>27</v>
      </c>
      <c r="J124" s="4">
        <v>29</v>
      </c>
      <c r="K124" s="4" t="s">
        <v>124</v>
      </c>
      <c r="L124" s="4" t="s">
        <v>13</v>
      </c>
      <c r="M124" s="4">
        <v>2022</v>
      </c>
      <c r="N124" s="4">
        <v>1</v>
      </c>
      <c r="O124" s="4">
        <v>1</v>
      </c>
    </row>
    <row r="125" spans="1:16">
      <c r="A125" s="4" t="s">
        <v>241</v>
      </c>
      <c r="B125" s="4" t="s">
        <v>266</v>
      </c>
      <c r="C125" s="9" t="s">
        <v>404</v>
      </c>
      <c r="D125" s="13">
        <v>0</v>
      </c>
      <c r="F125" s="13">
        <v>1</v>
      </c>
      <c r="G125" s="20">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0">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0">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0">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0">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0">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0">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0">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0">
        <v>0</v>
      </c>
      <c r="H133" s="21">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0">
        <v>0</v>
      </c>
      <c r="H134" s="21">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0">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0">
        <v>1</v>
      </c>
      <c r="H136" s="21">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0">
        <v>1</v>
      </c>
      <c r="H137" s="21">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0">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0">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0">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0">
        <v>0</v>
      </c>
      <c r="H141" s="21">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0">
        <v>1</v>
      </c>
      <c r="H142" s="21">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0">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0">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0">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0">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0">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0">
        <v>0</v>
      </c>
      <c r="H148" s="21">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0">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0">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0">
        <v>0</v>
      </c>
      <c r="H151" s="21">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0">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0">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0">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0">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0">
        <v>0</v>
      </c>
      <c r="H156" s="21">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0">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0">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0">
        <v>0</v>
      </c>
      <c r="H159" s="21">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0">
        <v>0</v>
      </c>
      <c r="H160" s="21">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0">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0">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0">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0">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0">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0">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0">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0">
        <v>1</v>
      </c>
      <c r="H168" s="21">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0">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0">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0">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0">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0">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0">
        <v>0</v>
      </c>
      <c r="H174" s="21">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0">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0">
        <v>0</v>
      </c>
      <c r="H176" s="21">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0">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0">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0">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0">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0">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0">
        <v>1</v>
      </c>
      <c r="H182" s="21">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0">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0">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0">
        <v>0</v>
      </c>
      <c r="H185" s="13">
        <v>1</v>
      </c>
      <c r="I185" s="4">
        <v>46</v>
      </c>
      <c r="J185" s="4">
        <v>46</v>
      </c>
      <c r="K185" s="4" t="s">
        <v>124</v>
      </c>
      <c r="L185" s="4" t="s">
        <v>13</v>
      </c>
      <c r="M185" s="4">
        <v>2025</v>
      </c>
      <c r="N185" s="4">
        <v>1</v>
      </c>
      <c r="O185" s="4">
        <v>1</v>
      </c>
      <c r="P185" s="4"/>
    </row>
    <row r="186" spans="1:16">
      <c r="A186" s="4" t="s">
        <v>414</v>
      </c>
      <c r="B186" s="4" t="s">
        <v>415</v>
      </c>
      <c r="C186" s="9" t="s">
        <v>416</v>
      </c>
      <c r="D186" s="13">
        <v>1</v>
      </c>
      <c r="E186" s="13" t="s">
        <v>399</v>
      </c>
      <c r="F186" s="13">
        <v>0</v>
      </c>
      <c r="I186" s="4">
        <v>1</v>
      </c>
      <c r="J186" s="4">
        <v>11</v>
      </c>
      <c r="K186" s="4" t="s">
        <v>417</v>
      </c>
      <c r="L186" s="4" t="s">
        <v>13</v>
      </c>
      <c r="M186" s="4">
        <v>2019</v>
      </c>
      <c r="N186" s="4">
        <v>1</v>
      </c>
      <c r="O186" s="4">
        <v>1</v>
      </c>
    </row>
    <row r="187" spans="1:16">
      <c r="A187" s="4" t="s">
        <v>414</v>
      </c>
      <c r="B187" s="4" t="s">
        <v>418</v>
      </c>
      <c r="C187" s="9" t="s">
        <v>419</v>
      </c>
      <c r="D187" s="13">
        <v>1</v>
      </c>
      <c r="E187" s="13" t="s">
        <v>399</v>
      </c>
      <c r="F187" s="13">
        <v>0</v>
      </c>
      <c r="I187" s="4">
        <v>2</v>
      </c>
      <c r="J187" s="4">
        <v>11</v>
      </c>
      <c r="K187" s="4" t="s">
        <v>417</v>
      </c>
      <c r="L187" s="4" t="s">
        <v>13</v>
      </c>
      <c r="M187" s="4">
        <v>2019</v>
      </c>
      <c r="N187" s="4">
        <v>1</v>
      </c>
      <c r="O187" s="4">
        <v>1</v>
      </c>
    </row>
    <row r="188" spans="1:16">
      <c r="A188" s="4" t="s">
        <v>414</v>
      </c>
      <c r="B188" s="4" t="s">
        <v>420</v>
      </c>
      <c r="C188" s="22" t="s">
        <v>421</v>
      </c>
      <c r="D188" s="13">
        <v>1</v>
      </c>
      <c r="E188" s="13" t="s">
        <v>399</v>
      </c>
      <c r="F188" s="13">
        <v>0</v>
      </c>
      <c r="I188" s="4">
        <v>3</v>
      </c>
      <c r="J188" s="4">
        <v>11</v>
      </c>
      <c r="K188" s="4" t="s">
        <v>417</v>
      </c>
      <c r="L188" s="4" t="s">
        <v>13</v>
      </c>
      <c r="M188" s="4">
        <v>2019</v>
      </c>
      <c r="N188" s="4">
        <v>1</v>
      </c>
      <c r="O188" s="4">
        <v>1</v>
      </c>
    </row>
    <row r="189" spans="1:16">
      <c r="A189" s="4" t="s">
        <v>414</v>
      </c>
      <c r="B189" s="4" t="s">
        <v>422</v>
      </c>
      <c r="C189" s="9" t="s">
        <v>423</v>
      </c>
      <c r="D189" s="13">
        <v>0</v>
      </c>
      <c r="F189" s="13">
        <v>0</v>
      </c>
      <c r="I189" s="4">
        <v>4</v>
      </c>
      <c r="J189" s="4">
        <v>11</v>
      </c>
      <c r="K189" s="4" t="s">
        <v>417</v>
      </c>
      <c r="L189" s="4" t="s">
        <v>13</v>
      </c>
      <c r="M189" s="4">
        <v>2019</v>
      </c>
      <c r="N189" s="4">
        <v>1</v>
      </c>
      <c r="O189" s="4">
        <v>1</v>
      </c>
    </row>
    <row r="190" spans="1:16">
      <c r="A190" s="4" t="s">
        <v>414</v>
      </c>
      <c r="B190" s="4" t="s">
        <v>424</v>
      </c>
      <c r="C190" s="9" t="s">
        <v>425</v>
      </c>
      <c r="D190" s="13">
        <v>0</v>
      </c>
      <c r="F190" s="13">
        <v>1</v>
      </c>
      <c r="G190" s="13">
        <v>0</v>
      </c>
      <c r="H190" s="13">
        <v>1</v>
      </c>
      <c r="I190" s="4">
        <v>5</v>
      </c>
      <c r="J190" s="4">
        <v>11</v>
      </c>
      <c r="K190" s="4" t="s">
        <v>417</v>
      </c>
      <c r="L190" s="4" t="s">
        <v>13</v>
      </c>
      <c r="M190" s="4">
        <v>2019</v>
      </c>
      <c r="N190" s="4">
        <v>1</v>
      </c>
      <c r="O190" s="4">
        <v>1</v>
      </c>
    </row>
    <row r="191" spans="1:16">
      <c r="A191" s="4" t="s">
        <v>414</v>
      </c>
      <c r="B191" s="4" t="s">
        <v>426</v>
      </c>
      <c r="C191" s="9" t="s">
        <v>427</v>
      </c>
      <c r="D191" s="13">
        <v>0</v>
      </c>
      <c r="F191" s="13">
        <v>1</v>
      </c>
      <c r="G191" s="13">
        <v>0</v>
      </c>
      <c r="I191" s="4">
        <v>6</v>
      </c>
      <c r="J191" s="4">
        <v>11</v>
      </c>
      <c r="K191" s="4" t="s">
        <v>417</v>
      </c>
      <c r="L191" s="4" t="s">
        <v>13</v>
      </c>
      <c r="M191" s="4">
        <v>2019</v>
      </c>
      <c r="N191" s="4">
        <v>1</v>
      </c>
      <c r="O191" s="4">
        <v>1</v>
      </c>
    </row>
    <row r="192" spans="1:16" ht="17" customHeight="1">
      <c r="A192" s="4" t="s">
        <v>414</v>
      </c>
      <c r="B192" s="4" t="s">
        <v>502</v>
      </c>
      <c r="C192" s="9" t="s">
        <v>503</v>
      </c>
      <c r="F192" s="13">
        <v>0</v>
      </c>
      <c r="I192" s="4">
        <v>7</v>
      </c>
      <c r="J192" s="4">
        <v>11</v>
      </c>
      <c r="K192" s="4" t="s">
        <v>417</v>
      </c>
      <c r="L192" s="4" t="s">
        <v>13</v>
      </c>
      <c r="M192" s="4">
        <v>2019</v>
      </c>
      <c r="N192" s="4">
        <v>1</v>
      </c>
      <c r="O192" s="4">
        <v>1</v>
      </c>
    </row>
    <row r="193" spans="1:15" ht="17" customHeight="1">
      <c r="A193" s="4" t="s">
        <v>414</v>
      </c>
      <c r="B193" s="4" t="s">
        <v>504</v>
      </c>
      <c r="C193" s="9" t="s">
        <v>507</v>
      </c>
      <c r="F193" s="13">
        <v>1</v>
      </c>
      <c r="G193" s="13">
        <v>1</v>
      </c>
      <c r="I193" s="4">
        <v>8</v>
      </c>
      <c r="J193" s="4">
        <v>11</v>
      </c>
      <c r="K193" s="4" t="s">
        <v>417</v>
      </c>
      <c r="L193" s="4" t="s">
        <v>13</v>
      </c>
      <c r="M193" s="4">
        <v>2019</v>
      </c>
      <c r="N193" s="4">
        <v>1</v>
      </c>
      <c r="O193" s="4">
        <v>1</v>
      </c>
    </row>
    <row r="194" spans="1:15" ht="17" customHeight="1">
      <c r="A194" s="4" t="s">
        <v>414</v>
      </c>
      <c r="B194" s="4" t="s">
        <v>505</v>
      </c>
      <c r="C194" s="9" t="s">
        <v>506</v>
      </c>
      <c r="F194" s="13">
        <v>1</v>
      </c>
      <c r="G194" s="13">
        <v>1</v>
      </c>
      <c r="I194" s="4">
        <v>9</v>
      </c>
      <c r="J194" s="4">
        <v>11</v>
      </c>
      <c r="K194" s="4" t="s">
        <v>417</v>
      </c>
      <c r="L194" s="4" t="s">
        <v>13</v>
      </c>
      <c r="M194" s="4">
        <v>2019</v>
      </c>
      <c r="N194" s="4">
        <v>1</v>
      </c>
      <c r="O194" s="4">
        <v>1</v>
      </c>
    </row>
    <row r="195" spans="1:15">
      <c r="A195" s="4" t="s">
        <v>414</v>
      </c>
      <c r="B195" s="4" t="s">
        <v>508</v>
      </c>
      <c r="C195" s="9" t="s">
        <v>509</v>
      </c>
      <c r="F195" s="13">
        <v>1</v>
      </c>
      <c r="G195" s="13">
        <v>0</v>
      </c>
      <c r="I195" s="4">
        <v>10</v>
      </c>
      <c r="J195" s="4">
        <v>11</v>
      </c>
      <c r="K195" s="4" t="s">
        <v>417</v>
      </c>
      <c r="L195" s="4" t="s">
        <v>13</v>
      </c>
      <c r="M195" s="4">
        <v>2019</v>
      </c>
      <c r="N195" s="4">
        <v>1</v>
      </c>
      <c r="O195" s="4">
        <v>1</v>
      </c>
    </row>
    <row r="196" spans="1:15">
      <c r="A196" s="4" t="s">
        <v>414</v>
      </c>
      <c r="B196" s="4" t="s">
        <v>510</v>
      </c>
      <c r="C196" s="9" t="s">
        <v>511</v>
      </c>
      <c r="F196" s="13">
        <v>0</v>
      </c>
      <c r="I196" s="4">
        <v>11</v>
      </c>
      <c r="J196" s="4">
        <v>11</v>
      </c>
      <c r="K196" s="4" t="s">
        <v>417</v>
      </c>
      <c r="L196" s="4" t="s">
        <v>13</v>
      </c>
      <c r="M196" s="4">
        <v>2019</v>
      </c>
      <c r="N196" s="4">
        <v>1</v>
      </c>
      <c r="O196" s="4">
        <v>1</v>
      </c>
    </row>
    <row r="197" spans="1:15">
      <c r="A197" s="4" t="s">
        <v>428</v>
      </c>
      <c r="B197" s="4" t="s">
        <v>429</v>
      </c>
      <c r="C197" s="9" t="s">
        <v>430</v>
      </c>
      <c r="D197" s="13">
        <v>0</v>
      </c>
      <c r="F197" s="13">
        <v>1</v>
      </c>
      <c r="G197" s="13">
        <v>1</v>
      </c>
      <c r="I197" s="4">
        <v>1</v>
      </c>
      <c r="J197" s="4">
        <v>15</v>
      </c>
      <c r="K197" s="4" t="s">
        <v>417</v>
      </c>
      <c r="L197" s="4" t="s">
        <v>13</v>
      </c>
      <c r="M197" s="4">
        <v>2025</v>
      </c>
      <c r="N197" s="4">
        <v>1</v>
      </c>
      <c r="O197" s="4">
        <v>1</v>
      </c>
    </row>
    <row r="198" spans="1:15">
      <c r="A198" s="4" t="s">
        <v>428</v>
      </c>
      <c r="B198" s="4" t="s">
        <v>431</v>
      </c>
      <c r="C198" s="9" t="s">
        <v>432</v>
      </c>
      <c r="D198" s="13">
        <v>0</v>
      </c>
      <c r="F198" s="13">
        <v>1</v>
      </c>
      <c r="G198" s="13">
        <v>0</v>
      </c>
      <c r="I198" s="4">
        <v>2</v>
      </c>
      <c r="J198" s="4">
        <v>15</v>
      </c>
      <c r="K198" s="4" t="s">
        <v>417</v>
      </c>
      <c r="L198" s="4" t="s">
        <v>13</v>
      </c>
      <c r="M198" s="4">
        <v>2025</v>
      </c>
      <c r="N198" s="4">
        <v>1</v>
      </c>
      <c r="O198" s="4">
        <v>1</v>
      </c>
    </row>
    <row r="199" spans="1:15">
      <c r="A199" s="4" t="s">
        <v>428</v>
      </c>
      <c r="B199" s="4" t="s">
        <v>433</v>
      </c>
      <c r="C199" s="9" t="s">
        <v>434</v>
      </c>
      <c r="D199" s="13">
        <v>1</v>
      </c>
      <c r="E199" s="13" t="s">
        <v>397</v>
      </c>
      <c r="F199" s="13">
        <v>0</v>
      </c>
      <c r="I199" s="4">
        <v>3</v>
      </c>
      <c r="J199" s="4">
        <v>15</v>
      </c>
      <c r="K199" s="4" t="s">
        <v>417</v>
      </c>
      <c r="L199" s="4" t="s">
        <v>13</v>
      </c>
      <c r="M199" s="4">
        <v>2025</v>
      </c>
      <c r="N199" s="4">
        <v>1</v>
      </c>
      <c r="O199" s="4">
        <v>1</v>
      </c>
    </row>
    <row r="200" spans="1:15">
      <c r="A200" s="4" t="s">
        <v>428</v>
      </c>
      <c r="B200" s="4" t="s">
        <v>435</v>
      </c>
      <c r="C200" s="9" t="s">
        <v>436</v>
      </c>
      <c r="D200" s="13">
        <v>1</v>
      </c>
      <c r="E200" s="13" t="s">
        <v>399</v>
      </c>
      <c r="F200" s="13">
        <v>1</v>
      </c>
      <c r="G200" s="13">
        <v>1</v>
      </c>
      <c r="I200" s="4">
        <v>4</v>
      </c>
      <c r="J200" s="4">
        <v>15</v>
      </c>
      <c r="K200" s="4" t="s">
        <v>417</v>
      </c>
      <c r="L200" s="4" t="s">
        <v>13</v>
      </c>
      <c r="M200" s="4">
        <v>2025</v>
      </c>
      <c r="N200" s="4">
        <v>1</v>
      </c>
      <c r="O200" s="4">
        <v>1</v>
      </c>
    </row>
    <row r="201" spans="1:15">
      <c r="A201" s="4" t="s">
        <v>428</v>
      </c>
      <c r="B201" s="4" t="s">
        <v>437</v>
      </c>
      <c r="C201" s="9" t="s">
        <v>438</v>
      </c>
      <c r="D201" s="13">
        <v>1</v>
      </c>
      <c r="E201" s="13" t="s">
        <v>395</v>
      </c>
      <c r="F201" s="13">
        <v>1</v>
      </c>
      <c r="G201" s="13">
        <v>1</v>
      </c>
      <c r="I201" s="4">
        <v>5</v>
      </c>
      <c r="J201" s="4">
        <v>15</v>
      </c>
      <c r="K201" s="4" t="s">
        <v>417</v>
      </c>
      <c r="L201" s="4" t="s">
        <v>13</v>
      </c>
      <c r="M201" s="4">
        <v>2025</v>
      </c>
      <c r="N201" s="4">
        <v>1</v>
      </c>
      <c r="O201" s="4">
        <v>1</v>
      </c>
    </row>
    <row r="202" spans="1:15">
      <c r="A202" s="4" t="s">
        <v>428</v>
      </c>
      <c r="B202" s="4" t="s">
        <v>439</v>
      </c>
      <c r="C202" s="9" t="s">
        <v>440</v>
      </c>
      <c r="D202" s="13">
        <v>1</v>
      </c>
      <c r="E202" s="13" t="s">
        <v>399</v>
      </c>
      <c r="F202" s="13">
        <v>1</v>
      </c>
      <c r="G202" s="13">
        <v>1</v>
      </c>
      <c r="I202" s="4">
        <v>6</v>
      </c>
      <c r="J202" s="4">
        <v>15</v>
      </c>
      <c r="K202" s="4" t="s">
        <v>417</v>
      </c>
      <c r="L202" s="4" t="s">
        <v>13</v>
      </c>
      <c r="M202" s="4">
        <v>2025</v>
      </c>
      <c r="N202" s="4">
        <v>1</v>
      </c>
      <c r="O202" s="4">
        <v>1</v>
      </c>
    </row>
    <row r="203" spans="1:15">
      <c r="A203" s="4" t="s">
        <v>428</v>
      </c>
      <c r="B203" s="4" t="s">
        <v>441</v>
      </c>
      <c r="C203" s="9" t="s">
        <v>442</v>
      </c>
      <c r="D203" s="13">
        <v>1</v>
      </c>
      <c r="E203" s="13" t="s">
        <v>395</v>
      </c>
      <c r="F203" s="13">
        <v>1</v>
      </c>
      <c r="G203" s="13">
        <v>1</v>
      </c>
      <c r="I203" s="4">
        <v>7</v>
      </c>
      <c r="J203" s="4">
        <v>15</v>
      </c>
      <c r="K203" s="4" t="s">
        <v>417</v>
      </c>
      <c r="L203" s="4" t="s">
        <v>13</v>
      </c>
      <c r="M203" s="4">
        <v>2025</v>
      </c>
      <c r="N203" s="4">
        <v>1</v>
      </c>
      <c r="O203" s="4">
        <v>1</v>
      </c>
    </row>
    <row r="204" spans="1:15">
      <c r="A204" s="4" t="s">
        <v>428</v>
      </c>
      <c r="B204" s="4" t="s">
        <v>443</v>
      </c>
      <c r="C204" s="9" t="s">
        <v>444</v>
      </c>
      <c r="D204" s="13">
        <v>1</v>
      </c>
      <c r="E204" s="13" t="s">
        <v>395</v>
      </c>
      <c r="F204" s="13">
        <v>1</v>
      </c>
      <c r="G204" s="13">
        <v>1</v>
      </c>
      <c r="I204" s="4">
        <v>8</v>
      </c>
      <c r="J204" s="4">
        <v>15</v>
      </c>
      <c r="K204" s="4" t="s">
        <v>417</v>
      </c>
      <c r="L204" s="4" t="s">
        <v>13</v>
      </c>
      <c r="M204" s="4">
        <v>2025</v>
      </c>
      <c r="N204" s="4">
        <v>1</v>
      </c>
      <c r="O204" s="4">
        <v>1</v>
      </c>
    </row>
    <row r="205" spans="1:15">
      <c r="A205" s="4" t="s">
        <v>428</v>
      </c>
      <c r="B205" s="4" t="s">
        <v>445</v>
      </c>
      <c r="C205" s="9" t="s">
        <v>446</v>
      </c>
      <c r="D205" s="13">
        <v>1</v>
      </c>
      <c r="E205" s="13" t="s">
        <v>395</v>
      </c>
      <c r="F205" s="13">
        <v>1</v>
      </c>
      <c r="G205" s="13">
        <v>1</v>
      </c>
      <c r="I205" s="4">
        <v>9</v>
      </c>
      <c r="J205" s="4">
        <v>15</v>
      </c>
      <c r="K205" s="4" t="s">
        <v>417</v>
      </c>
      <c r="L205" s="4" t="s">
        <v>13</v>
      </c>
      <c r="M205" s="4">
        <v>2025</v>
      </c>
      <c r="N205" s="4">
        <v>1</v>
      </c>
      <c r="O205" s="4">
        <v>1</v>
      </c>
    </row>
    <row r="206" spans="1:15">
      <c r="A206" s="4" t="s">
        <v>428</v>
      </c>
      <c r="B206" s="4" t="s">
        <v>447</v>
      </c>
      <c r="C206" s="9" t="s">
        <v>448</v>
      </c>
      <c r="D206" s="13">
        <v>1</v>
      </c>
      <c r="E206" s="13" t="s">
        <v>399</v>
      </c>
      <c r="F206" s="13">
        <v>1</v>
      </c>
      <c r="G206" s="13">
        <v>1</v>
      </c>
      <c r="I206" s="4">
        <v>10</v>
      </c>
      <c r="J206" s="4">
        <v>15</v>
      </c>
      <c r="K206" s="4" t="s">
        <v>417</v>
      </c>
      <c r="L206" s="4" t="s">
        <v>13</v>
      </c>
      <c r="M206" s="4">
        <v>2025</v>
      </c>
      <c r="N206" s="4">
        <v>1</v>
      </c>
      <c r="O206" s="4">
        <v>1</v>
      </c>
    </row>
    <row r="207" spans="1:15">
      <c r="A207" s="4" t="s">
        <v>428</v>
      </c>
      <c r="B207" s="4" t="s">
        <v>449</v>
      </c>
      <c r="C207" s="9" t="s">
        <v>450</v>
      </c>
      <c r="D207" s="13">
        <v>1</v>
      </c>
      <c r="E207" s="13" t="s">
        <v>395</v>
      </c>
      <c r="F207" s="13">
        <v>1</v>
      </c>
      <c r="G207" s="13">
        <v>1</v>
      </c>
      <c r="I207" s="4">
        <v>11</v>
      </c>
      <c r="J207" s="4">
        <v>15</v>
      </c>
      <c r="K207" s="4" t="s">
        <v>417</v>
      </c>
      <c r="L207" s="4" t="s">
        <v>13</v>
      </c>
      <c r="M207" s="4">
        <v>2025</v>
      </c>
      <c r="N207" s="4">
        <v>1</v>
      </c>
      <c r="O207" s="4">
        <v>1</v>
      </c>
    </row>
    <row r="208" spans="1:15">
      <c r="A208" s="4" t="s">
        <v>428</v>
      </c>
      <c r="B208" s="4" t="s">
        <v>451</v>
      </c>
      <c r="C208" s="9" t="s">
        <v>452</v>
      </c>
      <c r="D208" s="13">
        <v>1</v>
      </c>
      <c r="E208" s="13" t="s">
        <v>453</v>
      </c>
      <c r="F208" s="13">
        <v>1</v>
      </c>
      <c r="G208" s="13">
        <v>1</v>
      </c>
      <c r="I208" s="4">
        <v>12</v>
      </c>
      <c r="J208" s="4">
        <v>15</v>
      </c>
      <c r="K208" s="4" t="s">
        <v>417</v>
      </c>
      <c r="L208" s="4" t="s">
        <v>13</v>
      </c>
      <c r="M208" s="4">
        <v>2025</v>
      </c>
      <c r="N208" s="4">
        <v>1</v>
      </c>
      <c r="O208" s="4">
        <v>1</v>
      </c>
    </row>
    <row r="209" spans="1:15">
      <c r="A209" s="4" t="s">
        <v>428</v>
      </c>
      <c r="B209" s="4" t="s">
        <v>454</v>
      </c>
      <c r="C209" s="9" t="s">
        <v>455</v>
      </c>
      <c r="D209" s="13">
        <v>1</v>
      </c>
      <c r="E209" s="13" t="s">
        <v>395</v>
      </c>
      <c r="F209" s="13">
        <v>1</v>
      </c>
      <c r="G209" s="13">
        <v>1</v>
      </c>
      <c r="I209" s="4">
        <v>13</v>
      </c>
      <c r="J209" s="4">
        <v>15</v>
      </c>
      <c r="K209" s="4" t="s">
        <v>417</v>
      </c>
      <c r="L209" s="4" t="s">
        <v>13</v>
      </c>
      <c r="M209" s="4">
        <v>2025</v>
      </c>
      <c r="N209" s="4">
        <v>1</v>
      </c>
      <c r="O209" s="4">
        <v>1</v>
      </c>
    </row>
    <row r="210" spans="1:15">
      <c r="A210" s="4" t="s">
        <v>428</v>
      </c>
      <c r="B210" s="4" t="s">
        <v>456</v>
      </c>
      <c r="C210" s="9" t="s">
        <v>457</v>
      </c>
      <c r="D210" s="13">
        <v>1</v>
      </c>
      <c r="E210" s="13" t="s">
        <v>399</v>
      </c>
      <c r="F210" s="13">
        <v>1</v>
      </c>
      <c r="G210" s="13">
        <v>1</v>
      </c>
      <c r="I210" s="4">
        <v>14</v>
      </c>
      <c r="J210" s="4">
        <v>15</v>
      </c>
      <c r="K210" s="4" t="s">
        <v>417</v>
      </c>
      <c r="L210" s="4" t="s">
        <v>13</v>
      </c>
      <c r="M210" s="4">
        <v>2025</v>
      </c>
      <c r="N210" s="4">
        <v>1</v>
      </c>
      <c r="O210" s="4">
        <v>1</v>
      </c>
    </row>
    <row r="211" spans="1:15">
      <c r="A211" s="4" t="s">
        <v>428</v>
      </c>
      <c r="B211" s="4" t="s">
        <v>458</v>
      </c>
      <c r="C211" s="9" t="s">
        <v>459</v>
      </c>
      <c r="D211" s="13">
        <v>1</v>
      </c>
      <c r="E211" s="13" t="s">
        <v>395</v>
      </c>
      <c r="F211" s="13">
        <v>1</v>
      </c>
      <c r="G211" s="13">
        <v>1</v>
      </c>
      <c r="I211" s="4">
        <v>15</v>
      </c>
      <c r="J211" s="4">
        <v>15</v>
      </c>
      <c r="K211" s="4" t="s">
        <v>417</v>
      </c>
      <c r="L211" s="4" t="s">
        <v>13</v>
      </c>
      <c r="M211" s="4">
        <v>2025</v>
      </c>
      <c r="N211" s="4">
        <v>1</v>
      </c>
      <c r="O211" s="4">
        <v>1</v>
      </c>
    </row>
    <row r="212" spans="1:15">
      <c r="A212" s="4" t="s">
        <v>460</v>
      </c>
      <c r="B212" s="4" t="s">
        <v>461</v>
      </c>
      <c r="C212" s="9" t="s">
        <v>462</v>
      </c>
      <c r="D212" s="13">
        <v>0</v>
      </c>
      <c r="F212" s="13">
        <v>0</v>
      </c>
      <c r="I212" s="4">
        <v>1</v>
      </c>
      <c r="J212" s="4">
        <v>7</v>
      </c>
      <c r="K212" s="4" t="s">
        <v>463</v>
      </c>
      <c r="L212" s="4" t="s">
        <v>13</v>
      </c>
      <c r="M212" s="4">
        <v>2019</v>
      </c>
      <c r="N212" s="4">
        <v>1</v>
      </c>
      <c r="O212" s="4">
        <v>1</v>
      </c>
    </row>
    <row r="213" spans="1:15">
      <c r="A213" s="4" t="s">
        <v>460</v>
      </c>
      <c r="B213" s="4" t="s">
        <v>464</v>
      </c>
      <c r="C213" s="9" t="s">
        <v>465</v>
      </c>
      <c r="D213" s="13">
        <v>0</v>
      </c>
      <c r="F213" s="13">
        <v>1</v>
      </c>
      <c r="G213" s="13">
        <v>1</v>
      </c>
      <c r="I213" s="4">
        <v>2</v>
      </c>
      <c r="J213" s="4">
        <v>7</v>
      </c>
      <c r="K213" s="4" t="s">
        <v>463</v>
      </c>
      <c r="L213" s="4" t="s">
        <v>13</v>
      </c>
      <c r="M213" s="4">
        <v>2019</v>
      </c>
      <c r="N213" s="4">
        <v>1</v>
      </c>
      <c r="O213" s="4">
        <v>1</v>
      </c>
    </row>
    <row r="214" spans="1:15">
      <c r="A214" s="4" t="s">
        <v>460</v>
      </c>
      <c r="B214" s="4" t="s">
        <v>466</v>
      </c>
      <c r="C214" s="9" t="s">
        <v>467</v>
      </c>
      <c r="D214" s="13">
        <v>0</v>
      </c>
      <c r="F214" s="13">
        <v>0</v>
      </c>
      <c r="I214" s="4">
        <v>3</v>
      </c>
      <c r="J214" s="4">
        <v>7</v>
      </c>
      <c r="K214" s="4" t="s">
        <v>463</v>
      </c>
      <c r="L214" s="4" t="s">
        <v>13</v>
      </c>
      <c r="M214" s="4">
        <v>2019</v>
      </c>
      <c r="N214" s="4">
        <v>1</v>
      </c>
      <c r="O214" s="4">
        <v>1</v>
      </c>
    </row>
    <row r="215" spans="1:15">
      <c r="A215" s="4" t="s">
        <v>460</v>
      </c>
      <c r="B215" s="4" t="s">
        <v>468</v>
      </c>
      <c r="C215" s="9" t="s">
        <v>469</v>
      </c>
      <c r="D215" s="13">
        <v>1</v>
      </c>
      <c r="E215" s="13" t="s">
        <v>397</v>
      </c>
      <c r="F215" s="13">
        <v>0</v>
      </c>
      <c r="I215" s="4">
        <v>4</v>
      </c>
      <c r="J215" s="4">
        <v>7</v>
      </c>
      <c r="K215" s="4" t="s">
        <v>463</v>
      </c>
      <c r="L215" s="4" t="s">
        <v>13</v>
      </c>
      <c r="M215" s="4">
        <v>2019</v>
      </c>
      <c r="N215" s="4">
        <v>1</v>
      </c>
      <c r="O215" s="4">
        <v>1</v>
      </c>
    </row>
    <row r="216" spans="1:15">
      <c r="A216" s="4" t="s">
        <v>460</v>
      </c>
      <c r="B216" s="4" t="s">
        <v>470</v>
      </c>
      <c r="C216" s="9" t="s">
        <v>471</v>
      </c>
      <c r="D216" s="13">
        <v>1</v>
      </c>
      <c r="E216" s="13" t="s">
        <v>397</v>
      </c>
      <c r="F216" s="13">
        <v>1</v>
      </c>
      <c r="G216" s="13">
        <v>1</v>
      </c>
      <c r="I216" s="4">
        <v>5</v>
      </c>
      <c r="J216" s="4">
        <v>7</v>
      </c>
      <c r="K216" s="4" t="s">
        <v>463</v>
      </c>
      <c r="L216" s="4" t="s">
        <v>13</v>
      </c>
      <c r="M216" s="4">
        <v>2019</v>
      </c>
      <c r="N216" s="4">
        <v>1</v>
      </c>
      <c r="O216" s="4">
        <v>1</v>
      </c>
    </row>
    <row r="217" spans="1:15">
      <c r="A217" s="4" t="s">
        <v>460</v>
      </c>
      <c r="B217" s="4" t="s">
        <v>472</v>
      </c>
      <c r="C217" s="9" t="s">
        <v>473</v>
      </c>
      <c r="D217" s="13">
        <v>1</v>
      </c>
      <c r="E217" s="13" t="s">
        <v>397</v>
      </c>
      <c r="F217" s="13">
        <v>0</v>
      </c>
      <c r="I217" s="4">
        <v>6</v>
      </c>
      <c r="J217" s="4">
        <v>7</v>
      </c>
      <c r="K217" s="4" t="s">
        <v>463</v>
      </c>
      <c r="L217" s="4" t="s">
        <v>13</v>
      </c>
      <c r="M217" s="4">
        <v>2019</v>
      </c>
      <c r="N217" s="4">
        <v>1</v>
      </c>
      <c r="O217" s="4">
        <v>1</v>
      </c>
    </row>
    <row r="218" spans="1:15">
      <c r="A218" s="4" t="s">
        <v>460</v>
      </c>
      <c r="B218" s="4" t="s">
        <v>474</v>
      </c>
      <c r="C218" s="9" t="s">
        <v>475</v>
      </c>
      <c r="D218" s="13">
        <v>1</v>
      </c>
      <c r="E218" s="13" t="s">
        <v>399</v>
      </c>
      <c r="F218" s="13">
        <v>1</v>
      </c>
      <c r="G218" s="13">
        <v>0</v>
      </c>
      <c r="I218" s="4">
        <v>7</v>
      </c>
      <c r="J218" s="4">
        <v>7</v>
      </c>
      <c r="K218" s="4" t="s">
        <v>463</v>
      </c>
      <c r="L218" s="4" t="s">
        <v>13</v>
      </c>
      <c r="M218" s="4">
        <v>2019</v>
      </c>
      <c r="N218" s="4">
        <v>1</v>
      </c>
      <c r="O218" s="4">
        <v>1</v>
      </c>
    </row>
    <row r="219" spans="1:15">
      <c r="A219" s="4" t="s">
        <v>476</v>
      </c>
      <c r="B219" s="4" t="s">
        <v>477</v>
      </c>
      <c r="C219" s="9" t="s">
        <v>478</v>
      </c>
      <c r="D219" s="13">
        <v>0</v>
      </c>
      <c r="F219" s="13">
        <v>0</v>
      </c>
      <c r="I219" s="4">
        <v>1</v>
      </c>
      <c r="J219" s="4">
        <v>5</v>
      </c>
      <c r="K219" s="4" t="s">
        <v>463</v>
      </c>
      <c r="L219" s="4" t="s">
        <v>13</v>
      </c>
      <c r="M219" s="4">
        <v>2020</v>
      </c>
      <c r="N219" s="4">
        <v>1</v>
      </c>
      <c r="O219" s="4">
        <v>1</v>
      </c>
    </row>
    <row r="220" spans="1:15">
      <c r="A220" s="4" t="s">
        <v>476</v>
      </c>
      <c r="B220" s="4" t="s">
        <v>479</v>
      </c>
      <c r="C220" s="9" t="s">
        <v>480</v>
      </c>
      <c r="D220" s="13">
        <v>0</v>
      </c>
      <c r="F220" s="13">
        <v>0</v>
      </c>
      <c r="I220" s="4">
        <v>2</v>
      </c>
      <c r="J220" s="4">
        <v>5</v>
      </c>
      <c r="K220" s="4" t="s">
        <v>463</v>
      </c>
      <c r="L220" s="4" t="s">
        <v>13</v>
      </c>
      <c r="M220" s="4">
        <v>2020</v>
      </c>
      <c r="N220" s="4">
        <v>1</v>
      </c>
      <c r="O220" s="4">
        <v>1</v>
      </c>
    </row>
    <row r="221" spans="1:15">
      <c r="A221" s="4" t="s">
        <v>476</v>
      </c>
      <c r="B221" s="4" t="s">
        <v>481</v>
      </c>
      <c r="C221" s="9" t="s">
        <v>482</v>
      </c>
      <c r="D221" s="13">
        <v>0</v>
      </c>
      <c r="F221" s="13">
        <v>0</v>
      </c>
      <c r="I221" s="4">
        <v>3</v>
      </c>
      <c r="J221" s="4">
        <v>5</v>
      </c>
      <c r="K221" s="4" t="s">
        <v>463</v>
      </c>
      <c r="L221" s="4" t="s">
        <v>13</v>
      </c>
      <c r="M221" s="4">
        <v>2020</v>
      </c>
      <c r="N221" s="4">
        <v>1</v>
      </c>
      <c r="O221" s="4">
        <v>1</v>
      </c>
    </row>
    <row r="222" spans="1:15">
      <c r="A222" s="4" t="s">
        <v>476</v>
      </c>
      <c r="B222" s="4" t="s">
        <v>483</v>
      </c>
      <c r="C222" s="9" t="s">
        <v>484</v>
      </c>
      <c r="D222" s="13">
        <v>1</v>
      </c>
      <c r="E222" s="13" t="s">
        <v>399</v>
      </c>
      <c r="F222" s="13">
        <v>1</v>
      </c>
      <c r="G222" s="13">
        <v>0</v>
      </c>
      <c r="I222" s="4">
        <v>4</v>
      </c>
      <c r="J222" s="4">
        <v>5</v>
      </c>
      <c r="K222" s="4" t="s">
        <v>463</v>
      </c>
      <c r="L222" s="4" t="s">
        <v>13</v>
      </c>
      <c r="M222" s="4">
        <v>2020</v>
      </c>
      <c r="N222" s="4">
        <v>1</v>
      </c>
      <c r="O222" s="4">
        <v>1</v>
      </c>
    </row>
    <row r="223" spans="1:15">
      <c r="A223" s="4" t="s">
        <v>476</v>
      </c>
      <c r="B223" s="4" t="s">
        <v>485</v>
      </c>
      <c r="C223" s="9" t="s">
        <v>486</v>
      </c>
      <c r="D223" s="13">
        <v>1</v>
      </c>
      <c r="E223" s="13" t="s">
        <v>399</v>
      </c>
      <c r="F223" s="13">
        <v>1</v>
      </c>
      <c r="G223" s="13">
        <v>0</v>
      </c>
      <c r="I223" s="4">
        <v>5</v>
      </c>
      <c r="J223" s="4">
        <v>5</v>
      </c>
      <c r="K223" s="4" t="s">
        <v>463</v>
      </c>
      <c r="L223" s="4" t="s">
        <v>13</v>
      </c>
      <c r="M223" s="4">
        <v>2020</v>
      </c>
      <c r="N223" s="4">
        <v>1</v>
      </c>
      <c r="O223" s="4">
        <v>1</v>
      </c>
    </row>
    <row r="224" spans="1:15">
      <c r="A224" s="4" t="s">
        <v>487</v>
      </c>
      <c r="B224" s="4" t="s">
        <v>488</v>
      </c>
      <c r="C224" s="9" t="s">
        <v>489</v>
      </c>
      <c r="D224" s="13">
        <v>0</v>
      </c>
      <c r="F224" s="13">
        <v>0</v>
      </c>
      <c r="I224" s="4">
        <v>1</v>
      </c>
      <c r="J224" s="4">
        <v>8</v>
      </c>
      <c r="K224" s="4" t="s">
        <v>463</v>
      </c>
      <c r="L224" s="4" t="s">
        <v>13</v>
      </c>
      <c r="M224" s="4">
        <v>2021</v>
      </c>
      <c r="N224" s="4">
        <v>1</v>
      </c>
      <c r="O224" s="4">
        <v>1</v>
      </c>
    </row>
    <row r="225" spans="1:15">
      <c r="A225" s="4" t="s">
        <v>487</v>
      </c>
      <c r="B225" s="4" t="s">
        <v>490</v>
      </c>
      <c r="C225" s="9" t="s">
        <v>491</v>
      </c>
      <c r="D225" s="13">
        <v>1</v>
      </c>
      <c r="E225" s="13" t="s">
        <v>399</v>
      </c>
      <c r="F225" s="13">
        <v>1</v>
      </c>
      <c r="G225" s="13">
        <v>1</v>
      </c>
      <c r="I225" s="4">
        <v>2</v>
      </c>
      <c r="J225" s="4">
        <v>8</v>
      </c>
      <c r="K225" s="4" t="s">
        <v>463</v>
      </c>
      <c r="L225" s="4" t="s">
        <v>13</v>
      </c>
      <c r="M225" s="4">
        <v>2021</v>
      </c>
      <c r="N225" s="4">
        <v>1</v>
      </c>
      <c r="O225" s="4">
        <v>1</v>
      </c>
    </row>
    <row r="226" spans="1:15">
      <c r="A226" s="4" t="s">
        <v>487</v>
      </c>
      <c r="B226" s="4" t="s">
        <v>492</v>
      </c>
      <c r="C226" s="9" t="s">
        <v>493</v>
      </c>
      <c r="D226" s="13">
        <v>0</v>
      </c>
      <c r="F226" s="13">
        <v>0</v>
      </c>
      <c r="I226" s="4">
        <v>3</v>
      </c>
      <c r="J226" s="4">
        <v>8</v>
      </c>
      <c r="K226" s="4" t="s">
        <v>463</v>
      </c>
      <c r="L226" s="4" t="s">
        <v>13</v>
      </c>
      <c r="M226" s="4">
        <v>2021</v>
      </c>
      <c r="N226" s="4">
        <v>1</v>
      </c>
      <c r="O226" s="4">
        <v>1</v>
      </c>
    </row>
    <row r="227" spans="1:15">
      <c r="A227" s="4" t="s">
        <v>487</v>
      </c>
      <c r="B227" s="4" t="s">
        <v>494</v>
      </c>
      <c r="C227" s="9" t="s">
        <v>495</v>
      </c>
      <c r="D227" s="13">
        <v>1</v>
      </c>
      <c r="E227" s="13" t="s">
        <v>399</v>
      </c>
      <c r="F227" s="13">
        <v>1</v>
      </c>
      <c r="G227" s="13">
        <v>0</v>
      </c>
      <c r="I227" s="4">
        <v>4</v>
      </c>
      <c r="J227" s="4">
        <v>8</v>
      </c>
      <c r="K227" s="4" t="s">
        <v>463</v>
      </c>
      <c r="L227" s="4" t="s">
        <v>13</v>
      </c>
      <c r="M227" s="4">
        <v>2021</v>
      </c>
      <c r="N227" s="4">
        <v>1</v>
      </c>
      <c r="O227" s="4">
        <v>1</v>
      </c>
    </row>
    <row r="228" spans="1:15">
      <c r="A228" s="4" t="s">
        <v>487</v>
      </c>
      <c r="B228" s="4" t="s">
        <v>496</v>
      </c>
      <c r="C228" s="9" t="s">
        <v>497</v>
      </c>
      <c r="D228" s="13">
        <v>0</v>
      </c>
      <c r="F228" s="13">
        <v>0</v>
      </c>
      <c r="I228" s="4">
        <v>5</v>
      </c>
      <c r="J228" s="4">
        <v>8</v>
      </c>
      <c r="K228" s="4" t="s">
        <v>463</v>
      </c>
      <c r="L228" s="4" t="s">
        <v>13</v>
      </c>
      <c r="M228" s="4">
        <v>2021</v>
      </c>
      <c r="N228" s="4">
        <v>1</v>
      </c>
      <c r="O228" s="4">
        <v>1</v>
      </c>
    </row>
    <row r="229" spans="1:15">
      <c r="A229" s="4" t="s">
        <v>487</v>
      </c>
      <c r="B229" s="4" t="s">
        <v>498</v>
      </c>
      <c r="C229" s="9" t="s">
        <v>499</v>
      </c>
      <c r="D229" s="13">
        <v>0</v>
      </c>
      <c r="F229" s="13">
        <v>1</v>
      </c>
      <c r="G229" s="13">
        <v>0</v>
      </c>
      <c r="I229" s="4">
        <v>6</v>
      </c>
      <c r="J229" s="4">
        <v>8</v>
      </c>
      <c r="K229" s="4" t="s">
        <v>463</v>
      </c>
      <c r="L229" s="4" t="s">
        <v>13</v>
      </c>
      <c r="M229" s="4">
        <v>2021</v>
      </c>
      <c r="N229" s="4">
        <v>1</v>
      </c>
      <c r="O229" s="4">
        <v>1</v>
      </c>
    </row>
    <row r="230" spans="1:15">
      <c r="A230" s="4" t="s">
        <v>487</v>
      </c>
      <c r="B230" s="4" t="s">
        <v>500</v>
      </c>
      <c r="C230" s="9" t="s">
        <v>501</v>
      </c>
      <c r="D230" s="13">
        <v>1</v>
      </c>
      <c r="E230" s="13" t="s">
        <v>397</v>
      </c>
      <c r="F230" s="13">
        <v>1</v>
      </c>
      <c r="G230" s="13">
        <v>0</v>
      </c>
      <c r="I230" s="4">
        <v>7</v>
      </c>
      <c r="J230" s="4">
        <v>8</v>
      </c>
      <c r="K230" s="4" t="s">
        <v>463</v>
      </c>
      <c r="L230" s="4" t="s">
        <v>13</v>
      </c>
      <c r="M230" s="4">
        <v>2021</v>
      </c>
      <c r="N230" s="4">
        <v>1</v>
      </c>
      <c r="O230" s="4">
        <v>1</v>
      </c>
    </row>
    <row r="231" spans="1:15">
      <c r="A231" s="4" t="s">
        <v>487</v>
      </c>
      <c r="B231" s="4" t="s">
        <v>512</v>
      </c>
      <c r="C231" s="9" t="s">
        <v>513</v>
      </c>
      <c r="F231" s="13">
        <v>0</v>
      </c>
      <c r="I231" s="4">
        <v>8</v>
      </c>
      <c r="J231" s="4">
        <v>8</v>
      </c>
      <c r="K231" s="4" t="s">
        <v>463</v>
      </c>
      <c r="L231" s="4" t="s">
        <v>13</v>
      </c>
      <c r="M231" s="4">
        <v>2021</v>
      </c>
      <c r="N231" s="4">
        <v>1</v>
      </c>
      <c r="O231" s="4">
        <v>1</v>
      </c>
    </row>
    <row r="232" spans="1:15">
      <c r="A232" s="4" t="s">
        <v>514</v>
      </c>
      <c r="B232" s="4" t="s">
        <v>515</v>
      </c>
      <c r="C232" s="23" t="s">
        <v>516</v>
      </c>
      <c r="F232" s="13">
        <v>1</v>
      </c>
      <c r="G232" s="13">
        <v>0</v>
      </c>
      <c r="I232" s="4">
        <v>1</v>
      </c>
      <c r="J232" s="4">
        <v>8</v>
      </c>
      <c r="K232" s="4" t="s">
        <v>463</v>
      </c>
      <c r="L232" s="4" t="s">
        <v>13</v>
      </c>
      <c r="M232" s="4">
        <v>2022</v>
      </c>
      <c r="N232" s="4">
        <v>1</v>
      </c>
      <c r="O232" s="4">
        <v>1</v>
      </c>
    </row>
    <row r="233" spans="1:15">
      <c r="A233" s="4" t="s">
        <v>514</v>
      </c>
      <c r="B233" s="4" t="s">
        <v>517</v>
      </c>
      <c r="C233" s="9" t="s">
        <v>518</v>
      </c>
      <c r="F233" s="13">
        <v>1</v>
      </c>
      <c r="G233" s="13">
        <v>1</v>
      </c>
      <c r="I233" s="4">
        <v>2</v>
      </c>
      <c r="J233" s="4">
        <v>8</v>
      </c>
      <c r="K233" s="4" t="s">
        <v>463</v>
      </c>
      <c r="L233" s="4" t="s">
        <v>13</v>
      </c>
      <c r="M233" s="4">
        <v>2022</v>
      </c>
      <c r="N233" s="4">
        <v>1</v>
      </c>
      <c r="O233" s="4">
        <v>1</v>
      </c>
    </row>
    <row r="234" spans="1:15">
      <c r="A234" s="4" t="s">
        <v>514</v>
      </c>
      <c r="B234" s="4" t="s">
        <v>525</v>
      </c>
      <c r="C234" s="9" t="s">
        <v>519</v>
      </c>
      <c r="F234" s="13">
        <v>0</v>
      </c>
      <c r="I234" s="4">
        <v>3</v>
      </c>
      <c r="J234" s="4">
        <v>8</v>
      </c>
      <c r="K234" s="4" t="s">
        <v>463</v>
      </c>
      <c r="L234" s="4" t="s">
        <v>13</v>
      </c>
      <c r="M234" s="4">
        <v>2022</v>
      </c>
      <c r="N234" s="4">
        <v>1</v>
      </c>
      <c r="O234" s="4">
        <v>1</v>
      </c>
    </row>
    <row r="235" spans="1:15">
      <c r="A235" s="4" t="s">
        <v>514</v>
      </c>
      <c r="B235" s="4" t="s">
        <v>526</v>
      </c>
      <c r="C235" s="9" t="s">
        <v>520</v>
      </c>
      <c r="F235" s="13">
        <v>0</v>
      </c>
      <c r="I235" s="4">
        <v>4</v>
      </c>
      <c r="J235" s="4">
        <v>8</v>
      </c>
      <c r="K235" s="4" t="s">
        <v>463</v>
      </c>
      <c r="L235" s="4" t="s">
        <v>13</v>
      </c>
      <c r="M235" s="4">
        <v>2022</v>
      </c>
      <c r="N235" s="4">
        <v>1</v>
      </c>
      <c r="O235" s="4">
        <v>1</v>
      </c>
    </row>
    <row r="236" spans="1:15">
      <c r="A236" s="4" t="s">
        <v>514</v>
      </c>
      <c r="B236" s="4" t="s">
        <v>527</v>
      </c>
      <c r="C236" s="9" t="s">
        <v>521</v>
      </c>
      <c r="F236" s="13">
        <v>1</v>
      </c>
      <c r="G236" s="13">
        <v>0</v>
      </c>
      <c r="I236" s="4">
        <v>5</v>
      </c>
      <c r="J236" s="4">
        <v>8</v>
      </c>
      <c r="K236" s="4" t="s">
        <v>463</v>
      </c>
      <c r="L236" s="4" t="s">
        <v>13</v>
      </c>
      <c r="M236" s="4">
        <v>2022</v>
      </c>
      <c r="N236" s="4">
        <v>1</v>
      </c>
      <c r="O236" s="4">
        <v>1</v>
      </c>
    </row>
    <row r="237" spans="1:15">
      <c r="A237" s="4" t="s">
        <v>514</v>
      </c>
      <c r="B237" s="4" t="s">
        <v>528</v>
      </c>
      <c r="C237" s="23" t="s">
        <v>522</v>
      </c>
      <c r="F237" s="13">
        <v>0</v>
      </c>
      <c r="I237" s="4">
        <v>6</v>
      </c>
      <c r="J237" s="4">
        <v>8</v>
      </c>
      <c r="K237" s="4" t="s">
        <v>463</v>
      </c>
      <c r="L237" s="4" t="s">
        <v>13</v>
      </c>
      <c r="M237" s="4">
        <v>2022</v>
      </c>
      <c r="N237" s="4">
        <v>1</v>
      </c>
      <c r="O237" s="4">
        <v>1</v>
      </c>
    </row>
    <row r="238" spans="1:15">
      <c r="A238" s="4" t="s">
        <v>514</v>
      </c>
      <c r="B238" s="4" t="s">
        <v>529</v>
      </c>
      <c r="C238" s="9" t="s">
        <v>523</v>
      </c>
      <c r="F238" s="13">
        <v>1</v>
      </c>
      <c r="G238" s="13">
        <v>0</v>
      </c>
      <c r="I238" s="4">
        <v>7</v>
      </c>
      <c r="J238" s="4">
        <v>8</v>
      </c>
      <c r="K238" s="4" t="s">
        <v>463</v>
      </c>
      <c r="L238" s="4" t="s">
        <v>13</v>
      </c>
      <c r="M238" s="4">
        <v>2022</v>
      </c>
      <c r="N238" s="4">
        <v>1</v>
      </c>
      <c r="O238" s="4">
        <v>1</v>
      </c>
    </row>
    <row r="239" spans="1:15">
      <c r="A239" s="4" t="s">
        <v>514</v>
      </c>
      <c r="B239" s="4" t="s">
        <v>530</v>
      </c>
      <c r="C239" s="9" t="s">
        <v>524</v>
      </c>
      <c r="F239" s="13">
        <v>0</v>
      </c>
      <c r="I239" s="4">
        <v>8</v>
      </c>
      <c r="J239" s="4">
        <v>8</v>
      </c>
      <c r="K239" s="4" t="s">
        <v>463</v>
      </c>
      <c r="L239" s="4" t="s">
        <v>13</v>
      </c>
      <c r="M239" s="4">
        <v>2022</v>
      </c>
      <c r="N239" s="4">
        <v>1</v>
      </c>
      <c r="O239" s="4">
        <v>1</v>
      </c>
    </row>
    <row r="240" spans="1:15">
      <c r="A240" s="4" t="s">
        <v>531</v>
      </c>
      <c r="B240" s="4" t="s">
        <v>532</v>
      </c>
      <c r="C240" s="9" t="s">
        <v>533</v>
      </c>
      <c r="F240" s="13">
        <v>0</v>
      </c>
      <c r="I240" s="4">
        <v>1</v>
      </c>
      <c r="J240" s="4">
        <v>10</v>
      </c>
      <c r="K240" s="4" t="s">
        <v>463</v>
      </c>
      <c r="L240" s="4" t="s">
        <v>13</v>
      </c>
      <c r="M240" s="4">
        <v>2023</v>
      </c>
      <c r="N240" s="4">
        <v>1</v>
      </c>
      <c r="O240" s="4">
        <v>1</v>
      </c>
    </row>
    <row r="241" spans="1:15">
      <c r="A241" s="4" t="s">
        <v>531</v>
      </c>
      <c r="B241" s="4" t="s">
        <v>543</v>
      </c>
      <c r="C241" s="9" t="s">
        <v>534</v>
      </c>
      <c r="F241" s="13">
        <v>0</v>
      </c>
      <c r="I241" s="4">
        <v>2</v>
      </c>
      <c r="J241" s="4">
        <v>10</v>
      </c>
      <c r="K241" s="4" t="s">
        <v>463</v>
      </c>
      <c r="L241" s="4" t="s">
        <v>13</v>
      </c>
      <c r="M241" s="4">
        <v>2023</v>
      </c>
      <c r="N241" s="4">
        <v>1</v>
      </c>
      <c r="O241" s="4">
        <v>1</v>
      </c>
    </row>
    <row r="242" spans="1:15">
      <c r="A242" s="4" t="s">
        <v>531</v>
      </c>
      <c r="B242" s="4" t="s">
        <v>544</v>
      </c>
      <c r="C242" s="9" t="s">
        <v>535</v>
      </c>
      <c r="F242" s="13">
        <v>1</v>
      </c>
      <c r="G242" s="13">
        <v>0</v>
      </c>
      <c r="I242" s="4">
        <v>3</v>
      </c>
      <c r="J242" s="4">
        <v>10</v>
      </c>
      <c r="K242" s="4" t="s">
        <v>463</v>
      </c>
      <c r="L242" s="4" t="s">
        <v>13</v>
      </c>
      <c r="M242" s="4">
        <v>2023</v>
      </c>
      <c r="N242" s="4">
        <v>1</v>
      </c>
      <c r="O242" s="4">
        <v>1</v>
      </c>
    </row>
    <row r="243" spans="1:15">
      <c r="A243" s="4" t="s">
        <v>531</v>
      </c>
      <c r="B243" s="4" t="s">
        <v>545</v>
      </c>
      <c r="C243" s="9" t="s">
        <v>536</v>
      </c>
      <c r="F243" s="13">
        <v>1</v>
      </c>
      <c r="G243" s="13">
        <v>0</v>
      </c>
      <c r="I243" s="4">
        <v>4</v>
      </c>
      <c r="J243" s="4">
        <v>10</v>
      </c>
      <c r="K243" s="4" t="s">
        <v>463</v>
      </c>
      <c r="L243" s="4" t="s">
        <v>13</v>
      </c>
      <c r="M243" s="4">
        <v>2023</v>
      </c>
      <c r="N243" s="4">
        <v>1</v>
      </c>
      <c r="O243" s="4">
        <v>1</v>
      </c>
    </row>
    <row r="244" spans="1:15">
      <c r="A244" s="4" t="s">
        <v>531</v>
      </c>
      <c r="B244" s="4" t="s">
        <v>546</v>
      </c>
      <c r="C244" s="9" t="s">
        <v>537</v>
      </c>
      <c r="F244" s="13">
        <v>1</v>
      </c>
      <c r="G244" s="13">
        <v>1</v>
      </c>
      <c r="I244" s="4">
        <v>5</v>
      </c>
      <c r="J244" s="4">
        <v>10</v>
      </c>
      <c r="K244" s="4" t="s">
        <v>463</v>
      </c>
      <c r="L244" s="4" t="s">
        <v>13</v>
      </c>
      <c r="M244" s="4">
        <v>2023</v>
      </c>
      <c r="N244" s="4">
        <v>1</v>
      </c>
      <c r="O244" s="4">
        <v>1</v>
      </c>
    </row>
    <row r="245" spans="1:15">
      <c r="A245" s="4" t="s">
        <v>531</v>
      </c>
      <c r="B245" s="4" t="s">
        <v>547</v>
      </c>
      <c r="C245" s="9" t="s">
        <v>538</v>
      </c>
      <c r="F245" s="13">
        <v>0</v>
      </c>
      <c r="I245" s="4">
        <v>6</v>
      </c>
      <c r="J245" s="4">
        <v>10</v>
      </c>
      <c r="K245" s="4" t="s">
        <v>463</v>
      </c>
      <c r="L245" s="4" t="s">
        <v>13</v>
      </c>
      <c r="M245" s="4">
        <v>2023</v>
      </c>
      <c r="N245" s="4">
        <v>1</v>
      </c>
      <c r="O245" s="4">
        <v>1</v>
      </c>
    </row>
    <row r="246" spans="1:15">
      <c r="A246" s="4" t="s">
        <v>531</v>
      </c>
      <c r="B246" s="4" t="s">
        <v>548</v>
      </c>
      <c r="C246" s="23" t="s">
        <v>539</v>
      </c>
      <c r="F246" s="13">
        <v>0</v>
      </c>
      <c r="I246" s="4">
        <v>7</v>
      </c>
      <c r="J246" s="4">
        <v>10</v>
      </c>
      <c r="K246" s="4" t="s">
        <v>463</v>
      </c>
      <c r="L246" s="4" t="s">
        <v>13</v>
      </c>
      <c r="M246" s="4">
        <v>2023</v>
      </c>
      <c r="N246" s="4">
        <v>1</v>
      </c>
      <c r="O246" s="4">
        <v>1</v>
      </c>
    </row>
    <row r="247" spans="1:15">
      <c r="A247" s="4" t="s">
        <v>531</v>
      </c>
      <c r="B247" s="4" t="s">
        <v>549</v>
      </c>
      <c r="C247" s="9" t="s">
        <v>540</v>
      </c>
      <c r="F247" s="13">
        <v>0</v>
      </c>
      <c r="I247" s="4">
        <v>8</v>
      </c>
      <c r="J247" s="4">
        <v>10</v>
      </c>
      <c r="K247" s="4" t="s">
        <v>463</v>
      </c>
      <c r="L247" s="4" t="s">
        <v>13</v>
      </c>
      <c r="M247" s="4">
        <v>2023</v>
      </c>
      <c r="N247" s="4">
        <v>1</v>
      </c>
      <c r="O247" s="4">
        <v>1</v>
      </c>
    </row>
    <row r="248" spans="1:15">
      <c r="A248" s="4" t="s">
        <v>531</v>
      </c>
      <c r="B248" s="4" t="s">
        <v>550</v>
      </c>
      <c r="C248" s="9" t="s">
        <v>541</v>
      </c>
      <c r="F248" s="13">
        <v>0</v>
      </c>
      <c r="I248" s="4">
        <v>9</v>
      </c>
      <c r="J248" s="4">
        <v>10</v>
      </c>
      <c r="K248" s="4" t="s">
        <v>463</v>
      </c>
      <c r="L248" s="4" t="s">
        <v>13</v>
      </c>
      <c r="M248" s="4">
        <v>2023</v>
      </c>
      <c r="N248" s="4">
        <v>1</v>
      </c>
      <c r="O248" s="4">
        <v>1</v>
      </c>
    </row>
    <row r="249" spans="1:15">
      <c r="A249" s="4" t="s">
        <v>531</v>
      </c>
      <c r="B249" s="4" t="s">
        <v>551</v>
      </c>
      <c r="C249" s="9" t="s">
        <v>542</v>
      </c>
      <c r="F249" s="13">
        <v>1</v>
      </c>
      <c r="G249" s="13">
        <v>0</v>
      </c>
      <c r="I249" s="4">
        <v>10</v>
      </c>
      <c r="J249" s="4">
        <v>10</v>
      </c>
      <c r="K249" s="4" t="s">
        <v>463</v>
      </c>
      <c r="L249" s="4" t="s">
        <v>13</v>
      </c>
      <c r="M249" s="4">
        <v>2023</v>
      </c>
      <c r="N249" s="4">
        <v>1</v>
      </c>
      <c r="O249" s="4">
        <v>1</v>
      </c>
    </row>
    <row r="250" spans="1:15">
      <c r="A250" s="4" t="s">
        <v>552</v>
      </c>
      <c r="B250" s="4" t="s">
        <v>553</v>
      </c>
      <c r="C250" s="9" t="s">
        <v>554</v>
      </c>
      <c r="F250" s="13">
        <v>0</v>
      </c>
      <c r="I250" s="4">
        <v>1</v>
      </c>
      <c r="J250" s="4">
        <v>11</v>
      </c>
      <c r="K250" s="4" t="s">
        <v>463</v>
      </c>
      <c r="L250" s="4" t="s">
        <v>13</v>
      </c>
      <c r="M250" s="4">
        <v>2024</v>
      </c>
      <c r="N250" s="4">
        <v>1</v>
      </c>
      <c r="O250" s="4">
        <v>1</v>
      </c>
    </row>
    <row r="251" spans="1:15">
      <c r="A251" s="4" t="s">
        <v>552</v>
      </c>
      <c r="B251" s="4" t="s">
        <v>565</v>
      </c>
      <c r="C251" s="9" t="s">
        <v>555</v>
      </c>
      <c r="F251" s="13">
        <v>1</v>
      </c>
      <c r="G251" s="13">
        <v>1</v>
      </c>
      <c r="I251" s="4">
        <v>2</v>
      </c>
      <c r="J251" s="4">
        <v>11</v>
      </c>
      <c r="K251" s="4" t="s">
        <v>463</v>
      </c>
      <c r="L251" s="4" t="s">
        <v>13</v>
      </c>
      <c r="M251" s="4">
        <v>2024</v>
      </c>
      <c r="N251" s="4">
        <v>1</v>
      </c>
      <c r="O251" s="4">
        <v>1</v>
      </c>
    </row>
    <row r="252" spans="1:15">
      <c r="A252" s="4" t="s">
        <v>552</v>
      </c>
      <c r="B252" s="4" t="s">
        <v>566</v>
      </c>
      <c r="C252" s="9" t="s">
        <v>556</v>
      </c>
      <c r="F252" s="13">
        <v>1</v>
      </c>
      <c r="G252" s="13">
        <v>1</v>
      </c>
      <c r="I252" s="4">
        <v>3</v>
      </c>
      <c r="J252" s="4">
        <v>11</v>
      </c>
      <c r="K252" s="4" t="s">
        <v>463</v>
      </c>
      <c r="L252" s="4" t="s">
        <v>13</v>
      </c>
      <c r="M252" s="4">
        <v>2024</v>
      </c>
      <c r="N252" s="4">
        <v>1</v>
      </c>
      <c r="O252" s="4">
        <v>1</v>
      </c>
    </row>
    <row r="253" spans="1:15">
      <c r="A253" s="4" t="s">
        <v>552</v>
      </c>
      <c r="B253" s="4" t="s">
        <v>567</v>
      </c>
      <c r="C253" s="9" t="s">
        <v>557</v>
      </c>
      <c r="F253" s="13">
        <v>1</v>
      </c>
      <c r="G253" s="13">
        <v>0</v>
      </c>
      <c r="I253" s="4">
        <v>4</v>
      </c>
      <c r="J253" s="4">
        <v>11</v>
      </c>
      <c r="K253" s="4" t="s">
        <v>463</v>
      </c>
      <c r="L253" s="4" t="s">
        <v>13</v>
      </c>
      <c r="M253" s="4">
        <v>2024</v>
      </c>
      <c r="N253" s="4">
        <v>1</v>
      </c>
      <c r="O253" s="4">
        <v>1</v>
      </c>
    </row>
    <row r="254" spans="1:15">
      <c r="A254" s="4" t="s">
        <v>552</v>
      </c>
      <c r="B254" s="4" t="s">
        <v>568</v>
      </c>
      <c r="C254" s="9" t="s">
        <v>558</v>
      </c>
      <c r="F254" s="13">
        <v>1</v>
      </c>
      <c r="G254" s="13">
        <v>0</v>
      </c>
      <c r="I254" s="4">
        <v>5</v>
      </c>
      <c r="J254" s="4">
        <v>11</v>
      </c>
      <c r="K254" s="4" t="s">
        <v>463</v>
      </c>
      <c r="L254" s="4" t="s">
        <v>13</v>
      </c>
      <c r="M254" s="4">
        <v>2024</v>
      </c>
      <c r="N254" s="4">
        <v>1</v>
      </c>
      <c r="O254" s="4">
        <v>1</v>
      </c>
    </row>
    <row r="255" spans="1:15">
      <c r="A255" s="4" t="s">
        <v>552</v>
      </c>
      <c r="B255" s="4" t="s">
        <v>569</v>
      </c>
      <c r="C255" s="9" t="s">
        <v>559</v>
      </c>
      <c r="F255" s="13">
        <v>1</v>
      </c>
      <c r="G255" s="13">
        <v>1</v>
      </c>
      <c r="I255" s="4">
        <v>6</v>
      </c>
      <c r="J255" s="4">
        <v>11</v>
      </c>
      <c r="K255" s="4" t="s">
        <v>463</v>
      </c>
      <c r="L255" s="4" t="s">
        <v>13</v>
      </c>
      <c r="M255" s="4">
        <v>2024</v>
      </c>
      <c r="N255" s="4">
        <v>1</v>
      </c>
      <c r="O255" s="4">
        <v>1</v>
      </c>
    </row>
    <row r="256" spans="1:15">
      <c r="A256" s="4" t="s">
        <v>552</v>
      </c>
      <c r="B256" s="4" t="s">
        <v>570</v>
      </c>
      <c r="C256" s="9" t="s">
        <v>560</v>
      </c>
      <c r="F256" s="13">
        <v>1</v>
      </c>
      <c r="G256" s="13">
        <v>1</v>
      </c>
      <c r="I256" s="4">
        <v>7</v>
      </c>
      <c r="J256" s="4">
        <v>11</v>
      </c>
      <c r="K256" s="4" t="s">
        <v>463</v>
      </c>
      <c r="L256" s="4" t="s">
        <v>13</v>
      </c>
      <c r="M256" s="4">
        <v>2024</v>
      </c>
      <c r="N256" s="4">
        <v>1</v>
      </c>
      <c r="O256" s="4">
        <v>1</v>
      </c>
    </row>
    <row r="257" spans="1:15">
      <c r="A257" s="4" t="s">
        <v>552</v>
      </c>
      <c r="B257" s="4" t="s">
        <v>571</v>
      </c>
      <c r="C257" s="9" t="s">
        <v>561</v>
      </c>
      <c r="F257" s="13">
        <v>0</v>
      </c>
      <c r="I257" s="4">
        <v>8</v>
      </c>
      <c r="J257" s="4">
        <v>11</v>
      </c>
      <c r="K257" s="4" t="s">
        <v>463</v>
      </c>
      <c r="L257" s="4" t="s">
        <v>13</v>
      </c>
      <c r="M257" s="4">
        <v>2024</v>
      </c>
      <c r="N257" s="4">
        <v>1</v>
      </c>
      <c r="O257" s="4">
        <v>1</v>
      </c>
    </row>
    <row r="258" spans="1:15">
      <c r="A258" s="4" t="s">
        <v>552</v>
      </c>
      <c r="B258" s="4" t="s">
        <v>572</v>
      </c>
      <c r="C258" s="9" t="s">
        <v>562</v>
      </c>
      <c r="F258" s="13">
        <v>1</v>
      </c>
      <c r="G258" s="13">
        <v>1</v>
      </c>
      <c r="I258" s="4">
        <v>9</v>
      </c>
      <c r="J258" s="4">
        <v>11</v>
      </c>
      <c r="K258" s="4" t="s">
        <v>463</v>
      </c>
      <c r="L258" s="4" t="s">
        <v>13</v>
      </c>
      <c r="M258" s="4">
        <v>2024</v>
      </c>
      <c r="N258" s="4">
        <v>1</v>
      </c>
      <c r="O258" s="4">
        <v>1</v>
      </c>
    </row>
    <row r="259" spans="1:15">
      <c r="A259" s="4" t="s">
        <v>552</v>
      </c>
      <c r="B259" s="4" t="s">
        <v>573</v>
      </c>
      <c r="C259" s="9" t="s">
        <v>563</v>
      </c>
      <c r="F259" s="13">
        <v>1</v>
      </c>
      <c r="G259" s="13">
        <v>1</v>
      </c>
      <c r="I259" s="4">
        <v>10</v>
      </c>
      <c r="J259" s="4">
        <v>11</v>
      </c>
      <c r="K259" s="4" t="s">
        <v>463</v>
      </c>
      <c r="L259" s="4" t="s">
        <v>13</v>
      </c>
      <c r="M259" s="4">
        <v>2024</v>
      </c>
      <c r="N259" s="4">
        <v>1</v>
      </c>
      <c r="O259" s="4">
        <v>1</v>
      </c>
    </row>
    <row r="260" spans="1:15">
      <c r="A260" s="4" t="s">
        <v>552</v>
      </c>
      <c r="B260" s="4" t="s">
        <v>574</v>
      </c>
      <c r="C260" s="9" t="s">
        <v>564</v>
      </c>
      <c r="F260" s="13">
        <v>1</v>
      </c>
      <c r="G260" s="13">
        <v>0</v>
      </c>
      <c r="I260" s="4">
        <v>11</v>
      </c>
      <c r="J260" s="4">
        <v>11</v>
      </c>
      <c r="K260" s="4" t="s">
        <v>463</v>
      </c>
      <c r="L260" s="4" t="s">
        <v>13</v>
      </c>
      <c r="M260" s="4">
        <v>2024</v>
      </c>
      <c r="N260" s="4">
        <v>1</v>
      </c>
      <c r="O260" s="4">
        <v>1</v>
      </c>
    </row>
    <row r="261" spans="1:15">
      <c r="A261" s="4" t="s">
        <v>576</v>
      </c>
      <c r="B261" s="4" t="s">
        <v>575</v>
      </c>
      <c r="C261" s="9" t="s">
        <v>577</v>
      </c>
      <c r="F261" s="13">
        <v>1</v>
      </c>
      <c r="G261" s="13">
        <v>1</v>
      </c>
      <c r="I261" s="4">
        <v>1</v>
      </c>
      <c r="J261" s="4">
        <v>10</v>
      </c>
      <c r="K261" s="4" t="s">
        <v>463</v>
      </c>
      <c r="L261" s="4" t="s">
        <v>13</v>
      </c>
      <c r="M261" s="4">
        <v>2025</v>
      </c>
      <c r="N261" s="4">
        <v>1</v>
      </c>
      <c r="O261" s="4">
        <v>1</v>
      </c>
    </row>
    <row r="262" spans="1:15">
      <c r="A262" s="4" t="s">
        <v>576</v>
      </c>
      <c r="B262" s="4" t="s">
        <v>578</v>
      </c>
      <c r="C262" s="9" t="s">
        <v>579</v>
      </c>
      <c r="F262" s="13">
        <v>1</v>
      </c>
      <c r="G262" s="13">
        <v>1</v>
      </c>
      <c r="I262" s="4">
        <v>2</v>
      </c>
      <c r="J262" s="4">
        <v>10</v>
      </c>
      <c r="K262" s="4" t="s">
        <v>463</v>
      </c>
      <c r="L262" s="4" t="s">
        <v>13</v>
      </c>
      <c r="M262" s="4">
        <v>2025</v>
      </c>
      <c r="N262" s="4">
        <v>1</v>
      </c>
      <c r="O262" s="4">
        <v>1</v>
      </c>
    </row>
    <row r="263" spans="1:15">
      <c r="A263" s="4" t="s">
        <v>576</v>
      </c>
      <c r="B263" s="4" t="s">
        <v>588</v>
      </c>
      <c r="C263" s="9" t="s">
        <v>580</v>
      </c>
      <c r="F263" s="13">
        <v>1</v>
      </c>
      <c r="G263" s="13">
        <v>1</v>
      </c>
      <c r="I263" s="4">
        <v>3</v>
      </c>
      <c r="J263" s="4">
        <v>10</v>
      </c>
      <c r="K263" s="4" t="s">
        <v>463</v>
      </c>
      <c r="L263" s="4" t="s">
        <v>13</v>
      </c>
      <c r="M263" s="4">
        <v>2025</v>
      </c>
      <c r="N263" s="4">
        <v>1</v>
      </c>
      <c r="O263" s="4">
        <v>1</v>
      </c>
    </row>
    <row r="264" spans="1:15">
      <c r="A264" s="4" t="s">
        <v>576</v>
      </c>
      <c r="B264" s="4" t="s">
        <v>589</v>
      </c>
      <c r="C264" s="9" t="s">
        <v>581</v>
      </c>
      <c r="F264" s="13">
        <v>1</v>
      </c>
      <c r="G264" s="13">
        <v>1</v>
      </c>
      <c r="I264" s="4">
        <v>4</v>
      </c>
      <c r="J264" s="4">
        <v>10</v>
      </c>
      <c r="K264" s="4" t="s">
        <v>463</v>
      </c>
      <c r="L264" s="4" t="s">
        <v>13</v>
      </c>
      <c r="M264" s="4">
        <v>2025</v>
      </c>
      <c r="N264" s="4">
        <v>1</v>
      </c>
      <c r="O264" s="4">
        <v>1</v>
      </c>
    </row>
    <row r="265" spans="1:15">
      <c r="A265" s="4" t="s">
        <v>576</v>
      </c>
      <c r="B265" s="4" t="s">
        <v>590</v>
      </c>
      <c r="C265" s="9" t="s">
        <v>582</v>
      </c>
      <c r="F265" s="13">
        <v>1</v>
      </c>
      <c r="G265" s="13">
        <v>0</v>
      </c>
      <c r="I265" s="4">
        <v>5</v>
      </c>
      <c r="J265" s="4">
        <v>10</v>
      </c>
      <c r="K265" s="4" t="s">
        <v>463</v>
      </c>
      <c r="L265" s="4" t="s">
        <v>13</v>
      </c>
      <c r="M265" s="4">
        <v>2025</v>
      </c>
      <c r="N265" s="4">
        <v>1</v>
      </c>
      <c r="O265" s="4">
        <v>1</v>
      </c>
    </row>
    <row r="266" spans="1:15">
      <c r="A266" s="4" t="s">
        <v>576</v>
      </c>
      <c r="B266" s="4" t="s">
        <v>591</v>
      </c>
      <c r="C266" s="9" t="s">
        <v>583</v>
      </c>
      <c r="F266" s="13">
        <v>1</v>
      </c>
      <c r="G266" s="13">
        <v>1</v>
      </c>
      <c r="I266" s="4">
        <v>6</v>
      </c>
      <c r="J266" s="4">
        <v>10</v>
      </c>
      <c r="K266" s="4" t="s">
        <v>463</v>
      </c>
      <c r="L266" s="4" t="s">
        <v>13</v>
      </c>
      <c r="M266" s="4">
        <v>2025</v>
      </c>
      <c r="N266" s="4">
        <v>1</v>
      </c>
      <c r="O266" s="4">
        <v>1</v>
      </c>
    </row>
    <row r="267" spans="1:15">
      <c r="A267" s="4" t="s">
        <v>576</v>
      </c>
      <c r="B267" s="4" t="s">
        <v>592</v>
      </c>
      <c r="C267" s="9" t="s">
        <v>584</v>
      </c>
      <c r="F267" s="13">
        <v>0</v>
      </c>
      <c r="I267" s="4">
        <v>7</v>
      </c>
      <c r="J267" s="4">
        <v>10</v>
      </c>
      <c r="K267" s="4" t="s">
        <v>463</v>
      </c>
      <c r="L267" s="4" t="s">
        <v>13</v>
      </c>
      <c r="M267" s="4">
        <v>2025</v>
      </c>
      <c r="N267" s="4">
        <v>1</v>
      </c>
      <c r="O267" s="4">
        <v>1</v>
      </c>
    </row>
    <row r="268" spans="1:15">
      <c r="A268" s="4" t="s">
        <v>576</v>
      </c>
      <c r="B268" s="4" t="s">
        <v>593</v>
      </c>
      <c r="C268" s="9" t="s">
        <v>585</v>
      </c>
      <c r="F268" s="13">
        <v>0</v>
      </c>
      <c r="I268" s="4">
        <v>8</v>
      </c>
      <c r="J268" s="4">
        <v>10</v>
      </c>
      <c r="K268" s="4" t="s">
        <v>463</v>
      </c>
      <c r="L268" s="4" t="s">
        <v>13</v>
      </c>
      <c r="M268" s="4">
        <v>2025</v>
      </c>
      <c r="N268" s="4">
        <v>1</v>
      </c>
      <c r="O268" s="4">
        <v>1</v>
      </c>
    </row>
    <row r="269" spans="1:15">
      <c r="A269" s="4" t="s">
        <v>576</v>
      </c>
      <c r="B269" s="4" t="s">
        <v>594</v>
      </c>
      <c r="C269" s="9" t="s">
        <v>586</v>
      </c>
      <c r="F269" s="13">
        <v>1</v>
      </c>
      <c r="G269" s="13">
        <v>1</v>
      </c>
      <c r="I269" s="4">
        <v>9</v>
      </c>
      <c r="J269" s="4">
        <v>10</v>
      </c>
      <c r="K269" s="4" t="s">
        <v>463</v>
      </c>
      <c r="L269" s="4" t="s">
        <v>13</v>
      </c>
      <c r="M269" s="4">
        <v>2025</v>
      </c>
      <c r="N269" s="4">
        <v>1</v>
      </c>
      <c r="O269" s="4">
        <v>1</v>
      </c>
    </row>
    <row r="270" spans="1:15">
      <c r="A270" s="4" t="s">
        <v>576</v>
      </c>
      <c r="B270" s="4" t="s">
        <v>595</v>
      </c>
      <c r="C270" s="9" t="s">
        <v>587</v>
      </c>
      <c r="F270" s="13">
        <v>0</v>
      </c>
      <c r="I270" s="4">
        <v>10</v>
      </c>
      <c r="J270" s="4">
        <v>10</v>
      </c>
      <c r="K270" s="4" t="s">
        <v>463</v>
      </c>
      <c r="L270" s="4" t="s">
        <v>13</v>
      </c>
      <c r="M270" s="4">
        <v>2025</v>
      </c>
      <c r="N270" s="4">
        <v>1</v>
      </c>
      <c r="O270"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4"/>
  <sheetViews>
    <sheetView zoomScale="120" zoomScaleNormal="120" workbookViewId="0">
      <selection activeCell="H34" sqref="H34"/>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45</v>
      </c>
      <c r="B8">
        <f>COUNTIF(Sheet1!D:D," ")</f>
        <v>0</v>
      </c>
      <c r="C8">
        <f>COUNTIF(Sheet1!D:D,"1")</f>
        <v>179</v>
      </c>
      <c r="D8">
        <f>SUM(A8:C8)</f>
        <v>224</v>
      </c>
    </row>
    <row r="10" spans="1:4">
      <c r="A10" s="17" t="s">
        <v>396</v>
      </c>
    </row>
    <row r="11" spans="1:4">
      <c r="A11" s="1">
        <v>0</v>
      </c>
      <c r="C11" s="1">
        <v>1</v>
      </c>
    </row>
    <row r="12" spans="1:4">
      <c r="A12">
        <f>COUNTIF(Sheet1!D:D,"0")</f>
        <v>45</v>
      </c>
      <c r="C12">
        <f>COUNTIF(Sheet1!D:D,"1")</f>
        <v>179</v>
      </c>
    </row>
    <row r="14" spans="1:4">
      <c r="C14" s="1" t="s">
        <v>398</v>
      </c>
    </row>
    <row r="15" spans="1:4">
      <c r="C15" s="16">
        <f>COUNTIF(Sheet1!E:E,"Low")</f>
        <v>63</v>
      </c>
    </row>
    <row r="16" spans="1:4">
      <c r="C16" s="1" t="s">
        <v>399</v>
      </c>
    </row>
    <row r="17" spans="1:6">
      <c r="C17" s="16">
        <f>COUNTIF(Sheet1!E:E,"Medium")</f>
        <v>92</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2026-04-11T22:49:20Z</dcterms:modified>
</cp:coreProperties>
</file>